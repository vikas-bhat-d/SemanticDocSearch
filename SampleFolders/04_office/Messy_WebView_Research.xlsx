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78ccee9236419f" /></Relationships>
</file>

<file path=xl/workbook.xml><?xml version="1.0" encoding="utf-8"?>
<x:workbook xmlns:x="http://schemas.openxmlformats.org/spreadsheetml/2006/main">
  <x:sheets>
    <x:sheet xmlns:r="http://schemas.openxmlformats.org/officeDocument/2006/relationships" name="RN_WebView" sheetId="1" r:id="R87a8a03c47ac42bb"/>
    <x:sheet xmlns:r="http://schemas.openxmlformats.org/officeDocument/2006/relationships" name="WPF_WebView2" sheetId="2" r:id="R1099d40165df4926"/>
    <x:sheet xmlns:r="http://schemas.openxmlformats.org/officeDocument/2006/relationships" name="Dump" sheetId="3" r:id="Ra49d0718fca9478b"/>
    <x:sheet xmlns:r="http://schemas.openxmlformats.org/officeDocument/2006/relationships" name="iOS_WebKit" sheetId="4" r:id="R0fa9e6afbe634d08"/>
    <x:sheet xmlns:r="http://schemas.openxmlformats.org/officeDocument/2006/relationships" name="Android_Chromium" sheetId="5" r:id="Rac54826855224005"/>
    <x:sheet xmlns:r="http://schemas.openxmlformats.org/officeDocument/2006/relationships" name="Security_Review" sheetId="6" r:id="R8b3e09acfb204383"/>
    <x:sheet xmlns:r="http://schemas.openxmlformats.org/officeDocument/2006/relationships" name="Browser_Matrix" sheetId="7" r:id="R0ded340474c64f2c"/>
    <x:sheet xmlns:r="http://schemas.openxmlformats.org/officeDocument/2006/relationships" name="Performance_Logs" sheetId="8" r:id="R0c4f42c87b514c05"/>
    <x:sheet xmlns:r="http://schemas.openxmlformats.org/officeDocument/2006/relationships" name="Release_Timeline" sheetId="9" r:id="R1e19c4341a1746c7"/>
    <x:sheet xmlns:r="http://schemas.openxmlformats.org/officeDocument/2006/relationships" name="Glossary" sheetId="10" r:id="R8d872395543a4082"/>
    <x:sheet xmlns:r="http://schemas.openxmlformats.org/officeDocument/2006/relationships" name="Long_Form_Notes" sheetId="11" r:id="R525ac6d3547f42e7"/>
    <x:sheet xmlns:r="http://schemas.openxmlformats.org/officeDocument/2006/relationships" name="Sparse_Offsets" sheetId="12" r:id="Rc66502b3ef404447"/>
    <x:sheet xmlns:r="http://schemas.openxmlformats.org/officeDocument/2006/relationships" name="Formula_And_Merged" sheetId="13" r:id="R50275e5cf61b4ac1"/>
    <x:sheet xmlns:r="http://schemas.openxmlformats.org/officeDocument/2006/relationships" name="Import_Examples" sheetId="14" r:id="R909a97dd516f49f0"/>
    <x:sheet xmlns:r="http://schemas.openxmlformats.org/officeDocument/2006/relationships" name="_Summary_Control" sheetId="15" r:id="R2c12375b29dc4ae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0"/>
    <x:numFmt numFmtId="202" formatCode="0.00"/>
  </x:numFmts>
  <x:fonts count="4">
    <x:font>
      <x:sz val="11"/>
      <x:name val="Carlito"/>
    </x:font>
    <x:font>
      <x:sz val="10"/>
      <x:color rgb="FF1F2937"/>
      <x:name val="Arial"/>
    </x:font>
    <x:font>
      <x:b/>
      <x:sz val="10"/>
      <x:color rgb="FFFFFFFF"/>
      <x:name val="Arial"/>
    </x:font>
    <x:font>
      <x:b/>
      <x:sz val="13"/>
      <x:color rgb="FF17365D"/>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200" fontId="1"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1"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1"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30b7a688464d31" /><Relationship Type="http://schemas.openxmlformats.org/officeDocument/2006/relationships/theme" Target="/xl/theme/theme1.xml" Id="Rc3657bb21f674aa3" /><Relationship Type="http://schemas.microsoft.com/office/2022/11/relationships/FeaturePropertyBag" Target="/xl/featurePropertyBag/featurePropertyBag.xml" Id="R7c17ce5a18f34ffe" /><Relationship Type="http://schemas.openxmlformats.org/officeDocument/2006/relationships/sharedStrings" Target="/xl/sharedStrings.xml" Id="Re633fe8b3276421c" /><Relationship Type="http://schemas.openxmlformats.org/officeDocument/2006/relationships/worksheet" Target="/xl/worksheets/sheet1.xml" Id="R87a8a03c47ac42bb" /><Relationship Type="http://schemas.openxmlformats.org/officeDocument/2006/relationships/worksheet" Target="/xl/worksheets/sheet2.xml" Id="R1099d40165df4926" /><Relationship Type="http://schemas.openxmlformats.org/officeDocument/2006/relationships/worksheet" Target="/xl/worksheets/sheet3.xml" Id="Ra49d0718fca9478b" /><Relationship Type="http://schemas.openxmlformats.org/officeDocument/2006/relationships/worksheet" Target="/xl/worksheets/sheet4.xml" Id="R0fa9e6afbe634d08" /><Relationship Type="http://schemas.openxmlformats.org/officeDocument/2006/relationships/worksheet" Target="/xl/worksheets/sheet5.xml" Id="Rac54826855224005" /><Relationship Type="http://schemas.openxmlformats.org/officeDocument/2006/relationships/worksheet" Target="/xl/worksheets/sheet6.xml" Id="R8b3e09acfb204383" /><Relationship Type="http://schemas.openxmlformats.org/officeDocument/2006/relationships/worksheet" Target="/xl/worksheets/sheet7.xml" Id="R0ded340474c64f2c" /><Relationship Type="http://schemas.openxmlformats.org/officeDocument/2006/relationships/worksheet" Target="/xl/worksheets/sheet8.xml" Id="R0c4f42c87b514c05" /><Relationship Type="http://schemas.openxmlformats.org/officeDocument/2006/relationships/worksheet" Target="/xl/worksheets/sheet9.xml" Id="R1e19c4341a1746c7" /><Relationship Type="http://schemas.openxmlformats.org/officeDocument/2006/relationships/worksheet" Target="/xl/worksheets/sheet10.xml" Id="R8d872395543a4082" /><Relationship Type="http://schemas.openxmlformats.org/officeDocument/2006/relationships/worksheet" Target="/xl/worksheets/sheet11.xml" Id="R525ac6d3547f42e7" /><Relationship Type="http://schemas.openxmlformats.org/officeDocument/2006/relationships/worksheet" Target="/xl/worksheets/sheet12.xml" Id="Rc66502b3ef404447" /><Relationship Type="http://schemas.openxmlformats.org/officeDocument/2006/relationships/worksheet" Target="/xl/worksheets/sheet13.xml" Id="R50275e5cf61b4ac1" /><Relationship Type="http://schemas.openxmlformats.org/officeDocument/2006/relationships/worksheet" Target="/xl/worksheets/sheet14.xml" Id="R909a97dd516f49f0" /><Relationship Type="http://schemas.openxmlformats.org/officeDocument/2006/relationships/worksheet" Target="/xl/worksheets/sheet15.xml" Id="R2c12375b29dc4ae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28" hidden="0" customWidth="1"/>
    <x:col min="3" max="3" width="32" hidden="0" customWidth="1"/>
    <x:col min="4" max="4" width="20" hidden="0" customWidth="1"/>
    <x:col min="5" max="5" width="18" hidden="0" customWidth="1"/>
    <x:col min="6" max="6" width="17" hidden="0" customWidth="1"/>
    <x:col min="7" max="7" width="16" hidden="0" customWidth="1"/>
    <x:col min="8" max="8" width="12" hidden="0" customWidth="1"/>
    <x:col min="9" max="9" width="15" hidden="0" customWidth="1"/>
    <x:col min="10" max="10" width="46" hidden="0" customWidth="1"/>
    <x:col min="11" max="11" width="42" hidden="0" customWidth="1"/>
    <x:col min="12" max="12" width="34" hidden="0" customWidth="1"/>
  </x:cols>
  <x:sheetData>
    <x:row r="1">
      <x:c r="A1" s="8"/>
      <x:c r="B1" s="7" t="str">
        <x:v>React Native WebView Notes</x:v>
      </x:c>
      <x:c r="C1" s="7"/>
      <x:c r="D1" s="7"/>
      <x:c r="E1" s="7"/>
      <x:c r="F1" s="7"/>
      <x:c r="G1" s="7"/>
      <x:c r="H1" s="7"/>
      <x:c r="I1" s="7"/>
      <x:c r="J1" s="7"/>
      <x:c r="K1" s="7"/>
      <x:c r="L1" s="7"/>
    </x:row>
    <x:row r="2">
      <x:c r="A2" s="8" t="str">
        <x:v>source</x:v>
      </x:c>
      <x:c r="B2" s="8" t="str">
        <x:v>team-notes-export</x:v>
      </x:c>
      <x:c r="C2" s="8"/>
      <x:c r="D2" s="8" t="str">
        <x:v>captured</x:v>
      </x:c>
      <x:c r="E2" s="8" t="str">
        <x:v>2026-09-21</x:v>
      </x:c>
      <x:c r="F2" s="8"/>
      <x:c r="G2" s="8" t="str">
        <x:v>priority</x:v>
      </x:c>
      <x:c r="H2" s="8" t="str">
        <x:v>medium</x:v>
      </x:c>
      <x:c r="I2" s="8"/>
      <x:c r="J2" s="8"/>
      <x:c r="K2" s="8"/>
      <x:c r="L2" s="8"/>
    </x:row>
    <x:row r="3">
      <x:c r="A3" s="8" t="str">
        <x:v>Need to use react-native-webview package</x:v>
      </x:c>
      <x:c r="B3" s="8"/>
      <x:c r="C3" s="8"/>
      <x:c r="D3" s="8"/>
      <x:c r="E3" s="8" t="str">
        <x:v>npm install react-native-webview</x:v>
      </x:c>
      <x:c r="F3" s="8"/>
      <x:c r="G3" s="8"/>
      <x:c r="H3" s="8"/>
      <x:c r="I3" s="8" t="str">
        <x:v>owner: Asha</x:v>
      </x:c>
      <x:c r="J3" s="8"/>
      <x:c r="K3" s="8"/>
      <x:c r="L3" s="8"/>
    </x:row>
    <x:row r="4">
      <x:c r="A4" s="8"/>
      <x:c r="B4" s="8"/>
      <x:c r="C4" s="8"/>
      <x:c r="D4" s="8"/>
      <x:c r="E4" s="8"/>
      <x:c r="F4" s="8"/>
      <x:c r="G4" s="8"/>
      <x:c r="H4" s="8"/>
      <x:c r="I4" s="8"/>
      <x:c r="J4" s="8"/>
      <x:c r="K4" s="8"/>
      <x:c r="L4" s="8"/>
    </x:row>
    <x:row r="5">
      <x:c r="A5" s="4" t="str">
        <x:v>Platform</x:v>
      </x:c>
      <x:c r="B5" s="4" t="str">
        <x:v>Issue</x:v>
      </x:c>
      <x:c r="C5" s="4" t="str">
        <x:v>Fix</x:v>
      </x:c>
      <x:c r="D5" s="4" t="str">
        <x:v>Evidence</x:v>
      </x:c>
      <x:c r="E5" s="4" t="str">
        <x:v>Risk</x:v>
      </x:c>
      <x:c r="F5" s="4" t="str">
        <x:v>Status</x:v>
      </x:c>
      <x:c r="G5" s="4" t="str">
        <x:v>Owner</x:v>
      </x:c>
      <x:c r="H5" s="4" t="str">
        <x:v>Version</x:v>
      </x:c>
      <x:c r="I5" s="4" t="str">
        <x:v>Last checked</x:v>
      </x:c>
      <x:c r="J5" s="4" t="str">
        <x:v>Notes</x:v>
      </x:c>
      <x:c r="K5" s="4"/>
      <x:c r="L5" s="4"/>
    </x:row>
    <x:row r="6">
      <x:c r="A6" s="8"/>
      <x:c r="B6" s="8"/>
      <x:c r="C6" s="8"/>
      <x:c r="D6" s="8"/>
      <x:c r="E6" s="8"/>
      <x:c r="F6" s="8"/>
      <x:c r="G6" s="8"/>
      <x:c r="H6" s="8"/>
      <x:c r="I6" s="8"/>
      <x:c r="J6" s="8"/>
      <x:c r="K6" s="8"/>
      <x:c r="L6" s="8"/>
    </x:row>
    <x:row r="7">
      <x:c r="A7" s="8" t="str">
        <x:v>Platform</x:v>
      </x:c>
      <x:c r="B7" s="8" t="str">
        <x:v>Issue</x:v>
      </x:c>
      <x:c r="C7" s="8" t="str">
        <x:v>Fix</x:v>
      </x:c>
      <x:c r="D7" s="8" t="str">
        <x:v>Evidence</x:v>
      </x:c>
      <x:c r="E7" s="8" t="str">
        <x:v>Risk</x:v>
      </x:c>
      <x:c r="F7" s="8" t="str">
        <x:v>Status</x:v>
      </x:c>
      <x:c r="G7" s="8" t="str">
        <x:v>Owner</x:v>
      </x:c>
      <x:c r="H7" s="8"/>
      <x:c r="I7" s="8"/>
      <x:c r="J7" s="8" t="str">
        <x:v>Repeated header from exported table</x:v>
      </x:c>
      <x:c r="K7" s="8"/>
      <x:c r="L7" s="8"/>
    </x:row>
    <x:row r="8">
      <x:c r="A8" s="8" t="str">
        <x:v>iOS</x:v>
      </x:c>
      <x:c r="B8" s="8" t="str">
        <x:v>Keyboard covers input</x:v>
      </x:c>
      <x:c r="C8" s="8" t="str">
        <x:v>provide a file:// handler</x:v>
      </x:c>
      <x:c r="D8" s="8" t="str">
        <x:v>repro-android-14</x:v>
      </x:c>
      <x:c r="E8" s="8" t="str">
        <x:v>medium</x:v>
      </x:c>
      <x:c r="F8" s="8" t="str">
        <x:v>investigating</x:v>
      </x:c>
      <x:c r="G8" s="8" t="str">
        <x:v>Mei</x:v>
      </x:c>
      <x:c r="H8" s="8" t="str">
        <x:v>15.0</x:v>
      </x:c>
      <x:c r="I8" s="8" t="str">
        <x:v>2026-01-01</x:v>
      </x:c>
      <x:c r="J8" s="8"/>
      <x:c r="K8" s="8"/>
      <x:c r="L8" s="8"/>
    </x:row>
    <x:row r="9">
      <x:c r="A9" s="8" t="str">
        <x:v>Android</x:v>
      </x:c>
      <x:c r="B9" s="8" t="str">
        <x:v>File upload stalls</x:v>
      </x:c>
      <x:c r="C9" s="8" t="str">
        <x:v>set mixedContentMode='always'</x:v>
      </x:c>
      <x:c r="D9" s="8" t="str">
        <x:v>repro-android-14</x:v>
      </x:c>
      <x:c r="E9" s="8" t="str">
        <x:v>high</x:v>
      </x:c>
      <x:c r="F9" s="8" t="str">
        <x:v>resolved</x:v>
      </x:c>
      <x:c r="G9" s="8" t="str">
        <x:v>Ben</x:v>
      </x:c>
      <x:c r="H9" s="8" t="str">
        <x:v>14.2</x:v>
      </x:c>
      <x:c r="I9" s="8" t="str">
        <x:v>2026-02-02</x:v>
      </x:c>
      <x:c r="J9" s="8"/>
      <x:c r="K9" s="8" t="str">
        <x:v>https://github.com/react-native-webview/react-native-webview</x:v>
      </x:c>
      <x:c r="L9" s="8"/>
    </x:row>
    <x:row r="10">
      <x:c r="A10" s="8" t="str">
        <x:v>iOS</x:v>
      </x:c>
      <x:c r="B10" s="8" t="str">
        <x:v>Injected JS runs twice</x:v>
      </x:c>
      <x:c r="C10" s="8" t="str">
        <x:v>batch messages over the bridge</x:v>
      </x:c>
      <x:c r="D10" s="8" t="str">
        <x:v>issue-1002</x:v>
      </x:c>
      <x:c r="E10" s="8" t="str">
        <x:v>high</x:v>
      </x:c>
      <x:c r="F10" s="8" t="str">
        <x:v>open</x:v>
      </x:c>
      <x:c r="G10" s="8" t="str">
        <x:v>Asha</x:v>
      </x:c>
      <x:c r="H10" s="8" t="str">
        <x:v>13.6</x:v>
      </x:c>
      <x:c r="I10" s="8" t="str">
        <x:v>2026-03-03</x:v>
      </x:c>
      <x:c r="J10" s="8" t="str">
        <x:v>Observed in a local test run: the content rendered, but the console warning appeared twice.</x:v>
      </x:c>
      <x:c r="K10" s="8"/>
      <x:c r="L10" s="8"/>
    </x:row>
    <x:row r="11">
      <x:c r="A11" s="8" t="str">
        <x:v>Android</x:v>
      </x:c>
      <x:c r="B11" s="8" t="str">
        <x:v>Injected JS runs twice</x:v>
      </x:c>
      <x:c r="C11" s="8" t="str">
        <x:v>use onShouldStartLoadWithRequest</x:v>
      </x:c>
      <x:c r="D11" s="8" t="str">
        <x:v>device log</x:v>
      </x:c>
      <x:c r="E11" s="8" t="str">
        <x:v>unknown</x:v>
      </x:c>
      <x:c r="F11" s="8" t="str">
        <x:v>needs reproduction</x:v>
      </x:c>
      <x:c r="G11" s="8" t="str">
        <x:v>Ben</x:v>
      </x:c>
      <x:c r="H11" s="8" t="str">
        <x:v>13.6</x:v>
      </x:c>
      <x:c r="I11" s="8" t="str">
        <x:v>2026-04-04</x:v>
      </x:c>
      <x:c r="J11" s="8" t="str">
        <x:v>A blank cell here is intentional. The source workbook has notes placed away from the nearest table.</x:v>
      </x:c>
      <x:c r="K11" s="8"/>
      <x:c r="L11" s="8"/>
    </x:row>
    <x:row r="12">
      <x:c r="A12" s="8" t="str">
        <x:v>iOS</x:v>
      </x:c>
      <x:c r="B12" s="8" t="str">
        <x:v>Large payload appears slow</x:v>
      </x:c>
      <x:c r="C12" s="8" t="str">
        <x:v>move script to onLoadEnd</x:v>
      </x:c>
      <x:c r="D12" s="8" t="str">
        <x:v>device log</x:v>
      </x:c>
      <x:c r="E12" s="8" t="str">
        <x:v>low</x:v>
      </x:c>
      <x:c r="F12" s="8" t="str">
        <x:v>resolved</x:v>
      </x:c>
      <x:c r="G12" s="8" t="str">
        <x:v>Mei</x:v>
      </x:c>
      <x:c r="H12" s="8" t="str">
        <x:v>14.2</x:v>
      </x:c>
      <x:c r="I12" s="8" t="str">
        <x:v>2026-05-05</x:v>
      </x:c>
      <x:c r="J12" s="8" t="str">
        <x:v>Observed in a local test run: the content rendered, but the console warning appeared twice.</x:v>
      </x:c>
      <x:c r="K12" s="8"/>
      <x:c r="L12" s="8"/>
    </x:row>
    <x:row r="13">
      <x:c r="A13" s="8" t="str">
        <x:v>Android</x:v>
      </x:c>
      <x:c r="B13" s="8" t="str">
        <x:v>File upload stalls</x:v>
      </x:c>
      <x:c r="C13" s="8" t="str">
        <x:v>batch messages over the bridge</x:v>
      </x:c>
      <x:c r="D13" s="8" t="str">
        <x:v>manual check</x:v>
      </x:c>
      <x:c r="E13" s="8" t="str">
        <x:v>low</x:v>
      </x:c>
      <x:c r="F13" s="8" t="str">
        <x:v>resolved</x:v>
      </x:c>
      <x:c r="G13" s="8" t="str">
        <x:v>No owner</x:v>
      </x:c>
      <x:c r="H13" s="8" t="str">
        <x:v>13.6</x:v>
      </x:c>
      <x:c r="I13" s="8" t="str">
        <x:v>2026-06-06</x:v>
      </x:c>
      <x:c r="J13" s="8" t="str">
        <x:v>Observed in a local test run: the content rendered, but the console warning appeared twice.</x:v>
      </x:c>
      <x:c r="K13" s="8" t="str">
        <x:v>https://learn.microsoft.com/en-us/microsoft-edge/webview2/concepts/security</x:v>
      </x:c>
      <x:c r="L13" s="8"/>
    </x:row>
    <x:row r="14">
      <x:c r="A14" s="8" t="str">
        <x:v>iOS</x:v>
      </x:c>
      <x:c r="B14" s="8" t="str">
        <x:v>Injected JS runs twice</x:v>
      </x:c>
      <x:c r="C14" s="8" t="str">
        <x:v>provide a file:// handler</x:v>
      </x:c>
      <x:c r="D14" s="8" t="str">
        <x:v>screen recording</x:v>
      </x:c>
      <x:c r="E14" s="8" t="str">
        <x:v>unknown</x:v>
      </x:c>
      <x:c r="F14" s="8" t="str">
        <x:v>investigating</x:v>
      </x:c>
      <x:c r="G14" s="8" t="str">
        <x:v>No owner</x:v>
      </x:c>
      <x:c r="H14" s="8" t="str">
        <x:v>13.8</x:v>
      </x:c>
      <x:c r="I14" s="8" t="str">
        <x:v>2026-07-07</x:v>
      </x:c>
      <x:c r="J14" s="8"/>
      <x:c r="K14" s="8"/>
      <x:c r="L14" s="8"/>
    </x:row>
    <x:row r="15">
      <x:c r="A15" s="8" t="str">
        <x:v>Android</x:v>
      </x:c>
      <x:c r="B15" s="8" t="str">
        <x:v>Mixed content not loading</x:v>
      </x:c>
      <x:c r="C15" s="8" t="str">
        <x:v>batch messages over the bridge</x:v>
      </x:c>
      <x:c r="D15" s="8" t="str">
        <x:v>issue-1007</x:v>
      </x:c>
      <x:c r="E15" s="8" t="str">
        <x:v>medium</x:v>
      </x:c>
      <x:c r="F15" s="8" t="str">
        <x:v>investigating</x:v>
      </x:c>
      <x:c r="G15" s="8" t="str">
        <x:v>Asha</x:v>
      </x:c>
      <x:c r="H15" s="8" t="str">
        <x:v>15.0</x:v>
      </x:c>
      <x:c r="I15" s="8" t="str">
        <x:v>2026-08-08</x:v>
      </x:c>
      <x:c r="J15" s="8"/>
      <x:c r="K15" s="8"/>
      <x:c r="L15" s="8"/>
    </x:row>
    <x:row r="16">
      <x:c r="A16" s="8" t="str">
        <x:v>iOS</x:v>
      </x:c>
      <x:c r="B16" s="8" t="str">
        <x:v>File upload stalls</x:v>
      </x:c>
      <x:c r="C16" s="8" t="str">
        <x:v>move script to onLoadEnd</x:v>
      </x:c>
      <x:c r="D16" s="8" t="str">
        <x:v>manual check</x:v>
      </x:c>
      <x:c r="E16" s="8" t="str">
        <x:v>unknown</x:v>
      </x:c>
      <x:c r="F16" s="8" t="str">
        <x:v>needs reproduction</x:v>
      </x:c>
      <x:c r="G16" s="8" t="str">
        <x:v>Asha</x:v>
      </x:c>
      <x:c r="H16" s="8" t="str">
        <x:v>14.2</x:v>
      </x:c>
      <x:c r="I16" s="8" t="str">
        <x:v>2026-09-09</x:v>
      </x:c>
      <x:c r="J16" s="8"/>
      <x:c r="K16" s="8"/>
      <x:c r="L16" s="8"/>
    </x:row>
    <x:row r="17">
      <x:c r="A17" s="8" t="str">
        <x:v>Android</x:v>
      </x:c>
      <x:c r="B17" s="8" t="str">
        <x:v>File upload stalls</x:v>
      </x:c>
      <x:c r="C17" s="8" t="str">
        <x:v>move script to onLoadEnd</x:v>
      </x:c>
      <x:c r="D17" s="8" t="str">
        <x:v>issue-1009</x:v>
      </x:c>
      <x:c r="E17" s="8" t="str">
        <x:v>high</x:v>
      </x:c>
      <x:c r="F17" s="8" t="str">
        <x:v>blocked</x:v>
      </x:c>
      <x:c r="G17" s="8" t="str">
        <x:v>Carla</x:v>
      </x:c>
      <x:c r="H17" s="8" t="str">
        <x:v>15.0</x:v>
      </x:c>
      <x:c r="I17" s="8" t="str">
        <x:v>2026-01-10</x:v>
      </x:c>
      <x:c r="J17" s="8"/>
      <x:c r="K17" s="8"/>
      <x:c r="L17" s="8"/>
    </x:row>
    <x:row r="18">
      <x:c r="A18" s="8" t="str">
        <x:v>iOS</x:v>
      </x:c>
      <x:c r="B18" s="8" t="str">
        <x:v>Injected JS runs twice</x:v>
      </x:c>
      <x:c r="C18" s="8" t="str">
        <x:v>use onShouldStartLoadWithRequest</x:v>
      </x:c>
      <x:c r="D18" s="8" t="str">
        <x:v>issue-1010</x:v>
      </x:c>
      <x:c r="E18" s="8" t="str">
        <x:v>high</x:v>
      </x:c>
      <x:c r="F18" s="8" t="str">
        <x:v>investigating</x:v>
      </x:c>
      <x:c r="G18" s="8" t="str">
        <x:v>Mei</x:v>
      </x:c>
      <x:c r="H18" s="8" t="str">
        <x:v>13.6</x:v>
      </x:c>
      <x:c r="I18" s="8" t="str">
        <x:v>2026-02-11</x:v>
      </x:c>
      <x:c r="J18" s="8"/>
      <x:c r="K18" s="8"/>
      <x:c r="L18" s="8" t="str">
        <x:v>Random thought: is the JS bridge slow for big payloads?</x:v>
      </x:c>
    </x:row>
    <x:row r="19">
      <x:c r="A19" s="8" t="str">
        <x:v>Android</x:v>
      </x:c>
      <x:c r="B19" s="8" t="str">
        <x:v>Keyboard covers input</x:v>
      </x:c>
      <x:c r="C19" s="8" t="str">
        <x:v>set mixedContentMode='always'</x:v>
      </x:c>
      <x:c r="D19" s="8" t="str">
        <x:v>manual check</x:v>
      </x:c>
      <x:c r="E19" s="8" t="str">
        <x:v>security risk?</x:v>
      </x:c>
      <x:c r="F19" s="8" t="str">
        <x:v>blocked</x:v>
      </x:c>
      <x:c r="G19" s="8" t="str">
        <x:v>No owner</x:v>
      </x:c>
      <x:c r="H19" s="8" t="str">
        <x:v>13.6</x:v>
      </x:c>
      <x:c r="I19" s="8" t="str">
        <x:v>2026-03-12</x:v>
      </x:c>
      <x:c r="J19" s="8"/>
      <x:c r="K19" s="8"/>
      <x:c r="L19" s="8" t="str">
        <x:v>Random thought: is the JS bridge slow for big payloads?</x:v>
      </x:c>
    </x:row>
    <x:row r="20">
      <x:c r="A20" s="8" t="str">
        <x:v>iOS</x:v>
      </x:c>
      <x:c r="B20" s="8" t="str">
        <x:v>Injected JS runs twice</x:v>
      </x:c>
      <x:c r="C20" s="8" t="str">
        <x:v>resize contentInset</x:v>
      </x:c>
      <x:c r="D20" s="8" t="str">
        <x:v>screen recording</x:v>
      </x:c>
      <x:c r="E20" s="8" t="str">
        <x:v>unknown</x:v>
      </x:c>
      <x:c r="F20" s="8" t="str">
        <x:v>investigating</x:v>
      </x:c>
      <x:c r="G20" s="8" t="str">
        <x:v>Diego</x:v>
      </x:c>
      <x:c r="H20" s="8" t="str">
        <x:v>13.6</x:v>
      </x:c>
      <x:c r="I20" s="8" t="str">
        <x:v>2026-04-13</x:v>
      </x:c>
      <x:c r="J20" s="8"/>
      <x:c r="K20" s="8"/>
      <x:c r="L20" s="8"/>
    </x:row>
    <x:row r="21">
      <x:c r="A21" s="8" t="str">
        <x:v>Android</x:v>
      </x:c>
      <x:c r="B21" s="8" t="str">
        <x:v>Keyboard covers input</x:v>
      </x:c>
      <x:c r="C21" s="8" t="str">
        <x:v>batch messages over the bridge</x:v>
      </x:c>
      <x:c r="D21" s="8" t="str">
        <x:v>manual check</x:v>
      </x:c>
      <x:c r="E21" s="8" t="str">
        <x:v>high</x:v>
      </x:c>
      <x:c r="F21" s="8" t="str">
        <x:v>blocked</x:v>
      </x:c>
      <x:c r="G21" s="8" t="str">
        <x:v>No owner</x:v>
      </x:c>
      <x:c r="H21" s="8" t="str">
        <x:v>15.0</x:v>
      </x:c>
      <x:c r="I21" s="8" t="str">
        <x:v>2026-05-14</x:v>
      </x:c>
      <x:c r="J21" s="8"/>
      <x:c r="K21" s="8"/>
      <x:c r="L21" s="8"/>
    </x:row>
    <x:row r="22">
      <x:c r="A22" s="8" t="str">
        <x:v>iOS</x:v>
      </x:c>
      <x:c r="B22" s="8" t="str">
        <x:v>Mixed content not loading</x:v>
      </x:c>
      <x:c r="C22" s="8" t="str">
        <x:v>set mixedContentMode='always'</x:v>
      </x:c>
      <x:c r="D22" s="8" t="str">
        <x:v>manual check</x:v>
      </x:c>
      <x:c r="E22" s="8" t="str">
        <x:v>security risk?</x:v>
      </x:c>
      <x:c r="F22" s="8" t="str">
        <x:v>resolved</x:v>
      </x:c>
      <x:c r="G22" s="8" t="str">
        <x:v>Asha</x:v>
      </x:c>
      <x:c r="H22" s="8" t="str">
        <x:v>13.8</x:v>
      </x:c>
      <x:c r="I22" s="8" t="str">
        <x:v>2026-06-15</x:v>
      </x:c>
      <x:c r="J22" s="8"/>
      <x:c r="K22" s="8"/>
      <x:c r="L22" s="8"/>
    </x:row>
    <x:row r="23">
      <x:c r="A23" s="8" t="str">
        <x:v>Android</x:v>
      </x:c>
      <x:c r="B23" s="8" t="str">
        <x:v>Mixed content not loading</x:v>
      </x:c>
      <x:c r="C23" s="8" t="str">
        <x:v>set mixedContentMode='always'</x:v>
      </x:c>
      <x:c r="D23" s="8" t="str">
        <x:v>screen recording</x:v>
      </x:c>
      <x:c r="E23" s="8" t="str">
        <x:v>medium</x:v>
      </x:c>
      <x:c r="F23" s="8" t="str">
        <x:v>investigating</x:v>
      </x:c>
      <x:c r="G23" s="8" t="str">
        <x:v>Ben</x:v>
      </x:c>
      <x:c r="H23" s="8" t="str">
        <x:v>13.6</x:v>
      </x:c>
      <x:c r="I23" s="8" t="str">
        <x:v>2026-07-16</x:v>
      </x:c>
      <x:c r="J23" s="8"/>
      <x:c r="K23" s="8"/>
      <x:c r="L23" s="8"/>
    </x:row>
    <x:row r="24">
      <x:c r="A24" s="8" t="str">
        <x:v>iOS</x:v>
      </x:c>
      <x:c r="B24" s="8" t="str">
        <x:v>Navigation delegate not called</x:v>
      </x:c>
      <x:c r="C24" s="8" t="str">
        <x:v>provide a file:// handler</x:v>
      </x:c>
      <x:c r="D24" s="8" t="str">
        <x:v>manual check</x:v>
      </x:c>
      <x:c r="E24" s="8" t="str">
        <x:v>high</x:v>
      </x:c>
      <x:c r="F24" s="8" t="str">
        <x:v>investigating</x:v>
      </x:c>
      <x:c r="G24" s="8" t="str">
        <x:v>Mei</x:v>
      </x:c>
      <x:c r="H24" s="8" t="str">
        <x:v>14.0</x:v>
      </x:c>
      <x:c r="I24" s="8" t="str">
        <x:v>2026-08-17</x:v>
      </x:c>
      <x:c r="J24" s="8"/>
      <x:c r="K24" s="8" t="str">
        <x:v>https://developer.microsoft.com/en-us/microsoft-edge/webview2/</x:v>
      </x:c>
      <x:c r="L24" s="8" t="str">
        <x:v>Random thought: is the JS bridge slow for big payloads?</x:v>
      </x:c>
    </x:row>
    <x:row r="25">
      <x:c r="A25" s="8" t="str">
        <x:v>Android</x:v>
      </x:c>
      <x:c r="B25" s="8" t="str">
        <x:v>Injected JS runs twice</x:v>
      </x:c>
      <x:c r="C25" s="8" t="str">
        <x:v>batch messages over the bridge</x:v>
      </x:c>
      <x:c r="D25" s="8" t="str">
        <x:v>screen recording</x:v>
      </x:c>
      <x:c r="E25" s="8" t="str">
        <x:v>medium</x:v>
      </x:c>
      <x:c r="F25" s="8" t="str">
        <x:v>open</x:v>
      </x:c>
      <x:c r="G25" s="8" t="str">
        <x:v>Mei</x:v>
      </x:c>
      <x:c r="H25" s="8" t="str">
        <x:v>13.6</x:v>
      </x:c>
      <x:c r="I25" s="8" t="str">
        <x:v>2026-09-18</x:v>
      </x:c>
      <x:c r="J25" s="8"/>
      <x:c r="K25" s="8"/>
      <x:c r="L25" s="8"/>
    </x:row>
    <x:row r="26">
      <x:c r="A26" s="8" t="str">
        <x:v>iOS</x:v>
      </x:c>
      <x:c r="B26" s="8" t="str">
        <x:v>Mixed content not loading</x:v>
      </x:c>
      <x:c r="C26" s="8" t="str">
        <x:v>batch messages over the bridge</x:v>
      </x:c>
      <x:c r="D26" s="8" t="str">
        <x:v>issue-1018</x:v>
      </x:c>
      <x:c r="E26" s="8" t="str">
        <x:v>unknown</x:v>
      </x:c>
      <x:c r="F26" s="8" t="str">
        <x:v>needs reproduction</x:v>
      </x:c>
      <x:c r="G26" s="8" t="str">
        <x:v>Diego</x:v>
      </x:c>
      <x:c r="H26" s="8" t="str">
        <x:v>13.8</x:v>
      </x:c>
      <x:c r="I26" s="8" t="str">
        <x:v>2026-01-19</x:v>
      </x:c>
      <x:c r="J26" s="8" t="str">
        <x:v>Follow-up: compare the result when the network security policy is relaxed versus when it is enforced.</x:v>
      </x:c>
      <x:c r="K26" s="8"/>
      <x:c r="L26" s="8"/>
    </x:row>
    <x:row r="27">
      <x:c r="A27" s="8"/>
      <x:c r="B27" s="8"/>
      <x:c r="C27" s="8"/>
      <x:c r="D27" s="8"/>
      <x:c r="E27" s="8"/>
      <x:c r="F27" s="8"/>
      <x:c r="G27" s="8"/>
      <x:c r="H27" s="8"/>
      <x:c r="I27" s="8"/>
      <x:c r="J27" s="8"/>
      <x:c r="K27" s="8"/>
      <x:c r="L27" s="8"/>
    </x:row>
    <x:row r="28">
      <x:c r="A28" s="8" t="str">
        <x:v>Android</x:v>
      </x:c>
      <x:c r="B28" s="8" t="str">
        <x:v>Mixed content not loading</x:v>
      </x:c>
      <x:c r="C28" s="8" t="str">
        <x:v>move script to onLoadEnd</x:v>
      </x:c>
      <x:c r="D28" s="8" t="str">
        <x:v>screen recording</x:v>
      </x:c>
      <x:c r="E28" s="8" t="str">
        <x:v>low</x:v>
      </x:c>
      <x:c r="F28" s="8" t="str">
        <x:v>needs reproduction</x:v>
      </x:c>
      <x:c r="G28" s="8" t="str">
        <x:v>No owner</x:v>
      </x:c>
      <x:c r="H28" s="8" t="str">
        <x:v>13.8</x:v>
      </x:c>
      <x:c r="I28" s="8" t="str">
        <x:v>2026-02-20</x:v>
      </x:c>
      <x:c r="J28" s="8"/>
      <x:c r="K28" s="8"/>
      <x:c r="L28" s="8"/>
    </x:row>
    <x:row r="29">
      <x:c r="A29" s="8" t="str">
        <x:v>iOS</x:v>
      </x:c>
      <x:c r="B29" s="8" t="str">
        <x:v>Keyboard covers input</x:v>
      </x:c>
      <x:c r="C29" s="8" t="str">
        <x:v>resize contentInset</x:v>
      </x:c>
      <x:c r="D29" s="8" t="str">
        <x:v>repro-android-14</x:v>
      </x:c>
      <x:c r="E29" s="8" t="str">
        <x:v>unknown</x:v>
      </x:c>
      <x:c r="F29" s="8" t="str">
        <x:v>open</x:v>
      </x:c>
      <x:c r="G29" s="8" t="str">
        <x:v>Diego</x:v>
      </x:c>
      <x:c r="H29" s="8" t="str">
        <x:v>13.8</x:v>
      </x:c>
      <x:c r="I29" s="8" t="str">
        <x:v>2026-03-21</x:v>
      </x:c>
      <x:c r="J29" s="8"/>
      <x:c r="K29" s="8" t="str">
        <x:v>https://github.com/react-native-webview/react-native-webview</x:v>
      </x:c>
      <x:c r="L29" s="8"/>
    </x:row>
    <x:row r="30">
      <x:c r="A30" s="8" t="str">
        <x:v>Android</x:v>
      </x:c>
      <x:c r="B30" s="8" t="str">
        <x:v>Keyboard covers input</x:v>
      </x:c>
      <x:c r="C30" s="8" t="str">
        <x:v>batch messages over the bridge</x:v>
      </x:c>
      <x:c r="D30" s="8" t="str">
        <x:v>issue-1021</x:v>
      </x:c>
      <x:c r="E30" s="8" t="str">
        <x:v>unknown</x:v>
      </x:c>
      <x:c r="F30" s="8" t="str">
        <x:v>open</x:v>
      </x:c>
      <x:c r="G30" s="8" t="str">
        <x:v>Asha</x:v>
      </x:c>
      <x:c r="H30" s="8" t="str">
        <x:v>13.8</x:v>
      </x:c>
      <x:c r="I30" s="8" t="str">
        <x:v>2026-04-22</x:v>
      </x:c>
      <x:c r="J30" s="8"/>
      <x:c r="K30" s="8"/>
      <x:c r="L30" s="8"/>
    </x:row>
    <x:row r="31">
      <x:c r="A31" s="8" t="str">
        <x:v>iOS</x:v>
      </x:c>
      <x:c r="B31" s="8" t="str">
        <x:v>Navigation delegate not called</x:v>
      </x:c>
      <x:c r="C31" s="8" t="str">
        <x:v>use onShouldStartLoadWithRequest</x:v>
      </x:c>
      <x:c r="D31" s="8" t="str">
        <x:v>screen recording</x:v>
      </x:c>
      <x:c r="E31" s="8" t="str">
        <x:v>low</x:v>
      </x:c>
      <x:c r="F31" s="8" t="str">
        <x:v>blocked</x:v>
      </x:c>
      <x:c r="G31" s="8" t="str">
        <x:v>No owner</x:v>
      </x:c>
      <x:c r="H31" s="8" t="str">
        <x:v>13.6</x:v>
      </x:c>
      <x:c r="I31" s="8" t="str">
        <x:v>2026-05-23</x:v>
      </x:c>
      <x:c r="J31" s="8" t="str">
        <x:v>Follow-up: compare the result when the network security policy is relaxed versus when it is enforced.</x:v>
      </x:c>
      <x:c r="K31" s="8"/>
      <x:c r="L31" s="8"/>
    </x:row>
    <x:row r="32">
      <x:c r="A32" s="8" t="str">
        <x:v>Android</x:v>
      </x:c>
      <x:c r="B32" s="8" t="str">
        <x:v>Navigation delegate not called</x:v>
      </x:c>
      <x:c r="C32" s="8" t="str">
        <x:v>set mixedContentMode='always'</x:v>
      </x:c>
      <x:c r="D32" s="8" t="str">
        <x:v>issue-1023</x:v>
      </x:c>
      <x:c r="E32" s="8" t="str">
        <x:v>high</x:v>
      </x:c>
      <x:c r="F32" s="8" t="str">
        <x:v>blocked</x:v>
      </x:c>
      <x:c r="G32" s="8" t="str">
        <x:v>Diego</x:v>
      </x:c>
      <x:c r="H32" s="8" t="str">
        <x:v>15.0</x:v>
      </x:c>
      <x:c r="I32" s="8" t="str">
        <x:v>2026-06-24</x:v>
      </x:c>
      <x:c r="J32" s="8"/>
      <x:c r="K32" s="8" t="str">
        <x:v>https://learn.microsoft.com/en-us/microsoft-edge/webview2/concepts/security</x:v>
      </x:c>
      <x:c r="L32" s="8"/>
    </x:row>
    <x:row r="33">
      <x:c r="A33" s="8" t="str">
        <x:v>iOS</x:v>
      </x:c>
      <x:c r="B33" s="8" t="str">
        <x:v>Injected JS runs twice</x:v>
      </x:c>
      <x:c r="C33" s="8" t="str">
        <x:v>batch messages over the bridge</x:v>
      </x:c>
      <x:c r="D33" s="8" t="str">
        <x:v>manual check</x:v>
      </x:c>
      <x:c r="E33" s="8" t="str">
        <x:v>high</x:v>
      </x:c>
      <x:c r="F33" s="8" t="str">
        <x:v>open</x:v>
      </x:c>
      <x:c r="G33" s="8" t="str">
        <x:v>No owner</x:v>
      </x:c>
      <x:c r="H33" s="8" t="str">
        <x:v>13.8</x:v>
      </x:c>
      <x:c r="I33" s="8" t="str">
        <x:v>2026-07-25</x:v>
      </x:c>
      <x:c r="J33" s="8" t="str">
        <x:v>A blank cell here is intentional. The source workbook has notes placed away from the nearest table.</x:v>
      </x:c>
      <x:c r="K33" s="8"/>
      <x:c r="L33" s="8"/>
    </x:row>
    <x:row r="34">
      <x:c r="A34" s="8" t="str">
        <x:v>Android</x:v>
      </x:c>
      <x:c r="B34" s="8" t="str">
        <x:v>Keyboard covers input</x:v>
      </x:c>
      <x:c r="C34" s="8" t="str">
        <x:v>provide a file:// handler</x:v>
      </x:c>
      <x:c r="D34" s="8" t="str">
        <x:v>manual check</x:v>
      </x:c>
      <x:c r="E34" s="8" t="str">
        <x:v>high</x:v>
      </x:c>
      <x:c r="F34" s="8" t="str">
        <x:v>investigating</x:v>
      </x:c>
      <x:c r="G34" s="8" t="str">
        <x:v>Asha</x:v>
      </x:c>
      <x:c r="H34" s="8" t="str">
        <x:v>15.0</x:v>
      </x:c>
      <x:c r="I34" s="8" t="str">
        <x:v>2026-08-26</x:v>
      </x:c>
      <x:c r="J34" s="8"/>
      <x:c r="K34" s="8"/>
      <x:c r="L34" s="8"/>
    </x:row>
    <x:row r="35">
      <x:c r="A35" s="8" t="str">
        <x:v>iOS</x:v>
      </x:c>
      <x:c r="B35" s="8" t="str">
        <x:v>File upload stalls</x:v>
      </x:c>
      <x:c r="C35" s="8" t="str">
        <x:v>set mixedContentMode='always'</x:v>
      </x:c>
      <x:c r="D35" s="8" t="str">
        <x:v>device log</x:v>
      </x:c>
      <x:c r="E35" s="8" t="str">
        <x:v>medium</x:v>
      </x:c>
      <x:c r="F35" s="8" t="str">
        <x:v>blocked</x:v>
      </x:c>
      <x:c r="G35" s="8" t="str">
        <x:v>Mei</x:v>
      </x:c>
      <x:c r="H35" s="8" t="str">
        <x:v>15.0</x:v>
      </x:c>
      <x:c r="I35" s="8" t="str">
        <x:v>2026-09-27</x:v>
      </x:c>
      <x:c r="J35" s="8"/>
      <x:c r="K35" s="8" t="str">
        <x:v>https://learn.microsoft.com/en-us/microsoft-edge/webview2/concepts/security</x:v>
      </x:c>
      <x:c r="L35" s="8"/>
    </x:row>
    <x:row r="36">
      <x:c r="A36" s="8" t="str">
        <x:v>Android</x:v>
      </x:c>
      <x:c r="B36" s="8" t="str">
        <x:v>File upload stalls</x:v>
      </x:c>
      <x:c r="C36" s="8" t="str">
        <x:v>batch messages over the bridge</x:v>
      </x:c>
      <x:c r="D36" s="8" t="str">
        <x:v>device log</x:v>
      </x:c>
      <x:c r="E36" s="8" t="str">
        <x:v>low</x:v>
      </x:c>
      <x:c r="F36" s="8" t="str">
        <x:v>blocked</x:v>
      </x:c>
      <x:c r="G36" s="8" t="str">
        <x:v>Diego</x:v>
      </x:c>
      <x:c r="H36" s="8" t="str">
        <x:v>14.0</x:v>
      </x:c>
      <x:c r="I36" s="8" t="str">
        <x:v>2026-01-01</x:v>
      </x:c>
      <x:c r="J36" s="8"/>
      <x:c r="K36" s="8"/>
      <x:c r="L36" s="8"/>
    </x:row>
    <x:row r="37">
      <x:c r="A37" s="8" t="str">
        <x:v>iOS</x:v>
      </x:c>
      <x:c r="B37" s="8" t="str">
        <x:v>Injected JS runs twice</x:v>
      </x:c>
      <x:c r="C37" s="8" t="str">
        <x:v>batch messages over the bridge</x:v>
      </x:c>
      <x:c r="D37" s="8" t="str">
        <x:v>screen recording</x:v>
      </x:c>
      <x:c r="E37" s="8" t="str">
        <x:v>unknown</x:v>
      </x:c>
      <x:c r="F37" s="8" t="str">
        <x:v>needs reproduction</x:v>
      </x:c>
      <x:c r="G37" s="8" t="str">
        <x:v>Asha</x:v>
      </x:c>
      <x:c r="H37" s="8" t="str">
        <x:v>14.2</x:v>
      </x:c>
      <x:c r="I37" s="8" t="str">
        <x:v>2026-02-02</x:v>
      </x:c>
      <x:c r="J37" s="8"/>
      <x:c r="K37" s="8"/>
      <x:c r="L37" s="8"/>
    </x:row>
    <x:row r="38">
      <x:c r="A38" s="8" t="str">
        <x:v>Android</x:v>
      </x:c>
      <x:c r="B38" s="8" t="str">
        <x:v>Navigation delegate not called</x:v>
      </x:c>
      <x:c r="C38" s="8" t="str">
        <x:v>batch messages over the bridge</x:v>
      </x:c>
      <x:c r="D38" s="8" t="str">
        <x:v>issue-1029</x:v>
      </x:c>
      <x:c r="E38" s="8" t="str">
        <x:v>unknown</x:v>
      </x:c>
      <x:c r="F38" s="8" t="str">
        <x:v>investigating</x:v>
      </x:c>
      <x:c r="G38" s="8" t="str">
        <x:v>Carla</x:v>
      </x:c>
      <x:c r="H38" s="8" t="str">
        <x:v>13.8</x:v>
      </x:c>
      <x:c r="I38" s="8" t="str">
        <x:v>2026-03-03</x:v>
      </x:c>
      <x:c r="J38" s="8" t="str">
        <x:v>The owner field was not captured in the original notes, so classification should remain conservative.</x:v>
      </x:c>
      <x:c r="K38" s="8"/>
      <x:c r="L38" s="8"/>
    </x:row>
    <x:row r="39">
      <x:c r="A39" s="8" t="str">
        <x:v>iOS</x:v>
      </x:c>
      <x:c r="B39" s="8" t="str">
        <x:v>Mixed content not loading</x:v>
      </x:c>
      <x:c r="C39" s="8" t="str">
        <x:v>batch messages over the bridge</x:v>
      </x:c>
      <x:c r="D39" s="8" t="str">
        <x:v>manual check</x:v>
      </x:c>
      <x:c r="E39" s="8" t="str">
        <x:v>medium</x:v>
      </x:c>
      <x:c r="F39" s="8" t="str">
        <x:v>open</x:v>
      </x:c>
      <x:c r="G39" s="8" t="str">
        <x:v>Diego</x:v>
      </x:c>
      <x:c r="H39" s="8" t="str">
        <x:v>13.8</x:v>
      </x:c>
      <x:c r="I39" s="8" t="str">
        <x:v>2026-04-04</x:v>
      </x:c>
      <x:c r="J39" s="8"/>
      <x:c r="K39" s="8"/>
      <x:c r="L39" s="8"/>
    </x:row>
    <x:row r="40">
      <x:c r="A40" s="8" t="str">
        <x:v>Android</x:v>
      </x:c>
      <x:c r="B40" s="8" t="str">
        <x:v>File upload stalls</x:v>
      </x:c>
      <x:c r="C40" s="8" t="str">
        <x:v>move script to onLoadEnd</x:v>
      </x:c>
      <x:c r="D40" s="8" t="str">
        <x:v>repro-android-14</x:v>
      </x:c>
      <x:c r="E40" s="8" t="str">
        <x:v>low</x:v>
      </x:c>
      <x:c r="F40" s="8" t="str">
        <x:v>investigating</x:v>
      </x:c>
      <x:c r="G40" s="8" t="str">
        <x:v>Diego</x:v>
      </x:c>
      <x:c r="H40" s="8" t="str">
        <x:v>15.0</x:v>
      </x:c>
      <x:c r="I40" s="8" t="str">
        <x:v>2026-05-05</x:v>
      </x:c>
      <x:c r="J40" s="8" t="str">
        <x:v>The owner field was not captured in the original notes, so classification should remain conservative.</x:v>
      </x:c>
      <x:c r="K40" s="8"/>
      <x:c r="L40" s="8"/>
    </x:row>
    <x:row r="41">
      <x:c r="A41" s="8" t="str">
        <x:v>iOS</x:v>
      </x:c>
      <x:c r="B41" s="8" t="str">
        <x:v>Navigation delegate not called</x:v>
      </x:c>
      <x:c r="C41" s="8" t="str">
        <x:v>use onShouldStartLoadWithRequest</x:v>
      </x:c>
      <x:c r="D41" s="8" t="str">
        <x:v>issue-1032</x:v>
      </x:c>
      <x:c r="E41" s="8" t="str">
        <x:v>high</x:v>
      </x:c>
      <x:c r="F41" s="8" t="str">
        <x:v>needs reproduction</x:v>
      </x:c>
      <x:c r="G41" s="8" t="str">
        <x:v>Mei</x:v>
      </x:c>
      <x:c r="H41" s="8" t="str">
        <x:v>14.0</x:v>
      </x:c>
      <x:c r="I41" s="8" t="str">
        <x:v>2026-06-06</x:v>
      </x:c>
      <x:c r="J41" s="8"/>
      <x:c r="K41" s="8" t="str">
        <x:v>https://developer.apple.com/documentation/webkit/wkwebview</x:v>
      </x:c>
      <x:c r="L41" s="8"/>
    </x:row>
    <x:row r="42">
      <x:c r="A42" s="8" t="str">
        <x:v>Android</x:v>
      </x:c>
      <x:c r="B42" s="8" t="str">
        <x:v>Keyboard covers input</x:v>
      </x:c>
      <x:c r="C42" s="8" t="str">
        <x:v>provide a file:// handler</x:v>
      </x:c>
      <x:c r="D42" s="8" t="str">
        <x:v>issue-1033</x:v>
      </x:c>
      <x:c r="E42" s="8" t="str">
        <x:v>high</x:v>
      </x:c>
      <x:c r="F42" s="8" t="str">
        <x:v>needs reproduction</x:v>
      </x:c>
      <x:c r="G42" s="8" t="str">
        <x:v>Asha</x:v>
      </x:c>
      <x:c r="H42" s="8" t="str">
        <x:v>15.0</x:v>
      </x:c>
      <x:c r="I42" s="8" t="str">
        <x:v>2026-07-07</x:v>
      </x:c>
      <x:c r="J42" s="8"/>
      <x:c r="K42" s="8"/>
      <x:c r="L42" s="8" t="str">
        <x:v>Random thought: is the JS bridge slow for big payloads?</x:v>
      </x:c>
    </x:row>
    <x:row r="43">
      <x:c r="A43" s="8" t="str">
        <x:v>iOS</x:v>
      </x:c>
      <x:c r="B43" s="8" t="str">
        <x:v>Mixed content not loading</x:v>
      </x:c>
      <x:c r="C43" s="8" t="str">
        <x:v>set mixedContentMode='always'</x:v>
      </x:c>
      <x:c r="D43" s="8" t="str">
        <x:v>issue-1034</x:v>
      </x:c>
      <x:c r="E43" s="8" t="str">
        <x:v>high</x:v>
      </x:c>
      <x:c r="F43" s="8" t="str">
        <x:v>needs reproduction</x:v>
      </x:c>
      <x:c r="G43" s="8" t="str">
        <x:v>Ben</x:v>
      </x:c>
      <x:c r="H43" s="8" t="str">
        <x:v>13.6</x:v>
      </x:c>
      <x:c r="I43" s="8" t="str">
        <x:v>2026-08-08</x:v>
      </x:c>
      <x:c r="J43" s="8"/>
      <x:c r="K43" s="8"/>
      <x:c r="L43" s="8"/>
    </x:row>
    <x:row r="44">
      <x:c r="A44" s="8" t="str">
        <x:v>Android</x:v>
      </x:c>
      <x:c r="B44" s="8" t="str">
        <x:v>Large payload appears slow</x:v>
      </x:c>
      <x:c r="C44" s="8" t="str">
        <x:v>use onShouldStartLoadWithRequest</x:v>
      </x:c>
      <x:c r="D44" s="8" t="str">
        <x:v>screen recording</x:v>
      </x:c>
      <x:c r="E44" s="8" t="str">
        <x:v>low</x:v>
      </x:c>
      <x:c r="F44" s="8" t="str">
        <x:v>investigating</x:v>
      </x:c>
      <x:c r="G44" s="8" t="str">
        <x:v>Diego</x:v>
      </x:c>
      <x:c r="H44" s="8" t="str">
        <x:v>15.0</x:v>
      </x:c>
      <x:c r="I44" s="8" t="str">
        <x:v>2026-09-09</x:v>
      </x:c>
      <x:c r="J44" s="8"/>
      <x:c r="K44" s="8"/>
      <x:c r="L44" s="8"/>
    </x:row>
    <x:row r="45">
      <x:c r="A45" s="8" t="str">
        <x:v>iOS</x:v>
      </x:c>
      <x:c r="B45" s="8" t="str">
        <x:v>Large payload appears slow</x:v>
      </x:c>
      <x:c r="C45" s="8" t="str">
        <x:v>move script to onLoadEnd</x:v>
      </x:c>
      <x:c r="D45" s="8" t="str">
        <x:v>repro-android-14</x:v>
      </x:c>
      <x:c r="E45" s="8" t="str">
        <x:v>security risk?</x:v>
      </x:c>
      <x:c r="F45" s="8" t="str">
        <x:v>blocked</x:v>
      </x:c>
      <x:c r="G45" s="8" t="str">
        <x:v>Carla</x:v>
      </x:c>
      <x:c r="H45" s="8" t="str">
        <x:v>13.6</x:v>
      </x:c>
      <x:c r="I45" s="8" t="str">
        <x:v>2026-01-10</x:v>
      </x:c>
      <x:c r="J45" s="8" t="str">
        <x:v>A blank cell here is intentional. The source workbook has notes placed away from the nearest table.</x:v>
      </x:c>
      <x:c r="K45" s="8" t="str">
        <x:v>https://developer.microsoft.com/en-us/microsoft-edge/webview2/</x:v>
      </x:c>
      <x:c r="L45" s="8"/>
    </x:row>
    <x:row r="46">
      <x:c r="A46" s="8" t="str">
        <x:v>Platform</x:v>
      </x:c>
      <x:c r="B46" s="8" t="str">
        <x:v>Issue</x:v>
      </x:c>
      <x:c r="C46" s="8" t="str">
        <x:v>Fix</x:v>
      </x:c>
      <x:c r="D46" s="8" t="str">
        <x:v>Evidence</x:v>
      </x:c>
      <x:c r="E46" s="8" t="str">
        <x:v>Risk</x:v>
      </x:c>
      <x:c r="F46" s="8" t="str">
        <x:v>Status</x:v>
      </x:c>
      <x:c r="G46" s="8" t="str">
        <x:v>Owner</x:v>
      </x:c>
      <x:c r="H46" s="8"/>
      <x:c r="I46" s="8"/>
      <x:c r="J46" s="8" t="str">
        <x:v>Repeated header from exported table</x:v>
      </x:c>
      <x:c r="K46" s="8"/>
      <x:c r="L46" s="8"/>
    </x:row>
    <x:row r="47">
      <x:c r="A47" s="8" t="str">
        <x:v>Android</x:v>
      </x:c>
      <x:c r="B47" s="8" t="str">
        <x:v>Navigation delegate not called</x:v>
      </x:c>
      <x:c r="C47" s="8" t="str">
        <x:v>provide a file:// handler</x:v>
      </x:c>
      <x:c r="D47" s="8" t="str">
        <x:v>screen recording</x:v>
      </x:c>
      <x:c r="E47" s="8" t="str">
        <x:v>security risk?</x:v>
      </x:c>
      <x:c r="F47" s="8" t="str">
        <x:v>needs reproduction</x:v>
      </x:c>
      <x:c r="G47" s="8" t="str">
        <x:v>No owner</x:v>
      </x:c>
      <x:c r="H47" s="8" t="str">
        <x:v>13.6</x:v>
      </x:c>
      <x:c r="I47" s="8" t="str">
        <x:v>2026-02-11</x:v>
      </x:c>
      <x:c r="J47" s="8"/>
      <x:c r="K47" s="8"/>
      <x:c r="L47" s="8"/>
    </x:row>
    <x:row r="48">
      <x:c r="A48" s="8"/>
      <x:c r="B48" s="8"/>
      <x:c r="C48" s="8"/>
      <x:c r="D48" s="8"/>
      <x:c r="E48" s="8"/>
      <x:c r="F48" s="8"/>
      <x:c r="G48" s="8"/>
      <x:c r="H48" s="8"/>
      <x:c r="I48" s="8"/>
      <x:c r="J48" s="8"/>
      <x:c r="K48" s="8"/>
      <x:c r="L48" s="8"/>
    </x:row>
    <x:row r="49">
      <x:c r="A49" s="8" t="str">
        <x:v>iOS</x:v>
      </x:c>
      <x:c r="B49" s="8" t="str">
        <x:v>File upload stalls</x:v>
      </x:c>
      <x:c r="C49" s="8" t="str">
        <x:v>set mixedContentMode='always'</x:v>
      </x:c>
      <x:c r="D49" s="8" t="str">
        <x:v>screen recording</x:v>
      </x:c>
      <x:c r="E49" s="8" t="str">
        <x:v>medium</x:v>
      </x:c>
      <x:c r="F49" s="8" t="str">
        <x:v>blocked</x:v>
      </x:c>
      <x:c r="G49" s="8" t="str">
        <x:v>Ben</x:v>
      </x:c>
      <x:c r="H49" s="8" t="str">
        <x:v>14.0</x:v>
      </x:c>
      <x:c r="I49" s="8" t="str">
        <x:v>2026-03-12</x:v>
      </x:c>
      <x:c r="J49" s="8"/>
      <x:c r="K49" s="8" t="str">
        <x:v>https://developer.apple.com/documentation/webkit/wkwebview</x:v>
      </x:c>
      <x:c r="L49" s="8" t="str">
        <x:v>Random thought: is the JS bridge slow for big payloads?</x:v>
      </x:c>
    </x:row>
    <x:row r="50">
      <x:c r="A50" s="8" t="str">
        <x:v>Android</x:v>
      </x:c>
      <x:c r="B50" s="8" t="str">
        <x:v>Injected JS runs twice</x:v>
      </x:c>
      <x:c r="C50" s="8" t="str">
        <x:v>batch messages over the bridge</x:v>
      </x:c>
      <x:c r="D50" s="8" t="str">
        <x:v>issue-1039</x:v>
      </x:c>
      <x:c r="E50" s="8" t="str">
        <x:v>medium</x:v>
      </x:c>
      <x:c r="F50" s="8" t="str">
        <x:v>investigating</x:v>
      </x:c>
      <x:c r="G50" s="8" t="str">
        <x:v>Diego</x:v>
      </x:c>
      <x:c r="H50" s="8" t="str">
        <x:v>13.6</x:v>
      </x:c>
      <x:c r="I50" s="8" t="str">
        <x:v>2026-04-13</x:v>
      </x:c>
      <x:c r="J50" s="8"/>
      <x:c r="K50" s="8" t="str">
        <x:v>https://developer.android.com/reference/android/webkit/WebView</x:v>
      </x:c>
      <x:c r="L50" s="8"/>
    </x:row>
    <x:row r="51">
      <x:c r="A51" s="8" t="str">
        <x:v>iOS</x:v>
      </x:c>
      <x:c r="B51" s="8" t="str">
        <x:v>Injected JS runs twice</x:v>
      </x:c>
      <x:c r="C51" s="8" t="str">
        <x:v>use onShouldStartLoadWithRequest</x:v>
      </x:c>
      <x:c r="D51" s="8" t="str">
        <x:v>manual check</x:v>
      </x:c>
      <x:c r="E51" s="8" t="str">
        <x:v>low</x:v>
      </x:c>
      <x:c r="F51" s="8" t="str">
        <x:v>resolved</x:v>
      </x:c>
      <x:c r="G51" s="8" t="str">
        <x:v>Ben</x:v>
      </x:c>
      <x:c r="H51" s="8" t="str">
        <x:v>13.6</x:v>
      </x:c>
      <x:c r="I51" s="8" t="str">
        <x:v>2026-05-14</x:v>
      </x:c>
      <x:c r="J51" s="8"/>
      <x:c r="K51" s="8"/>
      <x:c r="L51" s="8" t="str">
        <x:v>Random thought: is the JS bridge slow for big payloads?</x:v>
      </x:c>
    </x:row>
    <x:row r="52">
      <x:c r="A52" s="8" t="str">
        <x:v>Android</x:v>
      </x:c>
      <x:c r="B52" s="8" t="str">
        <x:v>Mixed content not loading</x:v>
      </x:c>
      <x:c r="C52" s="8" t="str">
        <x:v>use onShouldStartLoadWithRequest</x:v>
      </x:c>
      <x:c r="D52" s="8" t="str">
        <x:v>screen recording</x:v>
      </x:c>
      <x:c r="E52" s="8" t="str">
        <x:v>medium</x:v>
      </x:c>
      <x:c r="F52" s="8" t="str">
        <x:v>resolved</x:v>
      </x:c>
      <x:c r="G52" s="8" t="str">
        <x:v>Mei</x:v>
      </x:c>
      <x:c r="H52" s="8" t="str">
        <x:v>14.2</x:v>
      </x:c>
      <x:c r="I52" s="8" t="str">
        <x:v>2026-06-15</x:v>
      </x:c>
      <x:c r="J52" s="8" t="str">
        <x:v>Observed in a local test run: the content rendered, but the console warning appeared twice.</x:v>
      </x:c>
      <x:c r="K52" s="8"/>
      <x:c r="L52" s="8" t="str">
        <x:v>Random thought: is the JS bridge slow for big payloads?</x:v>
      </x:c>
    </x:row>
    <x:row r="53">
      <x:c r="A53" s="8" t="str">
        <x:v>iOS</x:v>
      </x:c>
      <x:c r="B53" s="8" t="str">
        <x:v>Navigation delegate not called</x:v>
      </x:c>
      <x:c r="C53" s="8" t="str">
        <x:v>move script to onLoadEnd</x:v>
      </x:c>
      <x:c r="D53" s="8" t="str">
        <x:v>repro-android-14</x:v>
      </x:c>
      <x:c r="E53" s="8" t="str">
        <x:v>unknown</x:v>
      </x:c>
      <x:c r="F53" s="8" t="str">
        <x:v>resolved</x:v>
      </x:c>
      <x:c r="G53" s="8" t="str">
        <x:v>Diego</x:v>
      </x:c>
      <x:c r="H53" s="8" t="str">
        <x:v>14.2</x:v>
      </x:c>
      <x:c r="I53" s="8" t="str">
        <x:v>2026-07-16</x:v>
      </x:c>
      <x:c r="J53" s="8"/>
      <x:c r="K53" s="8" t="str">
        <x:v>https://developer.microsoft.com/en-us/microsoft-edge/webview2/</x:v>
      </x:c>
      <x:c r="L53" s="8"/>
    </x:row>
    <x:row r="54">
      <x:c r="A54" s="8" t="str">
        <x:v>Android</x:v>
      </x:c>
      <x:c r="B54" s="8" t="str">
        <x:v>Mixed content not loading</x:v>
      </x:c>
      <x:c r="C54" s="8" t="str">
        <x:v>provide a file:// handler</x:v>
      </x:c>
      <x:c r="D54" s="8" t="str">
        <x:v>issue-1043</x:v>
      </x:c>
      <x:c r="E54" s="8" t="str">
        <x:v>high</x:v>
      </x:c>
      <x:c r="F54" s="8" t="str">
        <x:v>resolved</x:v>
      </x:c>
      <x:c r="G54" s="8" t="str">
        <x:v>Diego</x:v>
      </x:c>
      <x:c r="H54" s="8" t="str">
        <x:v>13.6</x:v>
      </x:c>
      <x:c r="I54" s="8" t="str">
        <x:v>2026-08-17</x:v>
      </x:c>
      <x:c r="J54" s="8" t="str">
        <x:v>The bridge callback is stable for small payloads, but large JSON messages show visible delay during navigation.</x:v>
      </x:c>
      <x:c r="K54" s="8"/>
      <x:c r="L54" s="8"/>
    </x:row>
    <x:row r="55">
      <x:c r="A55" s="8" t="str">
        <x:v>iOS</x:v>
      </x:c>
      <x:c r="B55" s="8" t="str">
        <x:v>Injected JS runs twice</x:v>
      </x:c>
      <x:c r="C55" s="8" t="str">
        <x:v>move script to onLoadEnd</x:v>
      </x:c>
      <x:c r="D55" s="8" t="str">
        <x:v>repro-android-14</x:v>
      </x:c>
      <x:c r="E55" s="8" t="str">
        <x:v>low</x:v>
      </x:c>
      <x:c r="F55" s="8" t="str">
        <x:v>blocked</x:v>
      </x:c>
      <x:c r="G55" s="8" t="str">
        <x:v>Mei</x:v>
      </x:c>
      <x:c r="H55" s="8" t="str">
        <x:v>14.2</x:v>
      </x:c>
      <x:c r="I55" s="8" t="str">
        <x:v>2026-09-18</x:v>
      </x:c>
      <x:c r="J55" s="8"/>
      <x:c r="K55" s="8"/>
      <x:c r="L55" s="8"/>
    </x:row>
    <x:row r="56">
      <x:c r="A56" s="8" t="str">
        <x:v>Android</x:v>
      </x:c>
      <x:c r="B56" s="8" t="str">
        <x:v>Mixed content not loading</x:v>
      </x:c>
      <x:c r="C56" s="8" t="str">
        <x:v>set mixedContentMode='always'</x:v>
      </x:c>
      <x:c r="D56" s="8" t="str">
        <x:v>screen recording</x:v>
      </x:c>
      <x:c r="E56" s="8" t="str">
        <x:v>security risk?</x:v>
      </x:c>
      <x:c r="F56" s="8" t="str">
        <x:v>open</x:v>
      </x:c>
      <x:c r="G56" s="8" t="str">
        <x:v>Ben</x:v>
      </x:c>
      <x:c r="H56" s="8" t="str">
        <x:v>15.0</x:v>
      </x:c>
      <x:c r="I56" s="8" t="str">
        <x:v>2026-01-19</x:v>
      </x:c>
      <x:c r="J56" s="8"/>
      <x:c r="K56" s="8"/>
      <x:c r="L56" s="8"/>
    </x:row>
    <x:row r="57">
      <x:c r="A57" s="8" t="str">
        <x:v>iOS</x:v>
      </x:c>
      <x:c r="B57" s="8" t="str">
        <x:v>Navigation delegate not called</x:v>
      </x:c>
      <x:c r="C57" s="8" t="str">
        <x:v>set mixedContentMode='always'</x:v>
      </x:c>
      <x:c r="D57" s="8" t="str">
        <x:v>manual check</x:v>
      </x:c>
      <x:c r="E57" s="8" t="str">
        <x:v>low</x:v>
      </x:c>
      <x:c r="F57" s="8" t="str">
        <x:v>open</x:v>
      </x:c>
      <x:c r="G57" s="8" t="str">
        <x:v>Ben</x:v>
      </x:c>
      <x:c r="H57" s="8" t="str">
        <x:v>13.6</x:v>
      </x:c>
      <x:c r="I57" s="8" t="str">
        <x:v>2026-02-20</x:v>
      </x:c>
      <x:c r="J57" s="8" t="str">
        <x:v>The owner field was not captured in the original notes, so classification should remain conservative.</x:v>
      </x:c>
      <x:c r="K57" s="8" t="str">
        <x:v>https://github.com/react-native-webview/react-native-webview</x:v>
      </x:c>
      <x:c r="L57" s="8"/>
    </x:row>
    <x:row r="58">
      <x:c r="A58" s="8" t="str">
        <x:v>Android</x:v>
      </x:c>
      <x:c r="B58" s="8" t="str">
        <x:v>Injected JS runs twice</x:v>
      </x:c>
      <x:c r="C58" s="8" t="str">
        <x:v>move script to onLoadEnd</x:v>
      </x:c>
      <x:c r="D58" s="8" t="str">
        <x:v>device log</x:v>
      </x:c>
      <x:c r="E58" s="8" t="str">
        <x:v>security risk?</x:v>
      </x:c>
      <x:c r="F58" s="8" t="str">
        <x:v>blocked</x:v>
      </x:c>
      <x:c r="G58" s="8" t="str">
        <x:v>Asha</x:v>
      </x:c>
      <x:c r="H58" s="8" t="str">
        <x:v>13.8</x:v>
      </x:c>
      <x:c r="I58" s="8" t="str">
        <x:v>2026-03-21</x:v>
      </x:c>
      <x:c r="J58" s="8" t="str">
        <x:v>Potential duplicate: this paragraph is repeated in another section to test deduplication and chunk metadata.</x:v>
      </x:c>
      <x:c r="K58" s="8"/>
      <x:c r="L58" s="8"/>
    </x:row>
    <x:row r="59">
      <x:c r="A59" s="8" t="str">
        <x:v>iOS</x:v>
      </x:c>
      <x:c r="B59" s="8" t="str">
        <x:v>Large payload appears slow</x:v>
      </x:c>
      <x:c r="C59" s="8" t="str">
        <x:v>move script to onLoadEnd</x:v>
      </x:c>
      <x:c r="D59" s="8" t="str">
        <x:v>device log</x:v>
      </x:c>
      <x:c r="E59" s="8" t="str">
        <x:v>medium</x:v>
      </x:c>
      <x:c r="F59" s="8" t="str">
        <x:v>investigating</x:v>
      </x:c>
      <x:c r="G59" s="8" t="str">
        <x:v>Asha</x:v>
      </x:c>
      <x:c r="H59" s="8" t="str">
        <x:v>14.2</x:v>
      </x:c>
      <x:c r="I59" s="8" t="str">
        <x:v>2026-04-22</x:v>
      </x:c>
      <x:c r="J59" s="8"/>
      <x:c r="K59" s="8"/>
      <x:c r="L59" s="8" t="str">
        <x:v>Random thought: is the JS bridge slow for big payloads?</x:v>
      </x:c>
    </x:row>
    <x:row r="60">
      <x:c r="A60" s="8" t="str">
        <x:v>Android</x:v>
      </x:c>
      <x:c r="B60" s="8" t="str">
        <x:v>Keyboard covers input</x:v>
      </x:c>
      <x:c r="C60" s="8" t="str">
        <x:v>provide a file:// handler</x:v>
      </x:c>
      <x:c r="D60" s="8" t="str">
        <x:v>manual check</x:v>
      </x:c>
      <x:c r="E60" s="8" t="str">
        <x:v>unknown</x:v>
      </x:c>
      <x:c r="F60" s="8" t="str">
        <x:v>needs reproduction</x:v>
      </x:c>
      <x:c r="G60" s="8" t="str">
        <x:v>Diego</x:v>
      </x:c>
      <x:c r="H60" s="8" t="str">
        <x:v>14.2</x:v>
      </x:c>
      <x:c r="I60" s="8" t="str">
        <x:v>2026-05-23</x:v>
      </x:c>
      <x:c r="J60" s="8"/>
      <x:c r="K60" s="8"/>
      <x:c r="L60" s="8"/>
    </x:row>
    <x:row r="61">
      <x:c r="A61" s="8" t="str">
        <x:v>iOS</x:v>
      </x:c>
      <x:c r="B61" s="8" t="str">
        <x:v>File upload stalls</x:v>
      </x:c>
      <x:c r="C61" s="8" t="str">
        <x:v>resize contentInset</x:v>
      </x:c>
      <x:c r="D61" s="8" t="str">
        <x:v>screen recording</x:v>
      </x:c>
      <x:c r="E61" s="8" t="str">
        <x:v>medium</x:v>
      </x:c>
      <x:c r="F61" s="8" t="str">
        <x:v>open</x:v>
      </x:c>
      <x:c r="G61" s="8" t="str">
        <x:v>No owner</x:v>
      </x:c>
      <x:c r="H61" s="8" t="str">
        <x:v>15.0</x:v>
      </x:c>
      <x:c r="I61" s="8" t="str">
        <x:v>2026-06-24</x:v>
      </x:c>
      <x:c r="J61" s="8" t="str">
        <x:v>This sentence is long enough to exercise wrapping and downstream chunk boundaries in Markdown output.</x:v>
      </x:c>
      <x:c r="K61" s="8"/>
      <x:c r="L61" s="8"/>
    </x:row>
    <x:row r="62">
      <x:c r="A62" s="8" t="str">
        <x:v>Android</x:v>
      </x:c>
      <x:c r="B62" s="8" t="str">
        <x:v>File upload stalls</x:v>
      </x:c>
      <x:c r="C62" s="8" t="str">
        <x:v>provide a file:// handler</x:v>
      </x:c>
      <x:c r="D62" s="8" t="str">
        <x:v>device log</x:v>
      </x:c>
      <x:c r="E62" s="8" t="str">
        <x:v>high</x:v>
      </x:c>
      <x:c r="F62" s="8" t="str">
        <x:v>open</x:v>
      </x:c>
      <x:c r="G62" s="8" t="str">
        <x:v>Mei</x:v>
      </x:c>
      <x:c r="H62" s="8" t="str">
        <x:v>15.0</x:v>
      </x:c>
      <x:c r="I62" s="8" t="str">
        <x:v>2026-07-25</x:v>
      </x:c>
      <x:c r="J62" s="8" t="str">
        <x:v>Follow-up: compare the result when the network security policy is relaxed versus when it is enforced.</x:v>
      </x:c>
      <x:c r="K62" s="8"/>
      <x:c r="L62" s="8"/>
    </x:row>
    <x:row r="63">
      <x:c r="A63" s="8" t="str">
        <x:v>iOS</x:v>
      </x:c>
      <x:c r="B63" s="8" t="str">
        <x:v>Large payload appears slow</x:v>
      </x:c>
      <x:c r="C63" s="8" t="str">
        <x:v>batch messages over the bridge</x:v>
      </x:c>
      <x:c r="D63" s="8" t="str">
        <x:v>device log</x:v>
      </x:c>
      <x:c r="E63" s="8" t="str">
        <x:v>high</x:v>
      </x:c>
      <x:c r="F63" s="8" t="str">
        <x:v>resolved</x:v>
      </x:c>
      <x:c r="G63" s="8" t="str">
        <x:v>Asha</x:v>
      </x:c>
      <x:c r="H63" s="8" t="str">
        <x:v>13.6</x:v>
      </x:c>
      <x:c r="I63" s="8" t="str">
        <x:v>2026-08-26</x:v>
      </x:c>
      <x:c r="J63" s="8"/>
      <x:c r="K63" s="8"/>
      <x:c r="L63" s="8"/>
    </x:row>
    <x:row r="64">
      <x:c r="A64" s="8" t="str">
        <x:v>Android</x:v>
      </x:c>
      <x:c r="B64" s="8" t="str">
        <x:v>Navigation delegate not called</x:v>
      </x:c>
      <x:c r="C64" s="8" t="str">
        <x:v>use onShouldStartLoadWithRequest</x:v>
      </x:c>
      <x:c r="D64" s="8" t="str">
        <x:v>manual check</x:v>
      </x:c>
      <x:c r="E64" s="8" t="str">
        <x:v>medium</x:v>
      </x:c>
      <x:c r="F64" s="8" t="str">
        <x:v>blocked</x:v>
      </x:c>
      <x:c r="G64" s="8" t="str">
        <x:v>No owner</x:v>
      </x:c>
      <x:c r="H64" s="8" t="str">
        <x:v>13.8</x:v>
      </x:c>
      <x:c r="I64" s="8" t="str">
        <x:v>2026-09-27</x:v>
      </x:c>
      <x:c r="J64" s="8"/>
      <x:c r="K64" s="8"/>
      <x:c r="L64" s="8"/>
    </x:row>
    <x:row r="65">
      <x:c r="A65" s="8" t="str">
        <x:v>iOS</x:v>
      </x:c>
      <x:c r="B65" s="8" t="str">
        <x:v>Navigation delegate not called</x:v>
      </x:c>
      <x:c r="C65" s="8" t="str">
        <x:v>batch messages over the bridge</x:v>
      </x:c>
      <x:c r="D65" s="8" t="str">
        <x:v>screen recording</x:v>
      </x:c>
      <x:c r="E65" s="8" t="str">
        <x:v>medium</x:v>
      </x:c>
      <x:c r="F65" s="8" t="str">
        <x:v>resolved</x:v>
      </x:c>
      <x:c r="G65" s="8" t="str">
        <x:v>Ben</x:v>
      </x:c>
      <x:c r="H65" s="8" t="str">
        <x:v>14.0</x:v>
      </x:c>
      <x:c r="I65" s="8" t="str">
        <x:v>2026-01-01</x:v>
      </x:c>
      <x:c r="J65" s="8"/>
      <x:c r="K65" s="8"/>
      <x:c r="L65" s="8"/>
    </x:row>
    <x:row r="66">
      <x:c r="A66" s="8" t="str">
        <x:v>Android</x:v>
      </x:c>
      <x:c r="B66" s="8" t="str">
        <x:v>Large payload appears slow</x:v>
      </x:c>
      <x:c r="C66" s="8" t="str">
        <x:v>batch messages over the bridge</x:v>
      </x:c>
      <x:c r="D66" s="8" t="str">
        <x:v>device log</x:v>
      </x:c>
      <x:c r="E66" s="8" t="str">
        <x:v>unknown</x:v>
      </x:c>
      <x:c r="F66" s="8" t="str">
        <x:v>investigating</x:v>
      </x:c>
      <x:c r="G66" s="8" t="str">
        <x:v>Diego</x:v>
      </x:c>
      <x:c r="H66" s="8" t="str">
        <x:v>14.0</x:v>
      </x:c>
      <x:c r="I66" s="8" t="str">
        <x:v>2026-02-02</x:v>
      </x:c>
      <x:c r="J66" s="8"/>
      <x:c r="K66" s="8"/>
      <x:c r="L66" s="8"/>
    </x:row>
    <x:row r="67">
      <x:c r="A67" s="8" t="str">
        <x:v>iOS</x:v>
      </x:c>
      <x:c r="B67" s="8" t="str">
        <x:v>Injected JS runs twice</x:v>
      </x:c>
      <x:c r="C67" s="8" t="str">
        <x:v>provide a file:// handler</x:v>
      </x:c>
      <x:c r="D67" s="8" t="str">
        <x:v>issue-1056</x:v>
      </x:c>
      <x:c r="E67" s="8" t="str">
        <x:v>security risk?</x:v>
      </x:c>
      <x:c r="F67" s="8" t="str">
        <x:v>open</x:v>
      </x:c>
      <x:c r="G67" s="8" t="str">
        <x:v>Mei</x:v>
      </x:c>
      <x:c r="H67" s="8" t="str">
        <x:v>14.2</x:v>
      </x:c>
      <x:c r="I67" s="8" t="str">
        <x:v>2026-03-03</x:v>
      </x:c>
      <x:c r="J67" s="8"/>
      <x:c r="K67" s="8"/>
      <x:c r="L67" s="8"/>
    </x:row>
    <x:row r="68">
      <x:c r="A68" s="8"/>
      <x:c r="B68" s="8"/>
      <x:c r="C68" s="8"/>
      <x:c r="D68" s="8"/>
      <x:c r="E68" s="8"/>
      <x:c r="F68" s="8"/>
      <x:c r="G68" s="8"/>
      <x:c r="H68" s="8"/>
      <x:c r="I68" s="8"/>
      <x:c r="J68" s="8"/>
      <x:c r="K68" s="8"/>
      <x:c r="L68" s="8"/>
    </x:row>
    <x:row r="69">
      <x:c r="A69" s="8" t="str">
        <x:v>Android</x:v>
      </x:c>
      <x:c r="B69" s="8" t="str">
        <x:v>Navigation delegate not called</x:v>
      </x:c>
      <x:c r="C69" s="8" t="str">
        <x:v>use onShouldStartLoadWithRequest</x:v>
      </x:c>
      <x:c r="D69" s="8" t="str">
        <x:v>screen recording</x:v>
      </x:c>
      <x:c r="E69" s="8" t="str">
        <x:v>high</x:v>
      </x:c>
      <x:c r="F69" s="8" t="str">
        <x:v>resolved</x:v>
      </x:c>
      <x:c r="G69" s="8" t="str">
        <x:v>Mei</x:v>
      </x:c>
      <x:c r="H69" s="8" t="str">
        <x:v>15.0</x:v>
      </x:c>
      <x:c r="I69" s="8" t="str">
        <x:v>2026-04-04</x:v>
      </x:c>
      <x:c r="J69" s="8"/>
      <x:c r="K69" s="8"/>
      <x:c r="L69" s="8" t="str">
        <x:v>Random thought: is the JS bridge slow for big payloads?</x:v>
      </x:c>
    </x:row>
    <x:row r="70">
      <x:c r="A70" s="8" t="str">
        <x:v>iOS</x:v>
      </x:c>
      <x:c r="B70" s="8" t="str">
        <x:v>Injected JS runs twice</x:v>
      </x:c>
      <x:c r="C70" s="8" t="str">
        <x:v>set mixedContentMode='always'</x:v>
      </x:c>
      <x:c r="D70" s="8" t="str">
        <x:v>issue-1058</x:v>
      </x:c>
      <x:c r="E70" s="8" t="str">
        <x:v>medium</x:v>
      </x:c>
      <x:c r="F70" s="8" t="str">
        <x:v>needs reproduction</x:v>
      </x:c>
      <x:c r="G70" s="8" t="str">
        <x:v>No owner</x:v>
      </x:c>
      <x:c r="H70" s="8" t="str">
        <x:v>15.0</x:v>
      </x:c>
      <x:c r="I70" s="8" t="str">
        <x:v>2026-05-05</x:v>
      </x:c>
      <x:c r="J70" s="8"/>
      <x:c r="K70" s="8"/>
      <x:c r="L70" s="8"/>
    </x:row>
    <x:row r="71">
      <x:c r="A71" s="8" t="str">
        <x:v>Android</x:v>
      </x:c>
      <x:c r="B71" s="8" t="str">
        <x:v>Injected JS runs twice</x:v>
      </x:c>
      <x:c r="C71" s="8" t="str">
        <x:v>batch messages over the bridge</x:v>
      </x:c>
      <x:c r="D71" s="8" t="str">
        <x:v>screen recording</x:v>
      </x:c>
      <x:c r="E71" s="8" t="str">
        <x:v>high</x:v>
      </x:c>
      <x:c r="F71" s="8" t="str">
        <x:v>investigating</x:v>
      </x:c>
      <x:c r="G71" s="8" t="str">
        <x:v>Asha</x:v>
      </x:c>
      <x:c r="H71" s="8" t="str">
        <x:v>13.8</x:v>
      </x:c>
      <x:c r="I71" s="8" t="str">
        <x:v>2026-06-06</x:v>
      </x:c>
      <x:c r="J71" s="8" t="str">
        <x:v>A blank cell here is intentional. The source workbook has notes placed away from the nearest table.</x:v>
      </x:c>
      <x:c r="K71" s="8"/>
      <x:c r="L71" s="8"/>
    </x:row>
    <x:row r="72">
      <x:c r="A72" s="8" t="str">
        <x:v>iOS</x:v>
      </x:c>
      <x:c r="B72" s="8" t="str">
        <x:v>Navigation delegate not called</x:v>
      </x:c>
      <x:c r="C72" s="8" t="str">
        <x:v>move script to onLoadEnd</x:v>
      </x:c>
      <x:c r="D72" s="8" t="str">
        <x:v>device log</x:v>
      </x:c>
      <x:c r="E72" s="8" t="str">
        <x:v>high</x:v>
      </x:c>
      <x:c r="F72" s="8" t="str">
        <x:v>blocked</x:v>
      </x:c>
      <x:c r="G72" s="8" t="str">
        <x:v>Asha</x:v>
      </x:c>
      <x:c r="H72" s="8" t="str">
        <x:v>14.2</x:v>
      </x:c>
      <x:c r="I72" s="8" t="str">
        <x:v>2026-07-07</x:v>
      </x:c>
      <x:c r="J72" s="8"/>
      <x:c r="K72" s="8"/>
      <x:c r="L72" s="8"/>
    </x:row>
    <x:row r="73">
      <x:c r="A73" s="8" t="str">
        <x:v>Android</x:v>
      </x:c>
      <x:c r="B73" s="8" t="str">
        <x:v>Large payload appears slow</x:v>
      </x:c>
      <x:c r="C73" s="8" t="str">
        <x:v>use onShouldStartLoadWithRequest</x:v>
      </x:c>
      <x:c r="D73" s="8" t="str">
        <x:v>manual check</x:v>
      </x:c>
      <x:c r="E73" s="8" t="str">
        <x:v>high</x:v>
      </x:c>
      <x:c r="F73" s="8" t="str">
        <x:v>investigating</x:v>
      </x:c>
      <x:c r="G73" s="8" t="str">
        <x:v>Asha</x:v>
      </x:c>
      <x:c r="H73" s="8" t="str">
        <x:v>13.6</x:v>
      </x:c>
      <x:c r="I73" s="8" t="str">
        <x:v>2026-08-08</x:v>
      </x:c>
      <x:c r="J73" s="8"/>
      <x:c r="K73" s="8"/>
      <x:c r="L73" s="8" t="str">
        <x:v>Random thought: is the JS bridge slow for big payloads?</x:v>
      </x:c>
    </x:row>
    <x:row r="74">
      <x:c r="A74" s="8" t="str">
        <x:v>iOS</x:v>
      </x:c>
      <x:c r="B74" s="8" t="str">
        <x:v>Mixed content not loading</x:v>
      </x:c>
      <x:c r="C74" s="8" t="str">
        <x:v>use onShouldStartLoadWithRequest</x:v>
      </x:c>
      <x:c r="D74" s="8" t="str">
        <x:v>manual check</x:v>
      </x:c>
      <x:c r="E74" s="8" t="str">
        <x:v>medium</x:v>
      </x:c>
      <x:c r="F74" s="8" t="str">
        <x:v>blocked</x:v>
      </x:c>
      <x:c r="G74" s="8" t="str">
        <x:v>Asha</x:v>
      </x:c>
      <x:c r="H74" s="8" t="str">
        <x:v>14.2</x:v>
      </x:c>
      <x:c r="I74" s="8" t="str">
        <x:v>2026-09-09</x:v>
      </x:c>
      <x:c r="J74" s="8"/>
      <x:c r="K74" s="8"/>
      <x:c r="L74" s="8"/>
    </x:row>
    <x:row r="75">
      <x:c r="A75" s="8" t="str">
        <x:v>Android</x:v>
      </x:c>
      <x:c r="B75" s="8" t="str">
        <x:v>Mixed content not loading</x:v>
      </x:c>
      <x:c r="C75" s="8" t="str">
        <x:v>move script to onLoadEnd</x:v>
      </x:c>
      <x:c r="D75" s="8" t="str">
        <x:v>screen recording</x:v>
      </x:c>
      <x:c r="E75" s="8" t="str">
        <x:v>unknown</x:v>
      </x:c>
      <x:c r="F75" s="8" t="str">
        <x:v>investigating</x:v>
      </x:c>
      <x:c r="G75" s="8" t="str">
        <x:v>Asha</x:v>
      </x:c>
      <x:c r="H75" s="8" t="str">
        <x:v>13.6</x:v>
      </x:c>
      <x:c r="I75" s="8" t="str">
        <x:v>2026-01-10</x:v>
      </x:c>
      <x:c r="J75" s="8"/>
      <x:c r="K75" s="8"/>
      <x:c r="L75" s="8"/>
    </x:row>
    <x:row r="76">
      <x:c r="A76" s="8" t="str">
        <x:v>iOS</x:v>
      </x:c>
      <x:c r="B76" s="8" t="str">
        <x:v>Large payload appears slow</x:v>
      </x:c>
      <x:c r="C76" s="8" t="str">
        <x:v>provide a file:// handler</x:v>
      </x:c>
      <x:c r="D76" s="8" t="str">
        <x:v>screen recording</x:v>
      </x:c>
      <x:c r="E76" s="8" t="str">
        <x:v>medium</x:v>
      </x:c>
      <x:c r="F76" s="8" t="str">
        <x:v>needs reproduction</x:v>
      </x:c>
      <x:c r="G76" s="8" t="str">
        <x:v>Mei</x:v>
      </x:c>
      <x:c r="H76" s="8" t="str">
        <x:v>14.2</x:v>
      </x:c>
      <x:c r="I76" s="8" t="str">
        <x:v>2026-02-11</x:v>
      </x:c>
      <x:c r="J76" s="8"/>
      <x:c r="K76" s="8"/>
      <x:c r="L76" s="8"/>
    </x:row>
    <x:row r="77">
      <x:c r="A77" s="8" t="str">
        <x:v>Android</x:v>
      </x:c>
      <x:c r="B77" s="8" t="str">
        <x:v>Large payload appears slow</x:v>
      </x:c>
      <x:c r="C77" s="8" t="str">
        <x:v>move script to onLoadEnd</x:v>
      </x:c>
      <x:c r="D77" s="8" t="str">
        <x:v>issue-1065</x:v>
      </x:c>
      <x:c r="E77" s="8" t="str">
        <x:v>unknown</x:v>
      </x:c>
      <x:c r="F77" s="8" t="str">
        <x:v>needs reproduction</x:v>
      </x:c>
      <x:c r="G77" s="8" t="str">
        <x:v>Diego</x:v>
      </x:c>
      <x:c r="H77" s="8" t="str">
        <x:v>14.2</x:v>
      </x:c>
      <x:c r="I77" s="8" t="str">
        <x:v>2026-03-12</x:v>
      </x:c>
      <x:c r="J77" s="8"/>
      <x:c r="K77" s="8"/>
      <x:c r="L77" s="8"/>
    </x:row>
    <x:row r="78">
      <x:c r="A78" s="8" t="str">
        <x:v>iOS</x:v>
      </x:c>
      <x:c r="B78" s="8" t="str">
        <x:v>Injected JS runs twice</x:v>
      </x:c>
      <x:c r="C78" s="8" t="str">
        <x:v>resize contentInset</x:v>
      </x:c>
      <x:c r="D78" s="8" t="str">
        <x:v>manual check</x:v>
      </x:c>
      <x:c r="E78" s="8" t="str">
        <x:v>low</x:v>
      </x:c>
      <x:c r="F78" s="8" t="str">
        <x:v>needs reproduction</x:v>
      </x:c>
      <x:c r="G78" s="8" t="str">
        <x:v>Mei</x:v>
      </x:c>
      <x:c r="H78" s="8" t="str">
        <x:v>14.0</x:v>
      </x:c>
      <x:c r="I78" s="8" t="str">
        <x:v>2026-04-13</x:v>
      </x:c>
      <x:c r="J78" s="8" t="str">
        <x:v>This sentence is long enough to exercise wrapping and downstream chunk boundaries in Markdown output.</x:v>
      </x:c>
      <x:c r="K78" s="8"/>
      <x:c r="L78" s="8"/>
    </x:row>
    <x:row r="79">
      <x:c r="A79" s="8" t="str">
        <x:v>Android</x:v>
      </x:c>
      <x:c r="B79" s="8" t="str">
        <x:v>Keyboard covers input</x:v>
      </x:c>
      <x:c r="C79" s="8" t="str">
        <x:v>batch messages over the bridge</x:v>
      </x:c>
      <x:c r="D79" s="8" t="str">
        <x:v>manual check</x:v>
      </x:c>
      <x:c r="E79" s="8" t="str">
        <x:v>high</x:v>
      </x:c>
      <x:c r="F79" s="8" t="str">
        <x:v>resolved</x:v>
      </x:c>
      <x:c r="G79" s="8" t="str">
        <x:v>Diego</x:v>
      </x:c>
      <x:c r="H79" s="8" t="str">
        <x:v>14.0</x:v>
      </x:c>
      <x:c r="I79" s="8" t="str">
        <x:v>2026-05-14</x:v>
      </x:c>
      <x:c r="J79" s="8" t="str">
        <x:v>This sentence is long enough to exercise wrapping and downstream chunk boundaries in Markdown output.</x:v>
      </x:c>
      <x:c r="K79" s="8"/>
      <x:c r="L79" s="8"/>
    </x:row>
    <x:row r="80">
      <x:c r="A80" s="8" t="str">
        <x:v>iOS</x:v>
      </x:c>
      <x:c r="B80" s="8" t="str">
        <x:v>File upload stalls</x:v>
      </x:c>
      <x:c r="C80" s="8" t="str">
        <x:v>move script to onLoadEnd</x:v>
      </x:c>
      <x:c r="D80" s="8" t="str">
        <x:v>repro-android-14</x:v>
      </x:c>
      <x:c r="E80" s="8" t="str">
        <x:v>security risk?</x:v>
      </x:c>
      <x:c r="F80" s="8" t="str">
        <x:v>open</x:v>
      </x:c>
      <x:c r="G80" s="8" t="str">
        <x:v>No owner</x:v>
      </x:c>
      <x:c r="H80" s="8" t="str">
        <x:v>13.8</x:v>
      </x:c>
      <x:c r="I80" s="8" t="str">
        <x:v>2026-06-15</x:v>
      </x:c>
      <x:c r="J80" s="8"/>
      <x:c r="K80" s="8"/>
      <x:c r="L80" s="8" t="str">
        <x:v>Random thought: is the JS bridge slow for big payloads?</x:v>
      </x:c>
    </x:row>
    <x:row r="81">
      <x:c r="A81" s="8" t="str">
        <x:v>Android</x:v>
      </x:c>
      <x:c r="B81" s="8" t="str">
        <x:v>File upload stalls</x:v>
      </x:c>
      <x:c r="C81" s="8" t="str">
        <x:v>provide a file:// handler</x:v>
      </x:c>
      <x:c r="D81" s="8" t="str">
        <x:v>screen recording</x:v>
      </x:c>
      <x:c r="E81" s="8" t="str">
        <x:v>high</x:v>
      </x:c>
      <x:c r="F81" s="8" t="str">
        <x:v>blocked</x:v>
      </x:c>
      <x:c r="G81" s="8" t="str">
        <x:v>Mei</x:v>
      </x:c>
      <x:c r="H81" s="8" t="str">
        <x:v>15.0</x:v>
      </x:c>
      <x:c r="I81" s="8" t="str">
        <x:v>2026-07-16</x:v>
      </x:c>
      <x:c r="J81" s="8" t="str">
        <x:v>The owner field was not captured in the original notes, so classification should remain conservative.</x:v>
      </x:c>
      <x:c r="K81" s="8" t="str">
        <x:v>https://developer.apple.com/documentation/webkit/wkwebview</x:v>
      </x:c>
      <x:c r="L81" s="8"/>
    </x:row>
    <x:row r="82">
      <x:c r="A82" s="8" t="str">
        <x:v>iOS</x:v>
      </x:c>
      <x:c r="B82" s="8" t="str">
        <x:v>Large payload appears slow</x:v>
      </x:c>
      <x:c r="C82" s="8" t="str">
        <x:v>provide a file:// handler</x:v>
      </x:c>
      <x:c r="D82" s="8" t="str">
        <x:v>repro-android-14</x:v>
      </x:c>
      <x:c r="E82" s="8" t="str">
        <x:v>unknown</x:v>
      </x:c>
      <x:c r="F82" s="8" t="str">
        <x:v>open</x:v>
      </x:c>
      <x:c r="G82" s="8" t="str">
        <x:v>Carla</x:v>
      </x:c>
      <x:c r="H82" s="8" t="str">
        <x:v>14.2</x:v>
      </x:c>
      <x:c r="I82" s="8" t="str">
        <x:v>2026-08-17</x:v>
      </x:c>
      <x:c r="J82" s="8" t="str">
        <x:v>A blank cell here is intentional. The source workbook has notes placed away from the nearest table.</x:v>
      </x:c>
      <x:c r="K82" s="8" t="str">
        <x:v>https://developer.android.com/reference/android/webkit/WebView</x:v>
      </x:c>
      <x:c r="L82" s="8"/>
    </x:row>
    <x:row r="83">
      <x:c r="A83" s="8" t="str">
        <x:v>Android</x:v>
      </x:c>
      <x:c r="B83" s="8" t="str">
        <x:v>Navigation delegate not called</x:v>
      </x:c>
      <x:c r="C83" s="8" t="str">
        <x:v>use onShouldStartLoadWithRequest</x:v>
      </x:c>
      <x:c r="D83" s="8" t="str">
        <x:v>device log</x:v>
      </x:c>
      <x:c r="E83" s="8" t="str">
        <x:v>low</x:v>
      </x:c>
      <x:c r="F83" s="8" t="str">
        <x:v>blocked</x:v>
      </x:c>
      <x:c r="G83" s="8" t="str">
        <x:v>Mei</x:v>
      </x:c>
      <x:c r="H83" s="8" t="str">
        <x:v>14.0</x:v>
      </x:c>
      <x:c r="I83" s="8" t="str">
        <x:v>2026-09-18</x:v>
      </x:c>
      <x:c r="J83" s="8" t="str">
        <x:v>This sentence is long enough to exercise wrapping and downstream chunk boundaries in Markdown output.</x:v>
      </x:c>
      <x:c r="K83" s="8"/>
      <x:c r="L83" s="8"/>
    </x:row>
    <x:row r="84">
      <x:c r="A84" s="8" t="str">
        <x:v>iOS</x:v>
      </x:c>
      <x:c r="B84" s="8" t="str">
        <x:v>Navigation delegate not called</x:v>
      </x:c>
      <x:c r="C84" s="8" t="str">
        <x:v>set mixedContentMode='always'</x:v>
      </x:c>
      <x:c r="D84" s="8" t="str">
        <x:v>repro-android-14</x:v>
      </x:c>
      <x:c r="E84" s="8" t="str">
        <x:v>high</x:v>
      </x:c>
      <x:c r="F84" s="8" t="str">
        <x:v>resolved</x:v>
      </x:c>
      <x:c r="G84" s="8" t="str">
        <x:v>Mei</x:v>
      </x:c>
      <x:c r="H84" s="8" t="str">
        <x:v>14.0</x:v>
      </x:c>
      <x:c r="I84" s="8" t="str">
        <x:v>2026-01-19</x:v>
      </x:c>
      <x:c r="J84" s="8" t="str">
        <x:v>A blank cell here is intentional. The source workbook has notes placed away from the nearest table.</x:v>
      </x:c>
      <x:c r="K84" s="8" t="str">
        <x:v>https://developer.microsoft.com/en-us/microsoft-edge/webview2/</x:v>
      </x:c>
      <x:c r="L84" s="8"/>
    </x:row>
    <x:row r="85">
      <x:c r="A85" s="8" t="str">
        <x:v>Android</x:v>
      </x:c>
      <x:c r="B85" s="8" t="str">
        <x:v>Injected JS runs twice</x:v>
      </x:c>
      <x:c r="C85" s="8" t="str">
        <x:v>batch messages over the bridge</x:v>
      </x:c>
      <x:c r="D85" s="8" t="str">
        <x:v>repro-android-14</x:v>
      </x:c>
      <x:c r="E85" s="8" t="str">
        <x:v>low</x:v>
      </x:c>
      <x:c r="F85" s="8" t="str">
        <x:v>resolved</x:v>
      </x:c>
      <x:c r="G85" s="8" t="str">
        <x:v>Diego</x:v>
      </x:c>
      <x:c r="H85" s="8" t="str">
        <x:v>13.8</x:v>
      </x:c>
      <x:c r="I85" s="8" t="str">
        <x:v>2026-02-20</x:v>
      </x:c>
      <x:c r="J85" s="8"/>
      <x:c r="K85" s="8"/>
      <x:c r="L85" s="8"/>
    </x:row>
    <x:row r="86">
      <x:c r="A86" s="8" t="str">
        <x:v>Platform</x:v>
      </x:c>
      <x:c r="B86" s="8" t="str">
        <x:v>Issue</x:v>
      </x:c>
      <x:c r="C86" s="8" t="str">
        <x:v>Fix</x:v>
      </x:c>
      <x:c r="D86" s="8" t="str">
        <x:v>Evidence</x:v>
      </x:c>
      <x:c r="E86" s="8" t="str">
        <x:v>Risk</x:v>
      </x:c>
      <x:c r="F86" s="8" t="str">
        <x:v>Status</x:v>
      </x:c>
      <x:c r="G86" s="8" t="str">
        <x:v>Owner</x:v>
      </x:c>
      <x:c r="H86" s="8"/>
      <x:c r="I86" s="8"/>
      <x:c r="J86" s="8" t="str">
        <x:v>Repeated header from exported table</x:v>
      </x:c>
      <x:c r="K86" s="8"/>
      <x:c r="L86" s="8"/>
    </x:row>
    <x:row r="87">
      <x:c r="A87" s="8" t="str">
        <x:v>iOS</x:v>
      </x:c>
      <x:c r="B87" s="8" t="str">
        <x:v>File upload stalls</x:v>
      </x:c>
      <x:c r="C87" s="8" t="str">
        <x:v>move script to onLoadEnd</x:v>
      </x:c>
      <x:c r="D87" s="8" t="str">
        <x:v>issue-1074</x:v>
      </x:c>
      <x:c r="E87" s="8" t="str">
        <x:v>security risk?</x:v>
      </x:c>
      <x:c r="F87" s="8" t="str">
        <x:v>investigating</x:v>
      </x:c>
      <x:c r="G87" s="8" t="str">
        <x:v>No owner</x:v>
      </x:c>
      <x:c r="H87" s="8" t="str">
        <x:v>13.8</x:v>
      </x:c>
      <x:c r="I87" s="8" t="str">
        <x:v>2026-03-21</x:v>
      </x:c>
      <x:c r="J87" s="8"/>
      <x:c r="K87" s="8"/>
      <x:c r="L87" s="8" t="str">
        <x:v>Random thought: is the JS bridge slow for big payloads?</x:v>
      </x:c>
    </x:row>
    <x:row r="88">
      <x:c r="A88" s="8" t="str">
        <x:v>Android</x:v>
      </x:c>
      <x:c r="B88" s="8" t="str">
        <x:v>Keyboard covers input</x:v>
      </x:c>
      <x:c r="C88" s="8" t="str">
        <x:v>resize contentInset</x:v>
      </x:c>
      <x:c r="D88" s="8" t="str">
        <x:v>repro-android-14</x:v>
      </x:c>
      <x:c r="E88" s="8" t="str">
        <x:v>medium</x:v>
      </x:c>
      <x:c r="F88" s="8" t="str">
        <x:v>investigating</x:v>
      </x:c>
      <x:c r="G88" s="8" t="str">
        <x:v>Diego</x:v>
      </x:c>
      <x:c r="H88" s="8" t="str">
        <x:v>13.6</x:v>
      </x:c>
      <x:c r="I88" s="8" t="str">
        <x:v>2026-04-22</x:v>
      </x:c>
      <x:c r="J88" s="8" t="str">
        <x:v>The owner field was not captured in the original notes, so classification should remain conservative.</x:v>
      </x:c>
      <x:c r="K88" s="8"/>
      <x:c r="L88" s="8" t="str">
        <x:v>Random thought: is the JS bridge slow for big payloads?</x:v>
      </x:c>
    </x:row>
    <x:row r="89">
      <x:c r="A89" s="8"/>
      <x:c r="B89" s="8"/>
      <x:c r="C89" s="8"/>
      <x:c r="D89" s="8"/>
      <x:c r="E89" s="8"/>
      <x:c r="F89" s="8"/>
      <x:c r="G89" s="8"/>
      <x:c r="H89" s="8"/>
      <x:c r="I89" s="8"/>
      <x:c r="J89" s="8"/>
      <x:c r="K89" s="8"/>
      <x:c r="L89" s="8"/>
    </x:row>
    <x:row r="90">
      <x:c r="A90" s="8" t="str">
        <x:v>iOS</x:v>
      </x:c>
      <x:c r="B90" s="8" t="str">
        <x:v>Keyboard covers input</x:v>
      </x:c>
      <x:c r="C90" s="8" t="str">
        <x:v>provide a file:// handler</x:v>
      </x:c>
      <x:c r="D90" s="8" t="str">
        <x:v>manual check</x:v>
      </x:c>
      <x:c r="E90" s="8" t="str">
        <x:v>unknown</x:v>
      </x:c>
      <x:c r="F90" s="8" t="str">
        <x:v>needs reproduction</x:v>
      </x:c>
      <x:c r="G90" s="8" t="str">
        <x:v>Mei</x:v>
      </x:c>
      <x:c r="H90" s="8" t="str">
        <x:v>14.2</x:v>
      </x:c>
      <x:c r="I90" s="8" t="str">
        <x:v>2026-05-23</x:v>
      </x:c>
      <x:c r="J90" s="8"/>
      <x:c r="K90" s="8"/>
      <x:c r="L90" s="8"/>
    </x:row>
    <x:row r="91">
      <x:c r="A91" s="8" t="str">
        <x:v>Android</x:v>
      </x:c>
      <x:c r="B91" s="8" t="str">
        <x:v>Injected JS runs twice</x:v>
      </x:c>
      <x:c r="C91" s="8" t="str">
        <x:v>set mixedContentMode='always'</x:v>
      </x:c>
      <x:c r="D91" s="8" t="str">
        <x:v>screen recording</x:v>
      </x:c>
      <x:c r="E91" s="8" t="str">
        <x:v>security risk?</x:v>
      </x:c>
      <x:c r="F91" s="8" t="str">
        <x:v>open</x:v>
      </x:c>
      <x:c r="G91" s="8" t="str">
        <x:v>Carla</x:v>
      </x:c>
      <x:c r="H91" s="8" t="str">
        <x:v>14.0</x:v>
      </x:c>
      <x:c r="I91" s="8" t="str">
        <x:v>2026-06-24</x:v>
      </x:c>
      <x:c r="J91" s="8"/>
      <x:c r="K91" s="8"/>
      <x:c r="L91" s="8"/>
    </x:row>
    <x:row r="92">
      <x:c r="A92" s="8" t="str">
        <x:v>iOS</x:v>
      </x:c>
      <x:c r="B92" s="8" t="str">
        <x:v>Keyboard covers input</x:v>
      </x:c>
      <x:c r="C92" s="8" t="str">
        <x:v>provide a file:// handler</x:v>
      </x:c>
      <x:c r="D92" s="8" t="str">
        <x:v>device log</x:v>
      </x:c>
      <x:c r="E92" s="8" t="str">
        <x:v>unknown</x:v>
      </x:c>
      <x:c r="F92" s="8" t="str">
        <x:v>resolved</x:v>
      </x:c>
      <x:c r="G92" s="8" t="str">
        <x:v>No owner</x:v>
      </x:c>
      <x:c r="H92" s="8" t="str">
        <x:v>14.2</x:v>
      </x:c>
      <x:c r="I92" s="8" t="str">
        <x:v>2026-07-25</x:v>
      </x:c>
      <x:c r="J92" s="8"/>
      <x:c r="K92" s="8" t="str">
        <x:v>https://developer.microsoft.com/en-us/microsoft-edge/webview2/</x:v>
      </x:c>
      <x:c r="L92" s="8"/>
    </x:row>
    <x:row r="93">
      <x:c r="A93" s="8" t="str">
        <x:v>Android</x:v>
      </x:c>
      <x:c r="B93" s="8" t="str">
        <x:v>Mixed content not loading</x:v>
      </x:c>
      <x:c r="C93" s="8" t="str">
        <x:v>batch messages over the bridge</x:v>
      </x:c>
      <x:c r="D93" s="8" t="str">
        <x:v>device log</x:v>
      </x:c>
      <x:c r="E93" s="8" t="str">
        <x:v>low</x:v>
      </x:c>
      <x:c r="F93" s="8" t="str">
        <x:v>needs reproduction</x:v>
      </x:c>
      <x:c r="G93" s="8" t="str">
        <x:v>Mei</x:v>
      </x:c>
      <x:c r="H93" s="8" t="str">
        <x:v>14.2</x:v>
      </x:c>
      <x:c r="I93" s="8" t="str">
        <x:v>2026-08-26</x:v>
      </x:c>
      <x:c r="J93" s="8"/>
      <x:c r="K93" s="8"/>
      <x:c r="L93" s="8"/>
    </x:row>
    <x:row r="94">
      <x:c r="A94" s="8" t="str">
        <x:v>iOS</x:v>
      </x:c>
      <x:c r="B94" s="8" t="str">
        <x:v>File upload stalls</x:v>
      </x:c>
      <x:c r="C94" s="8" t="str">
        <x:v>provide a file:// handler</x:v>
      </x:c>
      <x:c r="D94" s="8" t="str">
        <x:v>repro-android-14</x:v>
      </x:c>
      <x:c r="E94" s="8" t="str">
        <x:v>security risk?</x:v>
      </x:c>
      <x:c r="F94" s="8" t="str">
        <x:v>investigating</x:v>
      </x:c>
      <x:c r="G94" s="8" t="str">
        <x:v>Mei</x:v>
      </x:c>
      <x:c r="H94" s="8" t="str">
        <x:v>13.6</x:v>
      </x:c>
      <x:c r="I94" s="8" t="str">
        <x:v>2026-09-27</x:v>
      </x:c>
      <x:c r="J94" s="8" t="str">
        <x:v>Verify behavior on a cold start and after the page reloads without destroying the native view.</x:v>
      </x:c>
      <x:c r="K94" s="8"/>
      <x:c r="L94" s="8"/>
    </x:row>
    <x:row r="95">
      <x:c r="A95" s="8" t="str">
        <x:v>Android</x:v>
      </x:c>
      <x:c r="B95" s="8" t="str">
        <x:v>Keyboard covers input</x:v>
      </x:c>
      <x:c r="C95" s="8" t="str">
        <x:v>provide a file:// handler</x:v>
      </x:c>
      <x:c r="D95" s="8" t="str">
        <x:v>device log</x:v>
      </x:c>
      <x:c r="E95" s="8" t="str">
        <x:v>low</x:v>
      </x:c>
      <x:c r="F95" s="8" t="str">
        <x:v>open</x:v>
      </x:c>
      <x:c r="G95" s="8" t="str">
        <x:v>Asha</x:v>
      </x:c>
      <x:c r="H95" s="8" t="str">
        <x:v>13.6</x:v>
      </x:c>
      <x:c r="I95" s="8" t="str">
        <x:v>2026-01-01</x:v>
      </x:c>
      <x:c r="J95" s="8"/>
      <x:c r="K95" s="8"/>
      <x:c r="L95" s="8" t="str">
        <x:v>Random thought: is the JS bridge slow for big payloads?</x:v>
      </x:c>
    </x:row>
    <x:row r="96">
      <x:c r="A96" s="8" t="str">
        <x:v>iOS</x:v>
      </x:c>
      <x:c r="B96" s="8" t="str">
        <x:v>Injected JS runs twice</x:v>
      </x:c>
      <x:c r="C96" s="8" t="str">
        <x:v>move script to onLoadEnd</x:v>
      </x:c>
      <x:c r="D96" s="8" t="str">
        <x:v>device log</x:v>
      </x:c>
      <x:c r="E96" s="8" t="str">
        <x:v>high</x:v>
      </x:c>
      <x:c r="F96" s="8" t="str">
        <x:v>needs reproduction</x:v>
      </x:c>
      <x:c r="G96" s="8" t="str">
        <x:v>Ben</x:v>
      </x:c>
      <x:c r="H96" s="8" t="str">
        <x:v>13.6</x:v>
      </x:c>
      <x:c r="I96" s="8" t="str">
        <x:v>2026-02-02</x:v>
      </x:c>
      <x:c r="J96" s="8"/>
      <x:c r="K96" s="8"/>
      <x:c r="L96" s="8"/>
    </x:row>
    <x:row r="97">
      <x:c r="A97" s="8" t="str">
        <x:v>Android</x:v>
      </x:c>
      <x:c r="B97" s="8" t="str">
        <x:v>Large payload appears slow</x:v>
      </x:c>
      <x:c r="C97" s="8" t="str">
        <x:v>set mixedContentMode='always'</x:v>
      </x:c>
      <x:c r="D97" s="8" t="str">
        <x:v>device log</x:v>
      </x:c>
      <x:c r="E97" s="8" t="str">
        <x:v>unknown</x:v>
      </x:c>
      <x:c r="F97" s="8" t="str">
        <x:v>resolved</x:v>
      </x:c>
      <x:c r="G97" s="8" t="str">
        <x:v>Ben</x:v>
      </x:c>
      <x:c r="H97" s="8" t="str">
        <x:v>15.0</x:v>
      </x:c>
      <x:c r="I97" s="8" t="str">
        <x:v>2026-03-03</x:v>
      </x:c>
      <x:c r="J97" s="8"/>
      <x:c r="K97" s="8" t="str">
        <x:v>https://developer.apple.com/documentation/webkit/wkwebview</x:v>
      </x:c>
      <x:c r="L97" s="8" t="str">
        <x:v>Random thought: is the JS bridge slow for big payloads?</x:v>
      </x:c>
    </x:row>
    <x:row r="98">
      <x:c r="A98" s="8" t="str">
        <x:v>iOS</x:v>
      </x:c>
      <x:c r="B98" s="8" t="str">
        <x:v>Keyboard covers input</x:v>
      </x:c>
      <x:c r="C98" s="8" t="str">
        <x:v>use onShouldStartLoadWithRequest</x:v>
      </x:c>
      <x:c r="D98" s="8" t="str">
        <x:v>screen recording</x:v>
      </x:c>
      <x:c r="E98" s="8" t="str">
        <x:v>unknown</x:v>
      </x:c>
      <x:c r="F98" s="8" t="str">
        <x:v>open</x:v>
      </x:c>
      <x:c r="G98" s="8" t="str">
        <x:v>No owner</x:v>
      </x:c>
      <x:c r="H98" s="8" t="str">
        <x:v>13.6</x:v>
      </x:c>
      <x:c r="I98" s="8" t="str">
        <x:v>2026-04-04</x:v>
      </x:c>
      <x:c r="J98" s="8"/>
      <x:c r="K98" s="8"/>
      <x:c r="L98" s="8"/>
    </x:row>
    <x:row r="99">
      <x:c r="A99" s="8" t="str">
        <x:v>Android</x:v>
      </x:c>
      <x:c r="B99" s="8" t="str">
        <x:v>Mixed content not loading</x:v>
      </x:c>
      <x:c r="C99" s="8" t="str">
        <x:v>set mixedContentMode='always'</x:v>
      </x:c>
      <x:c r="D99" s="8" t="str">
        <x:v>device log</x:v>
      </x:c>
      <x:c r="E99" s="8" t="str">
        <x:v>low</x:v>
      </x:c>
      <x:c r="F99" s="8" t="str">
        <x:v>investigating</x:v>
      </x:c>
      <x:c r="G99" s="8" t="str">
        <x:v>Carla</x:v>
      </x:c>
      <x:c r="H99" s="8" t="str">
        <x:v>14.0</x:v>
      </x:c>
      <x:c r="I99" s="8" t="str">
        <x:v>2026-05-05</x:v>
      </x:c>
      <x:c r="J99" s="8"/>
      <x:c r="K99" s="8"/>
      <x:c r="L99" s="8"/>
    </x:row>
    <x:row r="100">
      <x:c r="A100" s="8" t="str">
        <x:v>iOS</x:v>
      </x:c>
      <x:c r="B100" s="8" t="str">
        <x:v>Mixed content not loading</x:v>
      </x:c>
      <x:c r="C100" s="8" t="str">
        <x:v>move script to onLoadEnd</x:v>
      </x:c>
      <x:c r="D100" s="8" t="str">
        <x:v>screen recording</x:v>
      </x:c>
      <x:c r="E100" s="8" t="str">
        <x:v>unknown</x:v>
      </x:c>
      <x:c r="F100" s="8" t="str">
        <x:v>resolved</x:v>
      </x:c>
      <x:c r="G100" s="8" t="str">
        <x:v>Asha</x:v>
      </x:c>
      <x:c r="H100" s="8" t="str">
        <x:v>14.2</x:v>
      </x:c>
      <x:c r="I100" s="8" t="str">
        <x:v>2026-06-06</x:v>
      </x:c>
      <x:c r="J100" s="8" t="str">
        <x:v>This sentence is long enough to exercise wrapping and downstream chunk boundaries in Markdown output.</x:v>
      </x:c>
      <x:c r="K100" s="8"/>
      <x:c r="L100" s="8"/>
    </x:row>
    <x:row r="101">
      <x:c r="A101" s="8" t="str">
        <x:v>Android</x:v>
      </x:c>
      <x:c r="B101" s="8" t="str">
        <x:v>File upload stalls</x:v>
      </x:c>
      <x:c r="C101" s="8" t="str">
        <x:v>batch messages over the bridge</x:v>
      </x:c>
      <x:c r="D101" s="8" t="str">
        <x:v>manual check</x:v>
      </x:c>
      <x:c r="E101" s="8" t="str">
        <x:v>unknown</x:v>
      </x:c>
      <x:c r="F101" s="8" t="str">
        <x:v>needs reproduction</x:v>
      </x:c>
      <x:c r="G101" s="8" t="str">
        <x:v>Carla</x:v>
      </x:c>
      <x:c r="H101" s="8" t="str">
        <x:v>13.8</x:v>
      </x:c>
      <x:c r="I101" s="8" t="str">
        <x:v>2026-07-07</x:v>
      </x:c>
      <x:c r="J101" s="8"/>
      <x:c r="K101" s="8" t="str">
        <x:v>https://developer.apple.com/documentation/webkit/wkwebview</x:v>
      </x:c>
      <x:c r="L101" s="8"/>
    </x:row>
    <x:row r="102">
      <x:c r="A102" s="8" t="str">
        <x:v>iOS</x:v>
      </x:c>
      <x:c r="B102" s="8" t="str">
        <x:v>Navigation delegate not called</x:v>
      </x:c>
      <x:c r="C102" s="8" t="str">
        <x:v>move script to onLoadEnd</x:v>
      </x:c>
      <x:c r="D102" s="8" t="str">
        <x:v>repro-android-14</x:v>
      </x:c>
      <x:c r="E102" s="8" t="str">
        <x:v>high</x:v>
      </x:c>
      <x:c r="F102" s="8" t="str">
        <x:v>open</x:v>
      </x:c>
      <x:c r="G102" s="8" t="str">
        <x:v>Carla</x:v>
      </x:c>
      <x:c r="H102" s="8" t="str">
        <x:v>14.0</x:v>
      </x:c>
      <x:c r="I102" s="8" t="str">
        <x:v>2026-08-08</x:v>
      </x:c>
      <x:c r="J102" s="8"/>
      <x:c r="K102" s="8"/>
      <x:c r="L102" s="8" t="str">
        <x:v>Random thought: is the JS bridge slow for big payloads?</x:v>
      </x:c>
    </x:row>
    <x:row r="103">
      <x:c r="A103" s="8" t="str">
        <x:v>Android</x:v>
      </x:c>
      <x:c r="B103" s="8" t="str">
        <x:v>File upload stalls</x:v>
      </x:c>
      <x:c r="C103" s="8" t="str">
        <x:v>move script to onLoadEnd</x:v>
      </x:c>
      <x:c r="D103" s="8" t="str">
        <x:v>screen recording</x:v>
      </x:c>
      <x:c r="E103" s="8" t="str">
        <x:v>medium</x:v>
      </x:c>
      <x:c r="F103" s="8" t="str">
        <x:v>blocked</x:v>
      </x:c>
      <x:c r="G103" s="8" t="str">
        <x:v>Ben</x:v>
      </x:c>
      <x:c r="H103" s="8" t="str">
        <x:v>14.2</x:v>
      </x:c>
      <x:c r="I103" s="8" t="str">
        <x:v>2026-09-09</x:v>
      </x:c>
      <x:c r="J103" s="8"/>
      <x:c r="K103" s="8"/>
      <x:c r="L103" s="8" t="str">
        <x:v>Random thought: is the JS bridge slow for big payloads?</x:v>
      </x:c>
    </x:row>
    <x:row r="104">
      <x:c r="A104" s="8" t="str">
        <x:v>iOS</x:v>
      </x:c>
      <x:c r="B104" s="8" t="str">
        <x:v>Injected JS runs twice</x:v>
      </x:c>
      <x:c r="C104" s="8" t="str">
        <x:v>move script to onLoadEnd</x:v>
      </x:c>
      <x:c r="D104" s="8" t="str">
        <x:v>issue-1090</x:v>
      </x:c>
      <x:c r="E104" s="8" t="str">
        <x:v>high</x:v>
      </x:c>
      <x:c r="F104" s="8" t="str">
        <x:v>investigating</x:v>
      </x:c>
      <x:c r="G104" s="8" t="str">
        <x:v>Mei</x:v>
      </x:c>
      <x:c r="H104" s="8" t="str">
        <x:v>14.2</x:v>
      </x:c>
      <x:c r="I104" s="8" t="str">
        <x:v>2026-01-10</x:v>
      </x:c>
      <x:c r="J104" s="8" t="str">
        <x:v>Potential duplicate: this paragraph is repeated in another section to test deduplication and chunk metadata.</x:v>
      </x:c>
      <x:c r="K104" s="8" t="str">
        <x:v>https://developer.microsoft.com/en-us/microsoft-edge/webview2/</x:v>
      </x:c>
      <x:c r="L104" s="8"/>
    </x:row>
    <x:row r="105">
      <x:c r="A105" s="8" t="str">
        <x:v>Android</x:v>
      </x:c>
      <x:c r="B105" s="8" t="str">
        <x:v>File upload stalls</x:v>
      </x:c>
      <x:c r="C105" s="8" t="str">
        <x:v>use onShouldStartLoadWithRequest</x:v>
      </x:c>
      <x:c r="D105" s="8" t="str">
        <x:v>manual check</x:v>
      </x:c>
      <x:c r="E105" s="8" t="str">
        <x:v>high</x:v>
      </x:c>
      <x:c r="F105" s="8" t="str">
        <x:v>investigating</x:v>
      </x:c>
      <x:c r="G105" s="8" t="str">
        <x:v>Carla</x:v>
      </x:c>
      <x:c r="H105" s="8" t="str">
        <x:v>14.2</x:v>
      </x:c>
      <x:c r="I105" s="8" t="str">
        <x:v>2026-02-11</x:v>
      </x:c>
      <x:c r="J105" s="8" t="str">
        <x:v>The owner field was not captured in the original notes, so classification should remain conservative.</x:v>
      </x:c>
      <x:c r="K105" s="8"/>
      <x:c r="L105" s="8"/>
    </x:row>
    <x:row r="106">
      <x:c r="A106" s="8" t="str">
        <x:v>iOS</x:v>
      </x:c>
      <x:c r="B106" s="8" t="str">
        <x:v>Large payload appears slow</x:v>
      </x:c>
      <x:c r="C106" s="8" t="str">
        <x:v>set mixedContentMode='always'</x:v>
      </x:c>
      <x:c r="D106" s="8" t="str">
        <x:v>device log</x:v>
      </x:c>
      <x:c r="E106" s="8" t="str">
        <x:v>high</x:v>
      </x:c>
      <x:c r="F106" s="8" t="str">
        <x:v>needs reproduction</x:v>
      </x:c>
      <x:c r="G106" s="8" t="str">
        <x:v>No owner</x:v>
      </x:c>
      <x:c r="H106" s="8" t="str">
        <x:v>13.8</x:v>
      </x:c>
      <x:c r="I106" s="8" t="str">
        <x:v>2026-03-12</x:v>
      </x:c>
      <x:c r="J106" s="8" t="str">
        <x:v>The bridge callback is stable for small payloads, but large JSON messages show visible delay during navigation.</x:v>
      </x:c>
      <x:c r="K106" s="8"/>
      <x:c r="L106" s="8"/>
    </x:row>
    <x:row r="107">
      <x:c r="A107" s="8" t="str">
        <x:v>Android</x:v>
      </x:c>
      <x:c r="B107" s="8" t="str">
        <x:v>Injected JS runs twice</x:v>
      </x:c>
      <x:c r="C107" s="8" t="str">
        <x:v>set mixedContentMode='always'</x:v>
      </x:c>
      <x:c r="D107" s="8" t="str">
        <x:v>device log</x:v>
      </x:c>
      <x:c r="E107" s="8" t="str">
        <x:v>medium</x:v>
      </x:c>
      <x:c r="F107" s="8" t="str">
        <x:v>blocked</x:v>
      </x:c>
      <x:c r="G107" s="8" t="str">
        <x:v>No owner</x:v>
      </x:c>
      <x:c r="H107" s="8" t="str">
        <x:v>13.6</x:v>
      </x:c>
      <x:c r="I107" s="8" t="str">
        <x:v>2026-04-13</x:v>
      </x:c>
      <x:c r="J107" s="8"/>
      <x:c r="K107" s="8"/>
      <x:c r="L107" s="8"/>
    </x:row>
    <x:row r="108">
      <x:c r="A108" s="8" t="str">
        <x:v>iOS</x:v>
      </x:c>
      <x:c r="B108" s="8" t="str">
        <x:v>Large payload appears slow</x:v>
      </x:c>
      <x:c r="C108" s="8" t="str">
        <x:v>provide a file:// handler</x:v>
      </x:c>
      <x:c r="D108" s="8" t="str">
        <x:v>repro-android-14</x:v>
      </x:c>
      <x:c r="E108" s="8" t="str">
        <x:v>security risk?</x:v>
      </x:c>
      <x:c r="F108" s="8" t="str">
        <x:v>needs reproduction</x:v>
      </x:c>
      <x:c r="G108" s="8" t="str">
        <x:v>Mei</x:v>
      </x:c>
      <x:c r="H108" s="8" t="str">
        <x:v>14.0</x:v>
      </x:c>
      <x:c r="I108" s="8" t="str">
        <x:v>2026-05-14</x:v>
      </x:c>
      <x:c r="J108" s="8"/>
      <x:c r="K108" s="8"/>
      <x:c r="L108" s="8"/>
    </x:row>
    <x:row r="109">
      <x:c r="A109" s="8"/>
      <x:c r="B109" s="8"/>
      <x:c r="C109" s="8"/>
      <x:c r="D109" s="8"/>
      <x:c r="E109" s="8"/>
      <x:c r="F109" s="8"/>
      <x:c r="G109" s="8"/>
      <x:c r="H109" s="8"/>
      <x:c r="I109" s="8"/>
      <x:c r="J109" s="8"/>
      <x:c r="K109" s="8"/>
      <x:c r="L109" s="8"/>
    </x:row>
    <x:row r="110">
      <x:c r="A110" s="8" t="str">
        <x:v>Android</x:v>
      </x:c>
      <x:c r="B110" s="8" t="str">
        <x:v>Large payload appears slow</x:v>
      </x:c>
      <x:c r="C110" s="8" t="str">
        <x:v>batch messages over the bridge</x:v>
      </x:c>
      <x:c r="D110" s="8" t="str">
        <x:v>issue-1095</x:v>
      </x:c>
      <x:c r="E110" s="8" t="str">
        <x:v>unknown</x:v>
      </x:c>
      <x:c r="F110" s="8" t="str">
        <x:v>open</x:v>
      </x:c>
      <x:c r="G110" s="8" t="str">
        <x:v>Diego</x:v>
      </x:c>
      <x:c r="H110" s="8" t="str">
        <x:v>13.6</x:v>
      </x:c>
      <x:c r="I110" s="8" t="str">
        <x:v>2026-06-15</x:v>
      </x:c>
      <x:c r="J110" s="8"/>
      <x:c r="K110" s="8"/>
      <x:c r="L110" s="8"/>
    </x:row>
    <x:row r="111">
      <x:c r="A111" s="8" t="str">
        <x:v>iOS</x:v>
      </x:c>
      <x:c r="B111" s="8" t="str">
        <x:v>Injected JS runs twice</x:v>
      </x:c>
      <x:c r="C111" s="8" t="str">
        <x:v>use onShouldStartLoadWithRequest</x:v>
      </x:c>
      <x:c r="D111" s="8" t="str">
        <x:v>device log</x:v>
      </x:c>
      <x:c r="E111" s="8" t="str">
        <x:v>unknown</x:v>
      </x:c>
      <x:c r="F111" s="8" t="str">
        <x:v>resolved</x:v>
      </x:c>
      <x:c r="G111" s="8" t="str">
        <x:v>No owner</x:v>
      </x:c>
      <x:c r="H111" s="8" t="str">
        <x:v>13.6</x:v>
      </x:c>
      <x:c r="I111" s="8" t="str">
        <x:v>2026-07-16</x:v>
      </x:c>
      <x:c r="J111" s="8"/>
      <x:c r="K111" s="8"/>
      <x:c r="L111" s="8"/>
    </x:row>
    <x:row r="112">
      <x:c r="A112" s="8" t="str">
        <x:v>Android</x:v>
      </x:c>
      <x:c r="B112" s="8" t="str">
        <x:v>Large payload appears slow</x:v>
      </x:c>
      <x:c r="C112" s="8" t="str">
        <x:v>set mixedContentMode='always'</x:v>
      </x:c>
      <x:c r="D112" s="8" t="str">
        <x:v>repro-android-14</x:v>
      </x:c>
      <x:c r="E112" s="8" t="str">
        <x:v>high</x:v>
      </x:c>
      <x:c r="F112" s="8" t="str">
        <x:v>investigating</x:v>
      </x:c>
      <x:c r="G112" s="8" t="str">
        <x:v>Ben</x:v>
      </x:c>
      <x:c r="H112" s="8" t="str">
        <x:v>14.2</x:v>
      </x:c>
      <x:c r="I112" s="8" t="str">
        <x:v>2026-08-17</x:v>
      </x:c>
      <x:c r="J112" s="8" t="str">
        <x:v>The owner field was not captured in the original notes, so classification should remain conservative.</x:v>
      </x:c>
      <x:c r="K112" s="8"/>
      <x:c r="L112" s="8"/>
    </x:row>
    <x:row r="113">
      <x:c r="A113" s="8" t="str">
        <x:v>iOS</x:v>
      </x:c>
      <x:c r="B113" s="8" t="str">
        <x:v>Navigation delegate not called</x:v>
      </x:c>
      <x:c r="C113" s="8" t="str">
        <x:v>provide a file:// handler</x:v>
      </x:c>
      <x:c r="D113" s="8" t="str">
        <x:v>manual check</x:v>
      </x:c>
      <x:c r="E113" s="8" t="str">
        <x:v>low</x:v>
      </x:c>
      <x:c r="F113" s="8" t="str">
        <x:v>investigating</x:v>
      </x:c>
      <x:c r="G113" s="8" t="str">
        <x:v>Carla</x:v>
      </x:c>
      <x:c r="H113" s="8" t="str">
        <x:v>14.0</x:v>
      </x:c>
      <x:c r="I113" s="8" t="str">
        <x:v>2026-09-18</x:v>
      </x:c>
      <x:c r="J113" s="8"/>
      <x:c r="K113" s="8"/>
      <x:c r="L113" s="8"/>
    </x:row>
    <x:row r="114">
      <x:c r="A114" s="8" t="str">
        <x:v>Android</x:v>
      </x:c>
      <x:c r="B114" s="8" t="str">
        <x:v>Injected JS runs twice</x:v>
      </x:c>
      <x:c r="C114" s="8" t="str">
        <x:v>provide a file:// handler</x:v>
      </x:c>
      <x:c r="D114" s="8" t="str">
        <x:v>issue-1099</x:v>
      </x:c>
      <x:c r="E114" s="8" t="str">
        <x:v>high</x:v>
      </x:c>
      <x:c r="F114" s="8" t="str">
        <x:v>investigating</x:v>
      </x:c>
      <x:c r="G114" s="8" t="str">
        <x:v>Ben</x:v>
      </x:c>
      <x:c r="H114" s="8" t="str">
        <x:v>14.2</x:v>
      </x:c>
      <x:c r="I114" s="8" t="str">
        <x:v>2026-01-19</x:v>
      </x:c>
      <x:c r="J114" s="8"/>
      <x:c r="K114" s="8"/>
      <x:c r="L114" s="8"/>
    </x:row>
    <x:row r="115">
      <x:c r="A115" s="8" t="str">
        <x:v>iOS</x:v>
      </x:c>
      <x:c r="B115" s="8" t="str">
        <x:v>Keyboard covers input</x:v>
      </x:c>
      <x:c r="C115" s="8" t="str">
        <x:v>batch messages over the bridge</x:v>
      </x:c>
      <x:c r="D115" s="8" t="str">
        <x:v>device log</x:v>
      </x:c>
      <x:c r="E115" s="8" t="str">
        <x:v>security risk?</x:v>
      </x:c>
      <x:c r="F115" s="8" t="str">
        <x:v>investigating</x:v>
      </x:c>
      <x:c r="G115" s="8" t="str">
        <x:v>Diego</x:v>
      </x:c>
      <x:c r="H115" s="8" t="str">
        <x:v>15.0</x:v>
      </x:c>
      <x:c r="I115" s="8" t="str">
        <x:v>2026-02-20</x:v>
      </x:c>
      <x:c r="J115" s="8"/>
      <x:c r="K115" s="8" t="str">
        <x:v>https://learn.microsoft.com/en-us/microsoft-edge/webview2/concepts/security</x:v>
      </x:c>
      <x:c r="L115" s="8"/>
    </x:row>
    <x:row r="116">
      <x:c r="A116" s="8" t="str">
        <x:v>Android</x:v>
      </x:c>
      <x:c r="B116" s="8" t="str">
        <x:v>Injected JS runs twice</x:v>
      </x:c>
      <x:c r="C116" s="8" t="str">
        <x:v>set mixedContentMode='always'</x:v>
      </x:c>
      <x:c r="D116" s="8" t="str">
        <x:v>repro-android-14</x:v>
      </x:c>
      <x:c r="E116" s="8" t="str">
        <x:v>medium</x:v>
      </x:c>
      <x:c r="F116" s="8" t="str">
        <x:v>resolved</x:v>
      </x:c>
      <x:c r="G116" s="8" t="str">
        <x:v>Mei</x:v>
      </x:c>
      <x:c r="H116" s="8" t="str">
        <x:v>13.8</x:v>
      </x:c>
      <x:c r="I116" s="8" t="str">
        <x:v>2026-03-21</x:v>
      </x:c>
      <x:c r="J116" s="8"/>
      <x:c r="K116" s="8"/>
      <x:c r="L116" s="8"/>
    </x:row>
    <x:row r="117">
      <x:c r="A117" s="8" t="str">
        <x:v>iOS</x:v>
      </x:c>
      <x:c r="B117" s="8" t="str">
        <x:v>Large payload appears slow</x:v>
      </x:c>
      <x:c r="C117" s="8" t="str">
        <x:v>set mixedContentMode='always'</x:v>
      </x:c>
      <x:c r="D117" s="8" t="str">
        <x:v>screen recording</x:v>
      </x:c>
      <x:c r="E117" s="8" t="str">
        <x:v>unknown</x:v>
      </x:c>
      <x:c r="F117" s="8" t="str">
        <x:v>resolved</x:v>
      </x:c>
      <x:c r="G117" s="8" t="str">
        <x:v>Mei</x:v>
      </x:c>
      <x:c r="H117" s="8" t="str">
        <x:v>13.6</x:v>
      </x:c>
      <x:c r="I117" s="8" t="str">
        <x:v>2026-04-22</x:v>
      </x:c>
      <x:c r="J117" s="8"/>
      <x:c r="K117" s="8"/>
      <x:c r="L117" s="8"/>
    </x:row>
    <x:row r="118">
      <x:c r="A118" s="8" t="str">
        <x:v>Android</x:v>
      </x:c>
      <x:c r="B118" s="8" t="str">
        <x:v>File upload stalls</x:v>
      </x:c>
      <x:c r="C118" s="8" t="str">
        <x:v>use onShouldStartLoadWithRequest</x:v>
      </x:c>
      <x:c r="D118" s="8" t="str">
        <x:v>device log</x:v>
      </x:c>
      <x:c r="E118" s="8" t="str">
        <x:v>high</x:v>
      </x:c>
      <x:c r="F118" s="8" t="str">
        <x:v>investigating</x:v>
      </x:c>
      <x:c r="G118" s="8" t="str">
        <x:v>Asha</x:v>
      </x:c>
      <x:c r="H118" s="8" t="str">
        <x:v>13.8</x:v>
      </x:c>
      <x:c r="I118" s="8" t="str">
        <x:v>2026-05-23</x:v>
      </x:c>
      <x:c r="J118" s="8" t="str">
        <x:v>Observed in a local test run: the content rendered, but the console warning appeared twice.</x:v>
      </x:c>
      <x:c r="K118" s="8"/>
      <x:c r="L118" s="8"/>
    </x:row>
    <x:row r="119">
      <x:c r="A119" s="8" t="str">
        <x:v>iOS</x:v>
      </x:c>
      <x:c r="B119" s="8" t="str">
        <x:v>Large payload appears slow</x:v>
      </x:c>
      <x:c r="C119" s="8" t="str">
        <x:v>set mixedContentMode='always'</x:v>
      </x:c>
      <x:c r="D119" s="8" t="str">
        <x:v>screen recording</x:v>
      </x:c>
      <x:c r="E119" s="8" t="str">
        <x:v>medium</x:v>
      </x:c>
      <x:c r="F119" s="8" t="str">
        <x:v>resolved</x:v>
      </x:c>
      <x:c r="G119" s="8" t="str">
        <x:v>Carla</x:v>
      </x:c>
      <x:c r="H119" s="8" t="str">
        <x:v>14.2</x:v>
      </x:c>
      <x:c r="I119" s="8" t="str">
        <x:v>2026-06-24</x:v>
      </x:c>
      <x:c r="J119" s="8" t="str">
        <x:v>The bridge callback is stable for small payloads, but large JSON messages show visible delay during navigation.</x:v>
      </x:c>
      <x:c r="K119" s="8"/>
      <x:c r="L119" s="8"/>
    </x:row>
    <x:row r="120">
      <x:c r="A120" s="8" t="str">
        <x:v>Android</x:v>
      </x:c>
      <x:c r="B120" s="8" t="str">
        <x:v>Navigation delegate not called</x:v>
      </x:c>
      <x:c r="C120" s="8" t="str">
        <x:v>provide a file:// handler</x:v>
      </x:c>
      <x:c r="D120" s="8" t="str">
        <x:v>repro-android-14</x:v>
      </x:c>
      <x:c r="E120" s="8" t="str">
        <x:v>low</x:v>
      </x:c>
      <x:c r="F120" s="8" t="str">
        <x:v>open</x:v>
      </x:c>
      <x:c r="G120" s="8" t="str">
        <x:v>No owner</x:v>
      </x:c>
      <x:c r="H120" s="8" t="str">
        <x:v>13.8</x:v>
      </x:c>
      <x:c r="I120" s="8" t="str">
        <x:v>2026-07-25</x:v>
      </x:c>
      <x:c r="J120" s="8"/>
      <x:c r="K120" s="8" t="str">
        <x:v>https://developer.apple.com/documentation/webkit/wkwebview</x:v>
      </x:c>
      <x:c r="L120" s="8" t="str">
        <x:v>Random thought: is the JS bridge slow for big payloads?</x:v>
      </x:c>
    </x:row>
    <x:row r="121">
      <x:c r="A121" s="8" t="str">
        <x:v>iOS</x:v>
      </x:c>
      <x:c r="B121" s="8" t="str">
        <x:v>File upload stalls</x:v>
      </x:c>
      <x:c r="C121" s="8" t="str">
        <x:v>move script to onLoadEnd</x:v>
      </x:c>
      <x:c r="D121" s="8" t="str">
        <x:v>device log</x:v>
      </x:c>
      <x:c r="E121" s="8" t="str">
        <x:v>security risk?</x:v>
      </x:c>
      <x:c r="F121" s="8" t="str">
        <x:v>investigating</x:v>
      </x:c>
      <x:c r="G121" s="8" t="str">
        <x:v>Mei</x:v>
      </x:c>
      <x:c r="H121" s="8" t="str">
        <x:v>13.8</x:v>
      </x:c>
      <x:c r="I121" s="8" t="str">
        <x:v>2026-08-26</x:v>
      </x:c>
      <x:c r="J121" s="8"/>
      <x:c r="K121" s="8"/>
      <x:c r="L121" s="8"/>
    </x:row>
    <x:row r="122">
      <x:c r="A122" s="8" t="str">
        <x:v>Android</x:v>
      </x:c>
      <x:c r="B122" s="8" t="str">
        <x:v>Navigation delegate not called</x:v>
      </x:c>
      <x:c r="C122" s="8" t="str">
        <x:v>set mixedContentMode='always'</x:v>
      </x:c>
      <x:c r="D122" s="8" t="str">
        <x:v>manual check</x:v>
      </x:c>
      <x:c r="E122" s="8" t="str">
        <x:v>low</x:v>
      </x:c>
      <x:c r="F122" s="8" t="str">
        <x:v>resolved</x:v>
      </x:c>
      <x:c r="G122" s="8" t="str">
        <x:v>Diego</x:v>
      </x:c>
      <x:c r="H122" s="8" t="str">
        <x:v>13.6</x:v>
      </x:c>
      <x:c r="I122" s="8" t="str">
        <x:v>2026-09-27</x:v>
      </x:c>
      <x:c r="J122" s="8"/>
      <x:c r="K122" s="8"/>
      <x:c r="L122" s="8" t="str">
        <x:v>Random thought: is the JS bridge slow for big payloads?</x:v>
      </x:c>
    </x:row>
    <x:row r="123">
      <x:c r="A123" s="8" t="str">
        <x:v>iOS</x:v>
      </x:c>
      <x:c r="B123" s="8" t="str">
        <x:v>Injected JS runs twice</x:v>
      </x:c>
      <x:c r="C123" s="8" t="str">
        <x:v>batch messages over the bridge</x:v>
      </x:c>
      <x:c r="D123" s="8" t="str">
        <x:v>screen recording</x:v>
      </x:c>
      <x:c r="E123" s="8" t="str">
        <x:v>medium</x:v>
      </x:c>
      <x:c r="F123" s="8" t="str">
        <x:v>blocked</x:v>
      </x:c>
      <x:c r="G123" s="8" t="str">
        <x:v>Ben</x:v>
      </x:c>
      <x:c r="H123" s="8" t="str">
        <x:v>14.2</x:v>
      </x:c>
      <x:c r="I123" s="8" t="str">
        <x:v>2026-01-01</x:v>
      </x:c>
      <x:c r="J123" s="8" t="str">
        <x:v>Potential duplicate: this paragraph is repeated in another section to test deduplication and chunk metadata.</x:v>
      </x:c>
      <x:c r="K123" s="8"/>
      <x:c r="L123" s="8"/>
    </x:row>
    <x:row r="124">
      <x:c r="A124" s="8" t="str">
        <x:v>Android</x:v>
      </x:c>
      <x:c r="B124" s="8" t="str">
        <x:v>File upload stalls</x:v>
      </x:c>
      <x:c r="C124" s="8" t="str">
        <x:v>set mixedContentMode='always'</x:v>
      </x:c>
      <x:c r="D124" s="8" t="str">
        <x:v>device log</x:v>
      </x:c>
      <x:c r="E124" s="8" t="str">
        <x:v>low</x:v>
      </x:c>
      <x:c r="F124" s="8" t="str">
        <x:v>blocked</x:v>
      </x:c>
      <x:c r="G124" s="8" t="str">
        <x:v>Carla</x:v>
      </x:c>
      <x:c r="H124" s="8" t="str">
        <x:v>13.8</x:v>
      </x:c>
      <x:c r="I124" s="8" t="str">
        <x:v>2026-02-02</x:v>
      </x:c>
      <x:c r="J124" s="8"/>
      <x:c r="K124" s="8"/>
      <x:c r="L124" s="8"/>
    </x:row>
    <x:row r="125">
      <x:c r="A125" s="8" t="str">
        <x:v>iOS</x:v>
      </x:c>
      <x:c r="B125" s="8" t="str">
        <x:v>Large payload appears slow</x:v>
      </x:c>
      <x:c r="C125" s="8" t="str">
        <x:v>batch messages over the bridge</x:v>
      </x:c>
      <x:c r="D125" s="8" t="str">
        <x:v>screen recording</x:v>
      </x:c>
      <x:c r="E125" s="8" t="str">
        <x:v>unknown</x:v>
      </x:c>
      <x:c r="F125" s="8" t="str">
        <x:v>open</x:v>
      </x:c>
      <x:c r="G125" s="8" t="str">
        <x:v>No owner</x:v>
      </x:c>
      <x:c r="H125" s="8" t="str">
        <x:v>13.6</x:v>
      </x:c>
      <x:c r="I125" s="8" t="str">
        <x:v>2026-03-03</x:v>
      </x:c>
      <x:c r="J125" s="8" t="str">
        <x:v>Verify behavior on a cold start and after the page reloads without destroying the native view.</x:v>
      </x:c>
      <x:c r="K125" s="8"/>
      <x:c r="L125" s="8"/>
    </x:row>
    <x:row r="126">
      <x:c r="A126" s="8" t="str">
        <x:v>Platform</x:v>
      </x:c>
      <x:c r="B126" s="8" t="str">
        <x:v>Issue</x:v>
      </x:c>
      <x:c r="C126" s="8" t="str">
        <x:v>Fix</x:v>
      </x:c>
      <x:c r="D126" s="8" t="str">
        <x:v>Evidence</x:v>
      </x:c>
      <x:c r="E126" s="8" t="str">
        <x:v>Risk</x:v>
      </x:c>
      <x:c r="F126" s="8" t="str">
        <x:v>Status</x:v>
      </x:c>
      <x:c r="G126" s="8" t="str">
        <x:v>Owner</x:v>
      </x:c>
      <x:c r="H126" s="8"/>
      <x:c r="I126" s="8"/>
      <x:c r="J126" s="8" t="str">
        <x:v>Repeated header from exported table</x:v>
      </x:c>
      <x:c r="K126" s="8"/>
      <x:c r="L126" s="8"/>
    </x:row>
    <x:row r="127">
      <x:c r="A127" s="8" t="str">
        <x:v>Android</x:v>
      </x:c>
      <x:c r="B127" s="8" t="str">
        <x:v>File upload stalls</x:v>
      </x:c>
      <x:c r="C127" s="8" t="str">
        <x:v>provide a file:// handler</x:v>
      </x:c>
      <x:c r="D127" s="8" t="str">
        <x:v>repro-android-14</x:v>
      </x:c>
      <x:c r="E127" s="8" t="str">
        <x:v>high</x:v>
      </x:c>
      <x:c r="F127" s="8" t="str">
        <x:v>investigating</x:v>
      </x:c>
      <x:c r="G127" s="8" t="str">
        <x:v>Ben</x:v>
      </x:c>
      <x:c r="H127" s="8" t="str">
        <x:v>13.8</x:v>
      </x:c>
      <x:c r="I127" s="8" t="str">
        <x:v>2026-04-04</x:v>
      </x:c>
      <x:c r="J127" s="8" t="str">
        <x:v>Follow-up: compare the result when the network security policy is relaxed versus when it is enforced.</x:v>
      </x:c>
      <x:c r="K127" s="8"/>
      <x:c r="L127" s="8"/>
    </x:row>
    <x:row r="128">
      <x:c r="A128" s="8" t="str">
        <x:v>iOS</x:v>
      </x:c>
      <x:c r="B128" s="8" t="str">
        <x:v>Injected JS runs twice</x:v>
      </x:c>
      <x:c r="C128" s="8" t="str">
        <x:v>use onShouldStartLoadWithRequest</x:v>
      </x:c>
      <x:c r="D128" s="8" t="str">
        <x:v>device log</x:v>
      </x:c>
      <x:c r="E128" s="8" t="str">
        <x:v>medium</x:v>
      </x:c>
      <x:c r="F128" s="8" t="str">
        <x:v>resolved</x:v>
      </x:c>
      <x:c r="G128" s="8" t="str">
        <x:v>Ben</x:v>
      </x:c>
      <x:c r="H128" s="8" t="str">
        <x:v>14.0</x:v>
      </x:c>
      <x:c r="I128" s="8" t="str">
        <x:v>2026-05-05</x:v>
      </x:c>
      <x:c r="J128" s="8"/>
      <x:c r="K128" s="8"/>
      <x:c r="L128" s="8" t="str">
        <x:v>Random thought: is the JS bridge slow for big payloads?</x:v>
      </x:c>
    </x:row>
    <x:row r="129">
      <x:c r="A129" s="8" t="str">
        <x:v>Android</x:v>
      </x:c>
      <x:c r="B129" s="8" t="str">
        <x:v>Navigation delegate not called</x:v>
      </x:c>
      <x:c r="C129" s="8" t="str">
        <x:v>set mixedContentMode='always'</x:v>
      </x:c>
      <x:c r="D129" s="8" t="str">
        <x:v>issue-1113</x:v>
      </x:c>
      <x:c r="E129" s="8" t="str">
        <x:v>medium</x:v>
      </x:c>
      <x:c r="F129" s="8" t="str">
        <x:v>investigating</x:v>
      </x:c>
      <x:c r="G129" s="8" t="str">
        <x:v>Asha</x:v>
      </x:c>
      <x:c r="H129" s="8" t="str">
        <x:v>13.8</x:v>
      </x:c>
      <x:c r="I129" s="8" t="str">
        <x:v>2026-06-06</x:v>
      </x:c>
      <x:c r="J129" s="8" t="str">
        <x:v>Potential duplicate: this paragraph is repeated in another section to test deduplication and chunk metadata.</x:v>
      </x:c>
      <x:c r="K129" s="8"/>
      <x:c r="L129" s="8"/>
    </x:row>
    <x:row r="130">
      <x:c r="A130" s="8"/>
      <x:c r="B130" s="8"/>
      <x:c r="C130" s="8"/>
      <x:c r="D130" s="8"/>
      <x:c r="E130" s="8"/>
      <x:c r="F130" s="8"/>
      <x:c r="G130" s="8"/>
      <x:c r="H130" s="8"/>
      <x:c r="I130" s="8"/>
      <x:c r="J130" s="8"/>
      <x:c r="K130" s="8"/>
      <x:c r="L130" s="8"/>
    </x:row>
    <x:row r="131">
      <x:c r="A131" s="8" t="str">
        <x:v>iOS</x:v>
      </x:c>
      <x:c r="B131" s="8" t="str">
        <x:v>Mixed content not loading</x:v>
      </x:c>
      <x:c r="C131" s="8" t="str">
        <x:v>resize contentInset</x:v>
      </x:c>
      <x:c r="D131" s="8" t="str">
        <x:v>repro-android-14</x:v>
      </x:c>
      <x:c r="E131" s="8" t="str">
        <x:v>medium</x:v>
      </x:c>
      <x:c r="F131" s="8" t="str">
        <x:v>investigating</x:v>
      </x:c>
      <x:c r="G131" s="8" t="str">
        <x:v>Asha</x:v>
      </x:c>
      <x:c r="H131" s="8" t="str">
        <x:v>13.8</x:v>
      </x:c>
      <x:c r="I131" s="8" t="str">
        <x:v>2026-07-07</x:v>
      </x:c>
      <x:c r="J131" s="8"/>
      <x:c r="K131" s="8"/>
      <x:c r="L131" s="8"/>
    </x:row>
    <x:row r="132">
      <x:c r="A132" s="8" t="str">
        <x:v>Android</x:v>
      </x:c>
      <x:c r="B132" s="8" t="str">
        <x:v>Keyboard covers input</x:v>
      </x:c>
      <x:c r="C132" s="8" t="str">
        <x:v>set mixedContentMode='always'</x:v>
      </x:c>
      <x:c r="D132" s="8" t="str">
        <x:v>screen recording</x:v>
      </x:c>
      <x:c r="E132" s="8" t="str">
        <x:v>security risk?</x:v>
      </x:c>
      <x:c r="F132" s="8" t="str">
        <x:v>blocked</x:v>
      </x:c>
      <x:c r="G132" s="8" t="str">
        <x:v>No owner</x:v>
      </x:c>
      <x:c r="H132" s="8" t="str">
        <x:v>14.2</x:v>
      </x:c>
      <x:c r="I132" s="8" t="str">
        <x:v>2026-08-08</x:v>
      </x:c>
      <x:c r="J132" s="8"/>
      <x:c r="K132" s="8"/>
      <x:c r="L132" s="8"/>
    </x:row>
    <x:row r="133">
      <x:c r="A133" s="8" t="str">
        <x:v>iOS</x:v>
      </x:c>
      <x:c r="B133" s="8" t="str">
        <x:v>Large payload appears slow</x:v>
      </x:c>
      <x:c r="C133" s="8" t="str">
        <x:v>resize contentInset</x:v>
      </x:c>
      <x:c r="D133" s="8" t="str">
        <x:v>device log</x:v>
      </x:c>
      <x:c r="E133" s="8" t="str">
        <x:v>security risk?</x:v>
      </x:c>
      <x:c r="F133" s="8" t="str">
        <x:v>investigating</x:v>
      </x:c>
      <x:c r="G133" s="8" t="str">
        <x:v>No owner</x:v>
      </x:c>
      <x:c r="H133" s="8" t="str">
        <x:v>14.0</x:v>
      </x:c>
      <x:c r="I133" s="8" t="str">
        <x:v>2026-09-09</x:v>
      </x:c>
      <x:c r="J133" s="8"/>
      <x:c r="K133" s="8"/>
      <x:c r="L133" s="8" t="str">
        <x:v>Random thought: is the JS bridge slow for big payloads?</x:v>
      </x:c>
    </x:row>
    <x:row r="134">
      <x:c r="A134" s="8" t="str">
        <x:v>Android</x:v>
      </x:c>
      <x:c r="B134" s="8" t="str">
        <x:v>Mixed content not loading</x:v>
      </x:c>
      <x:c r="C134" s="8" t="str">
        <x:v>provide a file:// handler</x:v>
      </x:c>
      <x:c r="D134" s="8" t="str">
        <x:v>screen recording</x:v>
      </x:c>
      <x:c r="E134" s="8" t="str">
        <x:v>unknown</x:v>
      </x:c>
      <x:c r="F134" s="8" t="str">
        <x:v>needs reproduction</x:v>
      </x:c>
      <x:c r="G134" s="8" t="str">
        <x:v>Diego</x:v>
      </x:c>
      <x:c r="H134" s="8" t="str">
        <x:v>14.2</x:v>
      </x:c>
      <x:c r="I134" s="8" t="str">
        <x:v>2026-01-10</x:v>
      </x:c>
      <x:c r="J134" s="8" t="str">
        <x:v>Observed in a local test run: the content rendered, but the console warning appeared twice.</x:v>
      </x:c>
      <x:c r="K134" s="8" t="str">
        <x:v>https://developer.android.com/reference/android/webkit/WebView</x:v>
      </x:c>
      <x:c r="L134" s="8" t="str">
        <x:v>Random thought: is the JS bridge slow for big payloads?</x:v>
      </x:c>
    </x:row>
    <x:row r="135">
      <x:c r="A135" s="8" t="str">
        <x:v>iOS</x:v>
      </x:c>
      <x:c r="B135" s="8" t="str">
        <x:v>Keyboard covers input</x:v>
      </x:c>
      <x:c r="C135" s="8" t="str">
        <x:v>move script to onLoadEnd</x:v>
      </x:c>
      <x:c r="D135" s="8" t="str">
        <x:v>manual check</x:v>
      </x:c>
      <x:c r="E135" s="8" t="str">
        <x:v>security risk?</x:v>
      </x:c>
      <x:c r="F135" s="8" t="str">
        <x:v>open</x:v>
      </x:c>
      <x:c r="G135" s="8" t="str">
        <x:v>Ben</x:v>
      </x:c>
      <x:c r="H135" s="8" t="str">
        <x:v>13.6</x:v>
      </x:c>
      <x:c r="I135" s="8" t="str">
        <x:v>2026-02-11</x:v>
      </x:c>
      <x:c r="J135" s="8" t="str">
        <x:v>Potential duplicate: this paragraph is repeated in another section to test deduplication and chunk metadata.</x:v>
      </x:c>
      <x:c r="K135" s="8"/>
      <x:c r="L135" s="8"/>
    </x:row>
    <x:row r="136">
      <x:c r="A136" s="8" t="str">
        <x:v>Android</x:v>
      </x:c>
      <x:c r="B136" s="8" t="str">
        <x:v>Large payload appears slow</x:v>
      </x:c>
      <x:c r="C136" s="8" t="str">
        <x:v>set mixedContentMode='always'</x:v>
      </x:c>
      <x:c r="D136" s="8" t="str">
        <x:v>manual check</x:v>
      </x:c>
      <x:c r="E136" s="8" t="str">
        <x:v>unknown</x:v>
      </x:c>
      <x:c r="F136" s="8" t="str">
        <x:v>needs reproduction</x:v>
      </x:c>
      <x:c r="G136" s="8" t="str">
        <x:v>Diego</x:v>
      </x:c>
      <x:c r="H136" s="8" t="str">
        <x:v>13.6</x:v>
      </x:c>
      <x:c r="I136" s="8" t="str">
        <x:v>2026-03-12</x:v>
      </x:c>
      <x:c r="J136" s="8" t="str">
        <x:v>This sentence is long enough to exercise wrapping and downstream chunk boundaries in Markdown output.</x:v>
      </x:c>
      <x:c r="K136" s="8"/>
      <x:c r="L136" s="8"/>
    </x:row>
    <x:row r="137">
      <x:c r="A137" s="8" t="str">
        <x:v>iOS</x:v>
      </x:c>
      <x:c r="B137" s="8" t="str">
        <x:v>File upload stalls</x:v>
      </x:c>
      <x:c r="C137" s="8" t="str">
        <x:v>batch messages over the bridge</x:v>
      </x:c>
      <x:c r="D137" s="8" t="str">
        <x:v>device log</x:v>
      </x:c>
      <x:c r="E137" s="8" t="str">
        <x:v>medium</x:v>
      </x:c>
      <x:c r="F137" s="8" t="str">
        <x:v>open</x:v>
      </x:c>
      <x:c r="G137" s="8" t="str">
        <x:v>Diego</x:v>
      </x:c>
      <x:c r="H137" s="8" t="str">
        <x:v>14.2</x:v>
      </x:c>
      <x:c r="I137" s="8" t="str">
        <x:v>2026-04-13</x:v>
      </x:c>
      <x:c r="J137" s="8"/>
      <x:c r="K137" s="8" t="str">
        <x:v>https://github.com/react-native-webview/react-native-webview</x:v>
      </x:c>
      <x:c r="L137" s="8"/>
    </x:row>
    <x:row r="138">
      <x:c r="A138" s="8" t="str">
        <x:v>Android</x:v>
      </x:c>
      <x:c r="B138" s="8" t="str">
        <x:v>Injected JS runs twice</x:v>
      </x:c>
      <x:c r="C138" s="8" t="str">
        <x:v>move script to onLoadEnd</x:v>
      </x:c>
      <x:c r="D138" s="8" t="str">
        <x:v>device log</x:v>
      </x:c>
      <x:c r="E138" s="8" t="str">
        <x:v>low</x:v>
      </x:c>
      <x:c r="F138" s="8" t="str">
        <x:v>open</x:v>
      </x:c>
      <x:c r="G138" s="8" t="str">
        <x:v>No owner</x:v>
      </x:c>
      <x:c r="H138" s="8" t="str">
        <x:v>13.6</x:v>
      </x:c>
      <x:c r="I138" s="8" t="str">
        <x:v>2026-05-14</x:v>
      </x:c>
      <x:c r="J138" s="8"/>
      <x:c r="K138" s="8"/>
      <x:c r="L138" s="8"/>
    </x:row>
    <x:row r="139">
      <x:c r="A139" s="8" t="str">
        <x:v>iOS</x:v>
      </x:c>
      <x:c r="B139" s="8" t="str">
        <x:v>Mixed content not loading</x:v>
      </x:c>
      <x:c r="C139" s="8" t="str">
        <x:v>set mixedContentMode='always'</x:v>
      </x:c>
      <x:c r="D139" s="8" t="str">
        <x:v>screen recording</x:v>
      </x:c>
      <x:c r="E139" s="8" t="str">
        <x:v>low</x:v>
      </x:c>
      <x:c r="F139" s="8" t="str">
        <x:v>blocked</x:v>
      </x:c>
      <x:c r="G139" s="8" t="str">
        <x:v>Asha</x:v>
      </x:c>
      <x:c r="H139" s="8" t="str">
        <x:v>13.6</x:v>
      </x:c>
      <x:c r="I139" s="8" t="str">
        <x:v>2026-06-15</x:v>
      </x:c>
      <x:c r="J139" s="8"/>
      <x:c r="K139" s="8"/>
      <x:c r="L139" s="8"/>
    </x:row>
    <x:row r="140">
      <x:c r="A140" s="8" t="str">
        <x:v>Android</x:v>
      </x:c>
      <x:c r="B140" s="8" t="str">
        <x:v>Navigation delegate not called</x:v>
      </x:c>
      <x:c r="C140" s="8" t="str">
        <x:v>use onShouldStartLoadWithRequest</x:v>
      </x:c>
      <x:c r="D140" s="8" t="str">
        <x:v>issue-1123</x:v>
      </x:c>
      <x:c r="E140" s="8" t="str">
        <x:v>high</x:v>
      </x:c>
      <x:c r="F140" s="8" t="str">
        <x:v>investigating</x:v>
      </x:c>
      <x:c r="G140" s="8" t="str">
        <x:v>Mei</x:v>
      </x:c>
      <x:c r="H140" s="8" t="str">
        <x:v>14.0</x:v>
      </x:c>
      <x:c r="I140" s="8" t="str">
        <x:v>2026-07-16</x:v>
      </x:c>
      <x:c r="J140" s="8"/>
      <x:c r="K140" s="8"/>
      <x:c r="L140" s="8"/>
    </x:row>
    <x:row r="141">
      <x:c r="A141" s="8" t="str">
        <x:v>iOS</x:v>
      </x:c>
      <x:c r="B141" s="8" t="str">
        <x:v>Injected JS runs twice</x:v>
      </x:c>
      <x:c r="C141" s="8" t="str">
        <x:v>batch messages over the bridge</x:v>
      </x:c>
      <x:c r="D141" s="8" t="str">
        <x:v>manual check</x:v>
      </x:c>
      <x:c r="E141" s="8" t="str">
        <x:v>security risk?</x:v>
      </x:c>
      <x:c r="F141" s="8" t="str">
        <x:v>blocked</x:v>
      </x:c>
      <x:c r="G141" s="8" t="str">
        <x:v>No owner</x:v>
      </x:c>
      <x:c r="H141" s="8" t="str">
        <x:v>15.0</x:v>
      </x:c>
      <x:c r="I141" s="8" t="str">
        <x:v>2026-08-17</x:v>
      </x:c>
      <x:c r="J141" s="8"/>
      <x:c r="K141" s="8"/>
      <x:c r="L141" s="8"/>
    </x:row>
    <x:row r="142">
      <x:c r="A142" s="8" t="str">
        <x:v>Android</x:v>
      </x:c>
      <x:c r="B142" s="8" t="str">
        <x:v>Keyboard covers input</x:v>
      </x:c>
      <x:c r="C142" s="8" t="str">
        <x:v>resize contentInset</x:v>
      </x:c>
      <x:c r="D142" s="8" t="str">
        <x:v>screen recording</x:v>
      </x:c>
      <x:c r="E142" s="8" t="str">
        <x:v>low</x:v>
      </x:c>
      <x:c r="F142" s="8" t="str">
        <x:v>investigating</x:v>
      </x:c>
      <x:c r="G142" s="8" t="str">
        <x:v>No owner</x:v>
      </x:c>
      <x:c r="H142" s="8" t="str">
        <x:v>13.8</x:v>
      </x:c>
      <x:c r="I142" s="8" t="str">
        <x:v>2026-09-18</x:v>
      </x:c>
      <x:c r="J142" s="8"/>
      <x:c r="K142" s="8"/>
      <x:c r="L142" s="8"/>
    </x:row>
    <x:row r="143">
      <x:c r="A143" s="8" t="str">
        <x:v>iOS</x:v>
      </x:c>
      <x:c r="B143" s="8" t="str">
        <x:v>Injected JS runs twice</x:v>
      </x:c>
      <x:c r="C143" s="8" t="str">
        <x:v>move script to onLoadEnd</x:v>
      </x:c>
      <x:c r="D143" s="8" t="str">
        <x:v>screen recording</x:v>
      </x:c>
      <x:c r="E143" s="8" t="str">
        <x:v>unknown</x:v>
      </x:c>
      <x:c r="F143" s="8" t="str">
        <x:v>investigating</x:v>
      </x:c>
      <x:c r="G143" s="8" t="str">
        <x:v>Diego</x:v>
      </x:c>
      <x:c r="H143" s="8" t="str">
        <x:v>14.0</x:v>
      </x:c>
      <x:c r="I143" s="8" t="str">
        <x:v>2026-01-19</x:v>
      </x:c>
      <x:c r="J143" s="8"/>
      <x:c r="K143" s="8"/>
      <x:c r="L143" s="8"/>
    </x:row>
    <x:row r="144">
      <x:c r="A144" s="8" t="str">
        <x:v>Android</x:v>
      </x:c>
      <x:c r="B144" s="8" t="str">
        <x:v>Large payload appears slow</x:v>
      </x:c>
      <x:c r="C144" s="8" t="str">
        <x:v>resize contentInset</x:v>
      </x:c>
      <x:c r="D144" s="8" t="str">
        <x:v>screen recording</x:v>
      </x:c>
      <x:c r="E144" s="8" t="str">
        <x:v>unknown</x:v>
      </x:c>
      <x:c r="F144" s="8" t="str">
        <x:v>blocked</x:v>
      </x:c>
      <x:c r="G144" s="8" t="str">
        <x:v>Diego</x:v>
      </x:c>
      <x:c r="H144" s="8" t="str">
        <x:v>14.0</x:v>
      </x:c>
      <x:c r="I144" s="8" t="str">
        <x:v>2026-02-20</x:v>
      </x:c>
      <x:c r="J144" s="8"/>
      <x:c r="K144" s="8"/>
      <x:c r="L144" s="8"/>
    </x:row>
    <x:row r="145">
      <x:c r="A145" s="8" t="str">
        <x:v>iOS</x:v>
      </x:c>
      <x:c r="B145" s="8" t="str">
        <x:v>Injected JS runs twice</x:v>
      </x:c>
      <x:c r="C145" s="8" t="str">
        <x:v>batch messages over the bridge</x:v>
      </x:c>
      <x:c r="D145" s="8" t="str">
        <x:v>repro-android-14</x:v>
      </x:c>
      <x:c r="E145" s="8" t="str">
        <x:v>security risk?</x:v>
      </x:c>
      <x:c r="F145" s="8" t="str">
        <x:v>investigating</x:v>
      </x:c>
      <x:c r="G145" s="8" t="str">
        <x:v>Carla</x:v>
      </x:c>
      <x:c r="H145" s="8" t="str">
        <x:v>14.2</x:v>
      </x:c>
      <x:c r="I145" s="8" t="str">
        <x:v>2026-03-21</x:v>
      </x:c>
      <x:c r="J145" s="8"/>
      <x:c r="K145" s="8" t="str">
        <x:v>https://learn.microsoft.com/en-us/microsoft-edge/webview2/concepts/security</x:v>
      </x:c>
      <x:c r="L145" s="8"/>
    </x:row>
    <x:row r="146">
      <x:c r="A146" s="8" t="str">
        <x:v>Android</x:v>
      </x:c>
      <x:c r="B146" s="8" t="str">
        <x:v>Mixed content not loading</x:v>
      </x:c>
      <x:c r="C146" s="8" t="str">
        <x:v>batch messages over the bridge</x:v>
      </x:c>
      <x:c r="D146" s="8" t="str">
        <x:v>device log</x:v>
      </x:c>
      <x:c r="E146" s="8" t="str">
        <x:v>security risk?</x:v>
      </x:c>
      <x:c r="F146" s="8" t="str">
        <x:v>open</x:v>
      </x:c>
      <x:c r="G146" s="8" t="str">
        <x:v>Diego</x:v>
      </x:c>
      <x:c r="H146" s="8" t="str">
        <x:v>14.0</x:v>
      </x:c>
      <x:c r="I146" s="8" t="str">
        <x:v>2026-04-22</x:v>
      </x:c>
      <x:c r="J146" s="8" t="str">
        <x:v>Potential duplicate: this paragraph is repeated in another section to test deduplication and chunk metadata.</x:v>
      </x:c>
      <x:c r="K146" s="8"/>
      <x:c r="L146" s="8"/>
    </x:row>
    <x:row r="147">
      <x:c r="A147" s="8" t="str">
        <x:v>iOS</x:v>
      </x:c>
      <x:c r="B147" s="8" t="str">
        <x:v>Injected JS runs twice</x:v>
      </x:c>
      <x:c r="C147" s="8" t="str">
        <x:v>resize contentInset</x:v>
      </x:c>
      <x:c r="D147" s="8" t="str">
        <x:v>repro-android-14</x:v>
      </x:c>
      <x:c r="E147" s="8" t="str">
        <x:v>medium</x:v>
      </x:c>
      <x:c r="F147" s="8" t="str">
        <x:v>needs reproduction</x:v>
      </x:c>
      <x:c r="G147" s="8" t="str">
        <x:v>Carla</x:v>
      </x:c>
      <x:c r="H147" s="8" t="str">
        <x:v>14.2</x:v>
      </x:c>
      <x:c r="I147" s="8" t="str">
        <x:v>2026-05-23</x:v>
      </x:c>
      <x:c r="J147" s="8"/>
      <x:c r="K147" s="8"/>
      <x:c r="L147" s="8" t="str">
        <x:v>Random thought: is the JS bridge slow for big payloads?</x:v>
      </x:c>
    </x:row>
    <x:row r="148">
      <x:c r="A148" s="8" t="str">
        <x:v>Android</x:v>
      </x:c>
      <x:c r="B148" s="8" t="str">
        <x:v>Keyboard covers input</x:v>
      </x:c>
      <x:c r="C148" s="8" t="str">
        <x:v>resize contentInset</x:v>
      </x:c>
      <x:c r="D148" s="8" t="str">
        <x:v>issue-1131</x:v>
      </x:c>
      <x:c r="E148" s="8" t="str">
        <x:v>security risk?</x:v>
      </x:c>
      <x:c r="F148" s="8" t="str">
        <x:v>open</x:v>
      </x:c>
      <x:c r="G148" s="8" t="str">
        <x:v>Ben</x:v>
      </x:c>
      <x:c r="H148" s="8" t="str">
        <x:v>14.0</x:v>
      </x:c>
      <x:c r="I148" s="8" t="str">
        <x:v>2026-06-24</x:v>
      </x:c>
      <x:c r="J148" s="8"/>
      <x:c r="K148" s="8"/>
      <x:c r="L148" s="8"/>
    </x:row>
    <x:row r="149">
      <x:c r="A149" s="8" t="str">
        <x:v>iOS</x:v>
      </x:c>
      <x:c r="B149" s="8" t="str">
        <x:v>Large payload appears slow</x:v>
      </x:c>
      <x:c r="C149" s="8" t="str">
        <x:v>use onShouldStartLoadWithRequest</x:v>
      </x:c>
      <x:c r="D149" s="8" t="str">
        <x:v>repro-android-14</x:v>
      </x:c>
      <x:c r="E149" s="8" t="str">
        <x:v>low</x:v>
      </x:c>
      <x:c r="F149" s="8" t="str">
        <x:v>investigating</x:v>
      </x:c>
      <x:c r="G149" s="8" t="str">
        <x:v>Asha</x:v>
      </x:c>
      <x:c r="H149" s="8" t="str">
        <x:v>15.0</x:v>
      </x:c>
      <x:c r="I149" s="8" t="str">
        <x:v>2026-07-25</x:v>
      </x:c>
      <x:c r="J149" s="8"/>
      <x:c r="K149" s="8"/>
      <x:c r="L149" s="8"/>
    </x:row>
    <x:row r="150">
      <x:c r="A150" s="8"/>
      <x:c r="B150" s="8"/>
      <x:c r="C150" s="8"/>
      <x:c r="D150" s="8"/>
      <x:c r="E150" s="8"/>
      <x:c r="F150" s="8"/>
      <x:c r="G150" s="8"/>
      <x:c r="H150" s="8"/>
      <x:c r="I150" s="8"/>
      <x:c r="J150" s="8"/>
      <x:c r="K150" s="8"/>
      <x:c r="L150" s="8"/>
    </x:row>
    <x:row r="151">
      <x:c r="A151" s="8" t="str">
        <x:v>Android</x:v>
      </x:c>
      <x:c r="B151" s="8" t="str">
        <x:v>Injected JS runs twice</x:v>
      </x:c>
      <x:c r="C151" s="8" t="str">
        <x:v>resize contentInset</x:v>
      </x:c>
      <x:c r="D151" s="8" t="str">
        <x:v>device log</x:v>
      </x:c>
      <x:c r="E151" s="8" t="str">
        <x:v>unknown</x:v>
      </x:c>
      <x:c r="F151" s="8" t="str">
        <x:v>resolved</x:v>
      </x:c>
      <x:c r="G151" s="8" t="str">
        <x:v>Asha</x:v>
      </x:c>
      <x:c r="H151" s="8" t="str">
        <x:v>15.0</x:v>
      </x:c>
      <x:c r="I151" s="8" t="str">
        <x:v>2026-08-26</x:v>
      </x:c>
      <x:c r="J151" s="8" t="str">
        <x:v>The bridge callback is stable for small payloads, but large JSON messages show visible delay during navigation.</x:v>
      </x:c>
      <x:c r="K151" s="8"/>
      <x:c r="L151" s="8"/>
    </x:row>
    <x:row r="152">
      <x:c r="A152" s="8" t="str">
        <x:v>iOS</x:v>
      </x:c>
      <x:c r="B152" s="8" t="str">
        <x:v>Mixed content not loading</x:v>
      </x:c>
      <x:c r="C152" s="8" t="str">
        <x:v>use onShouldStartLoadWithRequest</x:v>
      </x:c>
      <x:c r="D152" s="8" t="str">
        <x:v>issue-1134</x:v>
      </x:c>
      <x:c r="E152" s="8" t="str">
        <x:v>medium</x:v>
      </x:c>
      <x:c r="F152" s="8" t="str">
        <x:v>resolved</x:v>
      </x:c>
      <x:c r="G152" s="8" t="str">
        <x:v>No owner</x:v>
      </x:c>
      <x:c r="H152" s="8" t="str">
        <x:v>14.2</x:v>
      </x:c>
      <x:c r="I152" s="8" t="str">
        <x:v>2026-09-27</x:v>
      </x:c>
      <x:c r="J152" s="8" t="str">
        <x:v>The bridge callback is stable for small payloads, but large JSON messages show visible delay during navigation.</x:v>
      </x:c>
      <x:c r="K152" s="8"/>
      <x:c r="L152" s="8"/>
    </x:row>
    <x:row r="153">
      <x:c r="A153" s="8" t="str">
        <x:v>Android</x:v>
      </x:c>
      <x:c r="B153" s="8" t="str">
        <x:v>Navigation delegate not called</x:v>
      </x:c>
      <x:c r="C153" s="8" t="str">
        <x:v>set mixedContentMode='always'</x:v>
      </x:c>
      <x:c r="D153" s="8" t="str">
        <x:v>screen recording</x:v>
      </x:c>
      <x:c r="E153" s="8" t="str">
        <x:v>medium</x:v>
      </x:c>
      <x:c r="F153" s="8" t="str">
        <x:v>needs reproduction</x:v>
      </x:c>
      <x:c r="G153" s="8" t="str">
        <x:v>Diego</x:v>
      </x:c>
      <x:c r="H153" s="8" t="str">
        <x:v>13.8</x:v>
      </x:c>
      <x:c r="I153" s="8" t="str">
        <x:v>2026-01-01</x:v>
      </x:c>
      <x:c r="J153" s="8"/>
      <x:c r="K153" s="8"/>
      <x:c r="L153" s="8"/>
    </x:row>
    <x:row r="154">
      <x:c r="A154" s="8" t="str">
        <x:v>iOS</x:v>
      </x:c>
      <x:c r="B154" s="8" t="str">
        <x:v>Injected JS runs twice</x:v>
      </x:c>
      <x:c r="C154" s="8" t="str">
        <x:v>batch messages over the bridge</x:v>
      </x:c>
      <x:c r="D154" s="8" t="str">
        <x:v>issue-1136</x:v>
      </x:c>
      <x:c r="E154" s="8" t="str">
        <x:v>security risk?</x:v>
      </x:c>
      <x:c r="F154" s="8" t="str">
        <x:v>blocked</x:v>
      </x:c>
      <x:c r="G154" s="8" t="str">
        <x:v>Mei</x:v>
      </x:c>
      <x:c r="H154" s="8" t="str">
        <x:v>13.8</x:v>
      </x:c>
      <x:c r="I154" s="8" t="str">
        <x:v>2026-02-02</x:v>
      </x:c>
      <x:c r="J154" s="8"/>
      <x:c r="K154" s="8"/>
      <x:c r="L154" s="8"/>
    </x:row>
    <x:row r="155">
      <x:c r="A155" s="8" t="str">
        <x:v>Android</x:v>
      </x:c>
      <x:c r="B155" s="8" t="str">
        <x:v>Large payload appears slow</x:v>
      </x:c>
      <x:c r="C155" s="8" t="str">
        <x:v>move script to onLoadEnd</x:v>
      </x:c>
      <x:c r="D155" s="8" t="str">
        <x:v>issue-1137</x:v>
      </x:c>
      <x:c r="E155" s="8" t="str">
        <x:v>medium</x:v>
      </x:c>
      <x:c r="F155" s="8" t="str">
        <x:v>blocked</x:v>
      </x:c>
      <x:c r="G155" s="8" t="str">
        <x:v>Carla</x:v>
      </x:c>
      <x:c r="H155" s="8" t="str">
        <x:v>14.0</x:v>
      </x:c>
      <x:c r="I155" s="8" t="str">
        <x:v>2026-03-03</x:v>
      </x:c>
      <x:c r="J155" s="8"/>
      <x:c r="K155" s="8"/>
      <x:c r="L155" s="8"/>
    </x:row>
    <x:row r="156">
      <x:c r="A156" s="8" t="str">
        <x:v>iOS</x:v>
      </x:c>
      <x:c r="B156" s="8" t="str">
        <x:v>Injected JS runs twice</x:v>
      </x:c>
      <x:c r="C156" s="8" t="str">
        <x:v>resize contentInset</x:v>
      </x:c>
      <x:c r="D156" s="8" t="str">
        <x:v>device log</x:v>
      </x:c>
      <x:c r="E156" s="8" t="str">
        <x:v>high</x:v>
      </x:c>
      <x:c r="F156" s="8" t="str">
        <x:v>needs reproduction</x:v>
      </x:c>
      <x:c r="G156" s="8" t="str">
        <x:v>No owner</x:v>
      </x:c>
      <x:c r="H156" s="8" t="str">
        <x:v>13.8</x:v>
      </x:c>
      <x:c r="I156" s="8" t="str">
        <x:v>2026-04-04</x:v>
      </x:c>
      <x:c r="J156" s="8" t="str">
        <x:v>The bridge callback is stable for small payloads, but large JSON messages show visible delay during navigation.</x:v>
      </x:c>
      <x:c r="K156" s="8"/>
      <x:c r="L156" s="8" t="str">
        <x:v>Random thought: is the JS bridge slow for big payloads?</x:v>
      </x:c>
    </x:row>
    <x:row r="157">
      <x:c r="A157" s="8" t="str">
        <x:v>Android</x:v>
      </x:c>
      <x:c r="B157" s="8" t="str">
        <x:v>Navigation delegate not called</x:v>
      </x:c>
      <x:c r="C157" s="8" t="str">
        <x:v>move script to onLoadEnd</x:v>
      </x:c>
      <x:c r="D157" s="8" t="str">
        <x:v>repro-android-14</x:v>
      </x:c>
      <x:c r="E157" s="8" t="str">
        <x:v>low</x:v>
      </x:c>
      <x:c r="F157" s="8" t="str">
        <x:v>resolved</x:v>
      </x:c>
      <x:c r="G157" s="8" t="str">
        <x:v>Carla</x:v>
      </x:c>
      <x:c r="H157" s="8" t="str">
        <x:v>14.2</x:v>
      </x:c>
      <x:c r="I157" s="8" t="str">
        <x:v>2026-05-05</x:v>
      </x:c>
      <x:c r="J157" s="8"/>
      <x:c r="K157" s="8"/>
      <x:c r="L157" s="8"/>
    </x:row>
    <x:row r="158">
      <x:c r="A158" s="8" t="str">
        <x:v>iOS</x:v>
      </x:c>
      <x:c r="B158" s="8" t="str">
        <x:v>Navigation delegate not called</x:v>
      </x:c>
      <x:c r="C158" s="8" t="str">
        <x:v>move script to onLoadEnd</x:v>
      </x:c>
      <x:c r="D158" s="8" t="str">
        <x:v>repro-android-14</x:v>
      </x:c>
      <x:c r="E158" s="8" t="str">
        <x:v>high</x:v>
      </x:c>
      <x:c r="F158" s="8" t="str">
        <x:v>needs reproduction</x:v>
      </x:c>
      <x:c r="G158" s="8" t="str">
        <x:v>Mei</x:v>
      </x:c>
      <x:c r="H158" s="8" t="str">
        <x:v>13.6</x:v>
      </x:c>
      <x:c r="I158" s="8" t="str">
        <x:v>2026-06-06</x:v>
      </x:c>
      <x:c r="J158" s="8"/>
      <x:c r="K158" s="8"/>
      <x:c r="L158" s="8" t="str">
        <x:v>Random thought: is the JS bridge slow for big payloads?</x:v>
      </x:c>
    </x:row>
    <x:row r="159">
      <x:c r="A159" s="8" t="str">
        <x:v>Android</x:v>
      </x:c>
      <x:c r="B159" s="8" t="str">
        <x:v>File upload stalls</x:v>
      </x:c>
      <x:c r="C159" s="8" t="str">
        <x:v>move script to onLoadEnd</x:v>
      </x:c>
      <x:c r="D159" s="8" t="str">
        <x:v>repro-android-14</x:v>
      </x:c>
      <x:c r="E159" s="8" t="str">
        <x:v>low</x:v>
      </x:c>
      <x:c r="F159" s="8" t="str">
        <x:v>blocked</x:v>
      </x:c>
      <x:c r="G159" s="8" t="str">
        <x:v>Diego</x:v>
      </x:c>
      <x:c r="H159" s="8" t="str">
        <x:v>13.6</x:v>
      </x:c>
      <x:c r="I159" s="8" t="str">
        <x:v>2026-07-07</x:v>
      </x:c>
      <x:c r="J159" s="8" t="str">
        <x:v>Verify behavior on a cold start and after the page reloads without destroying the native view.</x:v>
      </x:c>
      <x:c r="K159" s="8"/>
      <x:c r="L159" s="8"/>
    </x:row>
    <x:row r="160">
      <x:c r="A160" s="8" t="str">
        <x:v>iOS</x:v>
      </x:c>
      <x:c r="B160" s="8" t="str">
        <x:v>Navigation delegate not called</x:v>
      </x:c>
      <x:c r="C160" s="8" t="str">
        <x:v>provide a file:// handler</x:v>
      </x:c>
      <x:c r="D160" s="8" t="str">
        <x:v>issue-1142</x:v>
      </x:c>
      <x:c r="E160" s="8" t="str">
        <x:v>unknown</x:v>
      </x:c>
      <x:c r="F160" s="8" t="str">
        <x:v>resolved</x:v>
      </x:c>
      <x:c r="G160" s="8" t="str">
        <x:v>Diego</x:v>
      </x:c>
      <x:c r="H160" s="8" t="str">
        <x:v>15.0</x:v>
      </x:c>
      <x:c r="I160" s="8" t="str">
        <x:v>2026-08-08</x:v>
      </x:c>
      <x:c r="J160" s="8"/>
      <x:c r="K160" s="8"/>
      <x:c r="L160" s="8"/>
    </x:row>
    <x:row r="161">
      <x:c r="A161" s="8" t="str">
        <x:v>Android</x:v>
      </x:c>
      <x:c r="B161" s="8" t="str">
        <x:v>File upload stalls</x:v>
      </x:c>
      <x:c r="C161" s="8" t="str">
        <x:v>resize contentInset</x:v>
      </x:c>
      <x:c r="D161" s="8" t="str">
        <x:v>issue-1143</x:v>
      </x:c>
      <x:c r="E161" s="8" t="str">
        <x:v>high</x:v>
      </x:c>
      <x:c r="F161" s="8" t="str">
        <x:v>investigating</x:v>
      </x:c>
      <x:c r="G161" s="8" t="str">
        <x:v>Mei</x:v>
      </x:c>
      <x:c r="H161" s="8" t="str">
        <x:v>15.0</x:v>
      </x:c>
      <x:c r="I161" s="8" t="str">
        <x:v>2026-09-09</x:v>
      </x:c>
      <x:c r="J161" s="8" t="str">
        <x:v>A blank cell here is intentional. The source workbook has notes placed away from the nearest table.</x:v>
      </x:c>
      <x:c r="K161" s="8"/>
      <x:c r="L161" s="8"/>
    </x:row>
    <x:row r="162">
      <x:c r="A162" s="8" t="str">
        <x:v>iOS</x:v>
      </x:c>
      <x:c r="B162" s="8" t="str">
        <x:v>Keyboard covers input</x:v>
      </x:c>
      <x:c r="C162" s="8" t="str">
        <x:v>provide a file:// handler</x:v>
      </x:c>
      <x:c r="D162" s="8" t="str">
        <x:v>repro-android-14</x:v>
      </x:c>
      <x:c r="E162" s="8" t="str">
        <x:v>unknown</x:v>
      </x:c>
      <x:c r="F162" s="8" t="str">
        <x:v>open</x:v>
      </x:c>
      <x:c r="G162" s="8" t="str">
        <x:v>Ben</x:v>
      </x:c>
      <x:c r="H162" s="8" t="str">
        <x:v>14.0</x:v>
      </x:c>
      <x:c r="I162" s="8" t="str">
        <x:v>2026-01-10</x:v>
      </x:c>
      <x:c r="J162" s="8"/>
      <x:c r="K162" s="8"/>
      <x:c r="L162" s="8"/>
    </x:row>
    <x:row r="163">
      <x:c r="A163" s="8" t="str">
        <x:v>Android</x:v>
      </x:c>
      <x:c r="B163" s="8" t="str">
        <x:v>Large payload appears slow</x:v>
      </x:c>
      <x:c r="C163" s="8" t="str">
        <x:v>set mixedContentMode='always'</x:v>
      </x:c>
      <x:c r="D163" s="8" t="str">
        <x:v>device log</x:v>
      </x:c>
      <x:c r="E163" s="8" t="str">
        <x:v>medium</x:v>
      </x:c>
      <x:c r="F163" s="8" t="str">
        <x:v>resolved</x:v>
      </x:c>
      <x:c r="G163" s="8" t="str">
        <x:v>No owner</x:v>
      </x:c>
      <x:c r="H163" s="8" t="str">
        <x:v>13.6</x:v>
      </x:c>
      <x:c r="I163" s="8" t="str">
        <x:v>2026-02-11</x:v>
      </x:c>
      <x:c r="J163" s="8"/>
      <x:c r="K163" s="8"/>
      <x:c r="L163" s="8" t="str">
        <x:v>Random thought: is the JS bridge slow for big payloads?</x:v>
      </x:c>
    </x:row>
    <x:row r="164">
      <x:c r="A164" s="8" t="str">
        <x:v>iOS</x:v>
      </x:c>
      <x:c r="B164" s="8" t="str">
        <x:v>File upload stalls</x:v>
      </x:c>
      <x:c r="C164" s="8" t="str">
        <x:v>set mixedContentMode='always'</x:v>
      </x:c>
      <x:c r="D164" s="8" t="str">
        <x:v>repro-android-14</x:v>
      </x:c>
      <x:c r="E164" s="8" t="str">
        <x:v>unknown</x:v>
      </x:c>
      <x:c r="F164" s="8" t="str">
        <x:v>open</x:v>
      </x:c>
      <x:c r="G164" s="8" t="str">
        <x:v>Ben</x:v>
      </x:c>
      <x:c r="H164" s="8" t="str">
        <x:v>13.6</x:v>
      </x:c>
      <x:c r="I164" s="8" t="str">
        <x:v>2026-03-12</x:v>
      </x:c>
      <x:c r="J164" s="8"/>
      <x:c r="K164" s="8"/>
      <x:c r="L164" s="8" t="str">
        <x:v>Random thought: is the JS bridge slow for big payloads?</x:v>
      </x:c>
    </x:row>
    <x:row r="165">
      <x:c r="A165" s="8" t="str">
        <x:v>Android</x:v>
      </x:c>
      <x:c r="B165" s="8" t="str">
        <x:v>Mixed content not loading</x:v>
      </x:c>
      <x:c r="C165" s="8" t="str">
        <x:v>move script to onLoadEnd</x:v>
      </x:c>
      <x:c r="D165" s="8" t="str">
        <x:v>manual check</x:v>
      </x:c>
      <x:c r="E165" s="8" t="str">
        <x:v>unknown</x:v>
      </x:c>
      <x:c r="F165" s="8" t="str">
        <x:v>needs reproduction</x:v>
      </x:c>
      <x:c r="G165" s="8" t="str">
        <x:v>No owner</x:v>
      </x:c>
      <x:c r="H165" s="8" t="str">
        <x:v>13.8</x:v>
      </x:c>
      <x:c r="I165" s="8" t="str">
        <x:v>2026-04-13</x:v>
      </x:c>
      <x:c r="J165" s="8"/>
      <x:c r="K165" s="8"/>
      <x:c r="L165" s="8"/>
    </x:row>
    <x:row r="166">
      <x:c r="A166" s="8" t="str">
        <x:v>Platform</x:v>
      </x:c>
      <x:c r="B166" s="8" t="str">
        <x:v>Issue</x:v>
      </x:c>
      <x:c r="C166" s="8" t="str">
        <x:v>Fix</x:v>
      </x:c>
      <x:c r="D166" s="8" t="str">
        <x:v>Evidence</x:v>
      </x:c>
      <x:c r="E166" s="8" t="str">
        <x:v>Risk</x:v>
      </x:c>
      <x:c r="F166" s="8" t="str">
        <x:v>Status</x:v>
      </x:c>
      <x:c r="G166" s="8" t="str">
        <x:v>Owner</x:v>
      </x:c>
      <x:c r="H166" s="8"/>
      <x:c r="I166" s="8"/>
      <x:c r="J166" s="8" t="str">
        <x:v>Repeated header from exported table</x:v>
      </x:c>
      <x:c r="K166" s="8"/>
      <x:c r="L166" s="8"/>
    </x:row>
    <x:row r="167">
      <x:c r="A167" s="8" t="str">
        <x:v>iOS</x:v>
      </x:c>
      <x:c r="B167" s="8" t="str">
        <x:v>Navigation delegate not called</x:v>
      </x:c>
      <x:c r="C167" s="8" t="str">
        <x:v>use onShouldStartLoadWithRequest</x:v>
      </x:c>
      <x:c r="D167" s="8" t="str">
        <x:v>issue-1148</x:v>
      </x:c>
      <x:c r="E167" s="8" t="str">
        <x:v>high</x:v>
      </x:c>
      <x:c r="F167" s="8" t="str">
        <x:v>resolved</x:v>
      </x:c>
      <x:c r="G167" s="8" t="str">
        <x:v>Carla</x:v>
      </x:c>
      <x:c r="H167" s="8" t="str">
        <x:v>14.0</x:v>
      </x:c>
      <x:c r="I167" s="8" t="str">
        <x:v>2026-05-14</x:v>
      </x:c>
      <x:c r="J167" s="8"/>
      <x:c r="K167" s="8" t="str">
        <x:v>https://github.com/react-native-webview/react-native-webview</x:v>
      </x:c>
      <x:c r="L167" s="8"/>
    </x:row>
    <x:row r="168">
      <x:c r="A168" s="8" t="str">
        <x:v>Android</x:v>
      </x:c>
      <x:c r="B168" s="8" t="str">
        <x:v>Mixed content not loading</x:v>
      </x:c>
      <x:c r="C168" s="8" t="str">
        <x:v>batch messages over the bridge</x:v>
      </x:c>
      <x:c r="D168" s="8" t="str">
        <x:v>manual check</x:v>
      </x:c>
      <x:c r="E168" s="8" t="str">
        <x:v>security risk?</x:v>
      </x:c>
      <x:c r="F168" s="8" t="str">
        <x:v>investigating</x:v>
      </x:c>
      <x:c r="G168" s="8" t="str">
        <x:v>Ben</x:v>
      </x:c>
      <x:c r="H168" s="8" t="str">
        <x:v>13.8</x:v>
      </x:c>
      <x:c r="I168" s="8" t="str">
        <x:v>2026-06-15</x:v>
      </x:c>
      <x:c r="J168" s="8" t="str">
        <x:v>This sentence is long enough to exercise wrapping and downstream chunk boundaries in Markdown output.</x:v>
      </x:c>
      <x:c r="K168" s="8" t="str">
        <x:v>https://github.com/react-native-webview/react-native-webview</x:v>
      </x:c>
      <x:c r="L168" s="8"/>
    </x:row>
    <x:row r="169">
      <x:c r="A169" s="8" t="str">
        <x:v>iOS</x:v>
      </x:c>
      <x:c r="B169" s="8" t="str">
        <x:v>File upload stalls</x:v>
      </x:c>
      <x:c r="C169" s="8" t="str">
        <x:v>provide a file:// handler</x:v>
      </x:c>
      <x:c r="D169" s="8" t="str">
        <x:v>device log</x:v>
      </x:c>
      <x:c r="E169" s="8" t="str">
        <x:v>high</x:v>
      </x:c>
      <x:c r="F169" s="8" t="str">
        <x:v>needs reproduction</x:v>
      </x:c>
      <x:c r="G169" s="8" t="str">
        <x:v>Diego</x:v>
      </x:c>
      <x:c r="H169" s="8" t="str">
        <x:v>15.0</x:v>
      </x:c>
      <x:c r="I169" s="8" t="str">
        <x:v>2026-07-16</x:v>
      </x:c>
      <x:c r="J169" s="8" t="str">
        <x:v>Follow-up: compare the result when the network security policy is relaxed versus when it is enforced.</x:v>
      </x:c>
      <x:c r="K169" s="8"/>
      <x:c r="L169" s="8" t="str">
        <x:v>Random thought: is the JS bridge slow for big payloads?</x:v>
      </x:c>
    </x:row>
    <x:row r="170">
      <x:c r="A170" s="8" t="str">
        <x:v>Android</x:v>
      </x:c>
      <x:c r="B170" s="8" t="str">
        <x:v>Large payload appears slow</x:v>
      </x:c>
      <x:c r="C170" s="8" t="str">
        <x:v>move script to onLoadEnd</x:v>
      </x:c>
      <x:c r="D170" s="8" t="str">
        <x:v>repro-android-14</x:v>
      </x:c>
      <x:c r="E170" s="8" t="str">
        <x:v>medium</x:v>
      </x:c>
      <x:c r="F170" s="8" t="str">
        <x:v>open</x:v>
      </x:c>
      <x:c r="G170" s="8" t="str">
        <x:v>Diego</x:v>
      </x:c>
      <x:c r="H170" s="8" t="str">
        <x:v>14.2</x:v>
      </x:c>
      <x:c r="I170" s="8" t="str">
        <x:v>2026-08-17</x:v>
      </x:c>
      <x:c r="J170" s="8" t="str">
        <x:v>Observed in a local test run: the content rendered, but the console warning appeared twice.</x:v>
      </x:c>
      <x:c r="K170" s="8"/>
      <x:c r="L170" s="8"/>
    </x:row>
    <x:row r="171">
      <x:c r="A171" s="8"/>
      <x:c r="B171" s="8"/>
      <x:c r="C171" s="8"/>
      <x:c r="D171" s="8"/>
      <x:c r="E171" s="8"/>
      <x:c r="F171" s="8"/>
      <x:c r="G171" s="8"/>
      <x:c r="H171" s="8"/>
      <x:c r="I171" s="8"/>
      <x:c r="J171" s="8"/>
      <x:c r="K171" s="8"/>
      <x:c r="L171" s="8"/>
    </x:row>
    <x:row r="172">
      <x:c r="A172" s="8" t="str">
        <x:v>iOS</x:v>
      </x:c>
      <x:c r="B172" s="8" t="str">
        <x:v>Navigation delegate not called</x:v>
      </x:c>
      <x:c r="C172" s="8" t="str">
        <x:v>set mixedContentMode='always'</x:v>
      </x:c>
      <x:c r="D172" s="8" t="str">
        <x:v>issue-1152</x:v>
      </x:c>
      <x:c r="E172" s="8" t="str">
        <x:v>medium</x:v>
      </x:c>
      <x:c r="F172" s="8" t="str">
        <x:v>resolved</x:v>
      </x:c>
      <x:c r="G172" s="8" t="str">
        <x:v>Carla</x:v>
      </x:c>
      <x:c r="H172" s="8" t="str">
        <x:v>13.6</x:v>
      </x:c>
      <x:c r="I172" s="8" t="str">
        <x:v>2026-09-18</x:v>
      </x:c>
      <x:c r="J172" s="8" t="str">
        <x:v>Verify behavior on a cold start and after the page reloads without destroying the native view.</x:v>
      </x:c>
      <x:c r="K172" s="8"/>
      <x:c r="L172" s="8" t="str">
        <x:v>Random thought: is the JS bridge slow for big payloads?</x:v>
      </x:c>
    </x:row>
    <x:row r="173">
      <x:c r="A173" s="8" t="str">
        <x:v>Android</x:v>
      </x:c>
      <x:c r="B173" s="8" t="str">
        <x:v>Navigation delegate not called</x:v>
      </x:c>
      <x:c r="C173" s="8" t="str">
        <x:v>resize contentInset</x:v>
      </x:c>
      <x:c r="D173" s="8" t="str">
        <x:v>repro-android-14</x:v>
      </x:c>
      <x:c r="E173" s="8" t="str">
        <x:v>high</x:v>
      </x:c>
      <x:c r="F173" s="8" t="str">
        <x:v>needs reproduction</x:v>
      </x:c>
      <x:c r="G173" s="8" t="str">
        <x:v>No owner</x:v>
      </x:c>
      <x:c r="H173" s="8" t="str">
        <x:v>15.0</x:v>
      </x:c>
      <x:c r="I173" s="8" t="str">
        <x:v>2026-01-19</x:v>
      </x:c>
      <x:c r="J173" s="8"/>
      <x:c r="K173" s="8"/>
      <x:c r="L173" s="8"/>
    </x:row>
    <x:row r="174">
      <x:c r="A174" s="8" t="str">
        <x:v>iOS</x:v>
      </x:c>
      <x:c r="B174" s="8" t="str">
        <x:v>Keyboard covers input</x:v>
      </x:c>
      <x:c r="C174" s="8" t="str">
        <x:v>resize contentInset</x:v>
      </x:c>
      <x:c r="D174" s="8" t="str">
        <x:v>repro-android-14</x:v>
      </x:c>
      <x:c r="E174" s="8" t="str">
        <x:v>high</x:v>
      </x:c>
      <x:c r="F174" s="8" t="str">
        <x:v>blocked</x:v>
      </x:c>
      <x:c r="G174" s="8" t="str">
        <x:v>Ben</x:v>
      </x:c>
      <x:c r="H174" s="8" t="str">
        <x:v>13.8</x:v>
      </x:c>
      <x:c r="I174" s="8" t="str">
        <x:v>2026-02-20</x:v>
      </x:c>
      <x:c r="J174" s="8" t="str">
        <x:v>Verify behavior on a cold start and after the page reloads without destroying the native view.</x:v>
      </x:c>
      <x:c r="K174" s="8"/>
      <x:c r="L174" s="8" t="str">
        <x:v>Random thought: is the JS bridge slow for big payloads?</x:v>
      </x:c>
    </x:row>
    <x:row r="175">
      <x:c r="A175" s="8" t="str">
        <x:v>Android</x:v>
      </x:c>
      <x:c r="B175" s="8" t="str">
        <x:v>Navigation delegate not called</x:v>
      </x:c>
      <x:c r="C175" s="8" t="str">
        <x:v>move script to onLoadEnd</x:v>
      </x:c>
      <x:c r="D175" s="8" t="str">
        <x:v>issue-1155</x:v>
      </x:c>
      <x:c r="E175" s="8" t="str">
        <x:v>high</x:v>
      </x:c>
      <x:c r="F175" s="8" t="str">
        <x:v>blocked</x:v>
      </x:c>
      <x:c r="G175" s="8" t="str">
        <x:v>Mei</x:v>
      </x:c>
      <x:c r="H175" s="8" t="str">
        <x:v>14.2</x:v>
      </x:c>
      <x:c r="I175" s="8" t="str">
        <x:v>2026-03-21</x:v>
      </x:c>
      <x:c r="J175" s="8"/>
      <x:c r="K175" s="8"/>
      <x:c r="L175" s="8"/>
    </x:row>
    <x:row r="176">
      <x:c r="A176" s="8" t="str">
        <x:v>iOS</x:v>
      </x:c>
      <x:c r="B176" s="8" t="str">
        <x:v>Mixed content not loading</x:v>
      </x:c>
      <x:c r="C176" s="8" t="str">
        <x:v>move script to onLoadEnd</x:v>
      </x:c>
      <x:c r="D176" s="8" t="str">
        <x:v>manual check</x:v>
      </x:c>
      <x:c r="E176" s="8" t="str">
        <x:v>security risk?</x:v>
      </x:c>
      <x:c r="F176" s="8" t="str">
        <x:v>needs reproduction</x:v>
      </x:c>
      <x:c r="G176" s="8" t="str">
        <x:v>No owner</x:v>
      </x:c>
      <x:c r="H176" s="8" t="str">
        <x:v>13.8</x:v>
      </x:c>
      <x:c r="I176" s="8" t="str">
        <x:v>2026-04-22</x:v>
      </x:c>
      <x:c r="J176" s="8" t="str">
        <x:v>A blank cell here is intentional. The source workbook has notes placed away from the nearest table.</x:v>
      </x:c>
      <x:c r="K176" s="8" t="str">
        <x:v>https://learn.microsoft.com/en-us/microsoft-edge/webview2/concepts/security</x:v>
      </x:c>
      <x:c r="L176" s="8"/>
    </x:row>
    <x:row r="177">
      <x:c r="A177" s="8" t="str">
        <x:v>Android</x:v>
      </x:c>
      <x:c r="B177" s="8" t="str">
        <x:v>Navigation delegate not called</x:v>
      </x:c>
      <x:c r="C177" s="8" t="str">
        <x:v>resize contentInset</x:v>
      </x:c>
      <x:c r="D177" s="8" t="str">
        <x:v>manual check</x:v>
      </x:c>
      <x:c r="E177" s="8" t="str">
        <x:v>medium</x:v>
      </x:c>
      <x:c r="F177" s="8" t="str">
        <x:v>resolved</x:v>
      </x:c>
      <x:c r="G177" s="8" t="str">
        <x:v>No owner</x:v>
      </x:c>
      <x:c r="H177" s="8" t="str">
        <x:v>14.0</x:v>
      </x:c>
      <x:c r="I177" s="8" t="str">
        <x:v>2026-05-23</x:v>
      </x:c>
      <x:c r="J177" s="8"/>
      <x:c r="K177" s="8"/>
      <x:c r="L177" s="8"/>
    </x:row>
    <x:row r="178">
      <x:c r="A178" s="8" t="str">
        <x:v>iOS</x:v>
      </x:c>
      <x:c r="B178" s="8" t="str">
        <x:v>Keyboard covers input</x:v>
      </x:c>
      <x:c r="C178" s="8" t="str">
        <x:v>batch messages over the bridge</x:v>
      </x:c>
      <x:c r="D178" s="8" t="str">
        <x:v>issue-1158</x:v>
      </x:c>
      <x:c r="E178" s="8" t="str">
        <x:v>unknown</x:v>
      </x:c>
      <x:c r="F178" s="8" t="str">
        <x:v>investigating</x:v>
      </x:c>
      <x:c r="G178" s="8" t="str">
        <x:v>Carla</x:v>
      </x:c>
      <x:c r="H178" s="8" t="str">
        <x:v>13.6</x:v>
      </x:c>
      <x:c r="I178" s="8" t="str">
        <x:v>2026-06-24</x:v>
      </x:c>
      <x:c r="J178" s="8" t="str">
        <x:v>The bridge callback is stable for small payloads, but large JSON messages show visible delay during navigation.</x:v>
      </x:c>
      <x:c r="K178" s="8"/>
      <x:c r="L178" s="8"/>
    </x:row>
    <x:row r="179">
      <x:c r="A179" s="8" t="str">
        <x:v>Android</x:v>
      </x:c>
      <x:c r="B179" s="8" t="str">
        <x:v>Keyboard covers input</x:v>
      </x:c>
      <x:c r="C179" s="8" t="str">
        <x:v>batch messages over the bridge</x:v>
      </x:c>
      <x:c r="D179" s="8" t="str">
        <x:v>issue-1159</x:v>
      </x:c>
      <x:c r="E179" s="8" t="str">
        <x:v>medium</x:v>
      </x:c>
      <x:c r="F179" s="8" t="str">
        <x:v>blocked</x:v>
      </x:c>
      <x:c r="G179" s="8" t="str">
        <x:v>Diego</x:v>
      </x:c>
      <x:c r="H179" s="8" t="str">
        <x:v>14.0</x:v>
      </x:c>
      <x:c r="I179" s="8" t="str">
        <x:v>2026-07-25</x:v>
      </x:c>
      <x:c r="J179" s="8" t="str">
        <x:v>The owner field was not captured in the original notes, so classification should remain conservative.</x:v>
      </x:c>
      <x:c r="K179" s="8" t="str">
        <x:v>https://developer.microsoft.com/en-us/microsoft-edge/webview2/</x:v>
      </x:c>
      <x:c r="L179" s="8"/>
    </x:row>
    <x:row r="180">
      <x:c r="A180" s="8" t="str">
        <x:v>iOS</x:v>
      </x:c>
      <x:c r="B180" s="8" t="str">
        <x:v>Keyboard covers input</x:v>
      </x:c>
      <x:c r="C180" s="8" t="str">
        <x:v>set mixedContentMode='always'</x:v>
      </x:c>
      <x:c r="D180" s="8" t="str">
        <x:v>screen recording</x:v>
      </x:c>
      <x:c r="E180" s="8" t="str">
        <x:v>unknown</x:v>
      </x:c>
      <x:c r="F180" s="8" t="str">
        <x:v>open</x:v>
      </x:c>
      <x:c r="G180" s="8" t="str">
        <x:v>No owner</x:v>
      </x:c>
      <x:c r="H180" s="8" t="str">
        <x:v>13.8</x:v>
      </x:c>
      <x:c r="I180" s="8" t="str">
        <x:v>2026-08-26</x:v>
      </x:c>
      <x:c r="J180" s="8"/>
      <x:c r="K180" s="8" t="str">
        <x:v>https://learn.microsoft.com/en-us/microsoft-edge/webview2/concepts/security</x:v>
      </x:c>
      <x:c r="L180" s="8"/>
    </x:row>
    <x:row r="181">
      <x:c r="A181" s="8" t="str">
        <x:v>Android</x:v>
      </x:c>
      <x:c r="B181" s="8" t="str">
        <x:v>Large payload appears slow</x:v>
      </x:c>
      <x:c r="C181" s="8" t="str">
        <x:v>use onShouldStartLoadWithRequest</x:v>
      </x:c>
      <x:c r="D181" s="8" t="str">
        <x:v>manual check</x:v>
      </x:c>
      <x:c r="E181" s="8" t="str">
        <x:v>unknown</x:v>
      </x:c>
      <x:c r="F181" s="8" t="str">
        <x:v>needs reproduction</x:v>
      </x:c>
      <x:c r="G181" s="8" t="str">
        <x:v>No owner</x:v>
      </x:c>
      <x:c r="H181" s="8" t="str">
        <x:v>14.0</x:v>
      </x:c>
      <x:c r="I181" s="8" t="str">
        <x:v>2026-09-27</x:v>
      </x:c>
      <x:c r="J181" s="8"/>
      <x:c r="K181" s="8"/>
      <x:c r="L181" s="8"/>
    </x:row>
    <x:row r="182">
      <x:c r="A182" s="8" t="str">
        <x:v>iOS</x:v>
      </x:c>
      <x:c r="B182" s="8" t="str">
        <x:v>File upload stalls</x:v>
      </x:c>
      <x:c r="C182" s="8" t="str">
        <x:v>resize contentInset</x:v>
      </x:c>
      <x:c r="D182" s="8" t="str">
        <x:v>device log</x:v>
      </x:c>
      <x:c r="E182" s="8" t="str">
        <x:v>medium</x:v>
      </x:c>
      <x:c r="F182" s="8" t="str">
        <x:v>open</x:v>
      </x:c>
      <x:c r="G182" s="8" t="str">
        <x:v>Carla</x:v>
      </x:c>
      <x:c r="H182" s="8" t="str">
        <x:v>14.2</x:v>
      </x:c>
      <x:c r="I182" s="8" t="str">
        <x:v>2026-01-01</x:v>
      </x:c>
      <x:c r="J182" s="8"/>
      <x:c r="K182" s="8"/>
      <x:c r="L182" s="8"/>
    </x:row>
    <x:row r="183">
      <x:c r="A183" s="8" t="str">
        <x:v>Android</x:v>
      </x:c>
      <x:c r="B183" s="8" t="str">
        <x:v>Navigation delegate not called</x:v>
      </x:c>
      <x:c r="C183" s="8" t="str">
        <x:v>move script to onLoadEnd</x:v>
      </x:c>
      <x:c r="D183" s="8" t="str">
        <x:v>repro-android-14</x:v>
      </x:c>
      <x:c r="E183" s="8" t="str">
        <x:v>security risk?</x:v>
      </x:c>
      <x:c r="F183" s="8" t="str">
        <x:v>open</x:v>
      </x:c>
      <x:c r="G183" s="8" t="str">
        <x:v>Carla</x:v>
      </x:c>
      <x:c r="H183" s="8" t="str">
        <x:v>14.2</x:v>
      </x:c>
      <x:c r="I183" s="8" t="str">
        <x:v>2026-02-02</x:v>
      </x:c>
      <x:c r="J183" s="8"/>
      <x:c r="K183" s="8"/>
      <x:c r="L183" s="8" t="str">
        <x:v>Random thought: is the JS bridge slow for big payloads?</x:v>
      </x:c>
    </x:row>
    <x:row r="184">
      <x:c r="A184" s="8" t="str">
        <x:v>iOS</x:v>
      </x:c>
      <x:c r="B184" s="8" t="str">
        <x:v>File upload stalls</x:v>
      </x:c>
      <x:c r="C184" s="8" t="str">
        <x:v>resize contentInset</x:v>
      </x:c>
      <x:c r="D184" s="8" t="str">
        <x:v>manual check</x:v>
      </x:c>
      <x:c r="E184" s="8" t="str">
        <x:v>security risk?</x:v>
      </x:c>
      <x:c r="F184" s="8" t="str">
        <x:v>needs reproduction</x:v>
      </x:c>
      <x:c r="G184" s="8" t="str">
        <x:v>Carla</x:v>
      </x:c>
      <x:c r="H184" s="8" t="str">
        <x:v>15.0</x:v>
      </x:c>
      <x:c r="I184" s="8" t="str">
        <x:v>2026-03-03</x:v>
      </x:c>
      <x:c r="J184" s="8" t="str">
        <x:v>Verify behavior on a cold start and after the page reloads without destroying the native view.</x:v>
      </x:c>
      <x:c r="K184" s="8"/>
      <x:c r="L184" s="8"/>
    </x:row>
    <x:row r="185">
      <x:c r="A185" s="8" t="str">
        <x:v>Android</x:v>
      </x:c>
      <x:c r="B185" s="8" t="str">
        <x:v>Navigation delegate not called</x:v>
      </x:c>
      <x:c r="C185" s="8" t="str">
        <x:v>use onShouldStartLoadWithRequest</x:v>
      </x:c>
      <x:c r="D185" s="8" t="str">
        <x:v>repro-android-14</x:v>
      </x:c>
      <x:c r="E185" s="8" t="str">
        <x:v>medium</x:v>
      </x:c>
      <x:c r="F185" s="8" t="str">
        <x:v>open</x:v>
      </x:c>
      <x:c r="G185" s="8" t="str">
        <x:v>Diego</x:v>
      </x:c>
      <x:c r="H185" s="8" t="str">
        <x:v>14.0</x:v>
      </x:c>
      <x:c r="I185" s="8" t="str">
        <x:v>2026-04-04</x:v>
      </x:c>
      <x:c r="J185" s="8" t="str">
        <x:v>Observed in a local test run: the content rendered, but the console warning appeared twice.</x:v>
      </x:c>
      <x:c r="K185" s="8"/>
      <x:c r="L185" s="8"/>
    </x:row>
    <x:row r="186">
      <x:c r="A186" s="8" t="str">
        <x:v>iOS</x:v>
      </x:c>
      <x:c r="B186" s="8" t="str">
        <x:v>Injected JS runs twice</x:v>
      </x:c>
      <x:c r="C186" s="8" t="str">
        <x:v>resize contentInset</x:v>
      </x:c>
      <x:c r="D186" s="8" t="str">
        <x:v>screen recording</x:v>
      </x:c>
      <x:c r="E186" s="8" t="str">
        <x:v>medium</x:v>
      </x:c>
      <x:c r="F186" s="8" t="str">
        <x:v>investigating</x:v>
      </x:c>
      <x:c r="G186" s="8" t="str">
        <x:v>Ben</x:v>
      </x:c>
      <x:c r="H186" s="8" t="str">
        <x:v>14.2</x:v>
      </x:c>
      <x:c r="I186" s="8" t="str">
        <x:v>2026-05-05</x:v>
      </x:c>
      <x:c r="J186" s="8"/>
      <x:c r="K186" s="8"/>
      <x:c r="L186" s="8"/>
    </x:row>
    <x:row r="187">
      <x:c r="A187" s="8" t="str">
        <x:v>Android</x:v>
      </x:c>
      <x:c r="B187" s="8" t="str">
        <x:v>Keyboard covers input</x:v>
      </x:c>
      <x:c r="C187" s="8" t="str">
        <x:v>resize contentInset</x:v>
      </x:c>
      <x:c r="D187" s="8" t="str">
        <x:v>issue-1167</x:v>
      </x:c>
      <x:c r="E187" s="8" t="str">
        <x:v>unknown</x:v>
      </x:c>
      <x:c r="F187" s="8" t="str">
        <x:v>resolved</x:v>
      </x:c>
      <x:c r="G187" s="8" t="str">
        <x:v>Ben</x:v>
      </x:c>
      <x:c r="H187" s="8" t="str">
        <x:v>13.8</x:v>
      </x:c>
      <x:c r="I187" s="8" t="str">
        <x:v>2026-06-06</x:v>
      </x:c>
      <x:c r="J187" s="8" t="str">
        <x:v>This sentence is long enough to exercise wrapping and downstream chunk boundaries in Markdown output.</x:v>
      </x:c>
      <x:c r="K187" s="8"/>
      <x:c r="L187" s="8"/>
    </x:row>
    <x:row r="188">
      <x:c r="A188" s="8" t="str">
        <x:v>iOS</x:v>
      </x:c>
      <x:c r="B188" s="8" t="str">
        <x:v>File upload stalls</x:v>
      </x:c>
      <x:c r="C188" s="8" t="str">
        <x:v>set mixedContentMode='always'</x:v>
      </x:c>
      <x:c r="D188" s="8" t="str">
        <x:v>screen recording</x:v>
      </x:c>
      <x:c r="E188" s="8" t="str">
        <x:v>medium</x:v>
      </x:c>
      <x:c r="F188" s="8" t="str">
        <x:v>investigating</x:v>
      </x:c>
      <x:c r="G188" s="8" t="str">
        <x:v>Diego</x:v>
      </x:c>
      <x:c r="H188" s="8" t="str">
        <x:v>14.0</x:v>
      </x:c>
      <x:c r="I188" s="8" t="str">
        <x:v>2026-07-07</x:v>
      </x:c>
      <x:c r="J188" s="8"/>
      <x:c r="K188" s="8"/>
      <x:c r="L188" s="8"/>
    </x:row>
    <x:row r="189">
      <x:c r="A189" s="8" t="str">
        <x:v>Android</x:v>
      </x:c>
      <x:c r="B189" s="8" t="str">
        <x:v>Navigation delegate not called</x:v>
      </x:c>
      <x:c r="C189" s="8" t="str">
        <x:v>resize contentInset</x:v>
      </x:c>
      <x:c r="D189" s="8" t="str">
        <x:v>manual check</x:v>
      </x:c>
      <x:c r="E189" s="8" t="str">
        <x:v>medium</x:v>
      </x:c>
      <x:c r="F189" s="8" t="str">
        <x:v>investigating</x:v>
      </x:c>
      <x:c r="G189" s="8" t="str">
        <x:v>No owner</x:v>
      </x:c>
      <x:c r="H189" s="8" t="str">
        <x:v>15.0</x:v>
      </x:c>
      <x:c r="I189" s="8" t="str">
        <x:v>2026-08-08</x:v>
      </x:c>
      <x:c r="J189" s="8" t="str">
        <x:v>Observed in a local test run: the content rendered, but the console warning appeared twice.</x:v>
      </x:c>
      <x:c r="K189" s="8"/>
      <x:c r="L189" s="8"/>
    </x:row>
    <x:row r="190">
      <x:c r="A190" s="8" t="str">
        <x:v>iOS</x:v>
      </x:c>
      <x:c r="B190" s="8" t="str">
        <x:v>Keyboard covers input</x:v>
      </x:c>
      <x:c r="C190" s="8" t="str">
        <x:v>resize contentInset</x:v>
      </x:c>
      <x:c r="D190" s="8" t="str">
        <x:v>device log</x:v>
      </x:c>
      <x:c r="E190" s="8" t="str">
        <x:v>security risk?</x:v>
      </x:c>
      <x:c r="F190" s="8" t="str">
        <x:v>open</x:v>
      </x:c>
      <x:c r="G190" s="8" t="str">
        <x:v>Mei</x:v>
      </x:c>
      <x:c r="H190" s="8" t="str">
        <x:v>14.0</x:v>
      </x:c>
      <x:c r="I190" s="8" t="str">
        <x:v>2026-09-09</x:v>
      </x:c>
      <x:c r="J190" s="8" t="str">
        <x:v>Verify behavior on a cold start and after the page reloads without destroying the native view.</x:v>
      </x:c>
      <x:c r="K190" s="8"/>
      <x:c r="L190" s="8"/>
    </x:row>
    <x:row r="191">
      <x:c r="A191" s="8"/>
      <x:c r="B191" s="8"/>
      <x:c r="C191" s="8"/>
      <x:c r="D191" s="8"/>
      <x:c r="E191" s="8"/>
      <x:c r="F191" s="8"/>
      <x:c r="G191" s="8"/>
      <x:c r="H191" s="8"/>
      <x:c r="I191" s="8"/>
      <x:c r="J191" s="8"/>
      <x:c r="K191" s="8"/>
      <x:c r="L191" s="8"/>
    </x:row>
    <x:row r="192">
      <x:c r="A192" s="8" t="str">
        <x:v>Android</x:v>
      </x:c>
      <x:c r="B192" s="8" t="str">
        <x:v>Navigation delegate not called</x:v>
      </x:c>
      <x:c r="C192" s="8" t="str">
        <x:v>use onShouldStartLoadWithRequest</x:v>
      </x:c>
      <x:c r="D192" s="8" t="str">
        <x:v>screen recording</x:v>
      </x:c>
      <x:c r="E192" s="8" t="str">
        <x:v>high</x:v>
      </x:c>
      <x:c r="F192" s="8" t="str">
        <x:v>blocked</x:v>
      </x:c>
      <x:c r="G192" s="8" t="str">
        <x:v>Carla</x:v>
      </x:c>
      <x:c r="H192" s="8" t="str">
        <x:v>13.6</x:v>
      </x:c>
      <x:c r="I192" s="8" t="str">
        <x:v>2026-01-10</x:v>
      </x:c>
      <x:c r="J192" s="8"/>
      <x:c r="K192" s="8"/>
      <x:c r="L192" s="8"/>
    </x:row>
    <x:row r="193">
      <x:c r="A193" s="8" t="str">
        <x:v>iOS</x:v>
      </x:c>
      <x:c r="B193" s="8" t="str">
        <x:v>Injected JS runs twice</x:v>
      </x:c>
      <x:c r="C193" s="8" t="str">
        <x:v>provide a file:// handler</x:v>
      </x:c>
      <x:c r="D193" s="8" t="str">
        <x:v>issue-1172</x:v>
      </x:c>
      <x:c r="E193" s="8" t="str">
        <x:v>medium</x:v>
      </x:c>
      <x:c r="F193" s="8" t="str">
        <x:v>resolved</x:v>
      </x:c>
      <x:c r="G193" s="8" t="str">
        <x:v>Carla</x:v>
      </x:c>
      <x:c r="H193" s="8" t="str">
        <x:v>13.8</x:v>
      </x:c>
      <x:c r="I193" s="8" t="str">
        <x:v>2026-02-11</x:v>
      </x:c>
      <x:c r="J193" s="8" t="str">
        <x:v>Verify behavior on a cold start and after the page reloads without destroying the native view.</x:v>
      </x:c>
      <x:c r="K193" s="8"/>
      <x:c r="L193" s="8"/>
    </x:row>
    <x:row r="194">
      <x:c r="A194" s="8" t="str">
        <x:v>Android</x:v>
      </x:c>
      <x:c r="B194" s="8" t="str">
        <x:v>Mixed content not loading</x:v>
      </x:c>
      <x:c r="C194" s="8" t="str">
        <x:v>set mixedContentMode='always'</x:v>
      </x:c>
      <x:c r="D194" s="8" t="str">
        <x:v>screen recording</x:v>
      </x:c>
      <x:c r="E194" s="8" t="str">
        <x:v>security risk?</x:v>
      </x:c>
      <x:c r="F194" s="8" t="str">
        <x:v>needs reproduction</x:v>
      </x:c>
      <x:c r="G194" s="8" t="str">
        <x:v>Asha</x:v>
      </x:c>
      <x:c r="H194" s="8" t="str">
        <x:v>15.0</x:v>
      </x:c>
      <x:c r="I194" s="8" t="str">
        <x:v>2026-03-12</x:v>
      </x:c>
      <x:c r="J194" s="8" t="str">
        <x:v>Verify behavior on a cold start and after the page reloads without destroying the native view.</x:v>
      </x:c>
      <x:c r="K194" s="8"/>
      <x:c r="L194" s="8" t="str">
        <x:v>Random thought: is the JS bridge slow for big payloads?</x:v>
      </x:c>
    </x:row>
    <x:row r="195">
      <x:c r="A195" s="8" t="str">
        <x:v>iOS</x:v>
      </x:c>
      <x:c r="B195" s="8" t="str">
        <x:v>File upload stalls</x:v>
      </x:c>
      <x:c r="C195" s="8" t="str">
        <x:v>move script to onLoadEnd</x:v>
      </x:c>
      <x:c r="D195" s="8" t="str">
        <x:v>manual check</x:v>
      </x:c>
      <x:c r="E195" s="8" t="str">
        <x:v>low</x:v>
      </x:c>
      <x:c r="F195" s="8" t="str">
        <x:v>needs reproduction</x:v>
      </x:c>
      <x:c r="G195" s="8" t="str">
        <x:v>No owner</x:v>
      </x:c>
      <x:c r="H195" s="8" t="str">
        <x:v>14.2</x:v>
      </x:c>
      <x:c r="I195" s="8" t="str">
        <x:v>2026-04-13</x:v>
      </x:c>
      <x:c r="J195" s="8"/>
      <x:c r="K195" s="8"/>
      <x:c r="L195" s="8"/>
    </x:row>
    <x:row r="196">
      <x:c r="A196" s="8" t="str">
        <x:v>Android</x:v>
      </x:c>
      <x:c r="B196" s="8" t="str">
        <x:v>Keyboard covers input</x:v>
      </x:c>
      <x:c r="C196" s="8" t="str">
        <x:v>provide a file:// handler</x:v>
      </x:c>
      <x:c r="D196" s="8" t="str">
        <x:v>manual check</x:v>
      </x:c>
      <x:c r="E196" s="8" t="str">
        <x:v>security risk?</x:v>
      </x:c>
      <x:c r="F196" s="8" t="str">
        <x:v>investigating</x:v>
      </x:c>
      <x:c r="G196" s="8" t="str">
        <x:v>Asha</x:v>
      </x:c>
      <x:c r="H196" s="8" t="str">
        <x:v>15.0</x:v>
      </x:c>
      <x:c r="I196" s="8" t="str">
        <x:v>2026-05-14</x:v>
      </x:c>
      <x:c r="J196" s="8"/>
      <x:c r="K196" s="8"/>
      <x:c r="L196" s="8"/>
    </x:row>
    <x:row r="197">
      <x:c r="A197" s="8" t="str">
        <x:v>iOS</x:v>
      </x:c>
      <x:c r="B197" s="8" t="str">
        <x:v>Injected JS runs twice</x:v>
      </x:c>
      <x:c r="C197" s="8" t="str">
        <x:v>move script to onLoadEnd</x:v>
      </x:c>
      <x:c r="D197" s="8" t="str">
        <x:v>device log</x:v>
      </x:c>
      <x:c r="E197" s="8" t="str">
        <x:v>medium</x:v>
      </x:c>
      <x:c r="F197" s="8" t="str">
        <x:v>blocked</x:v>
      </x:c>
      <x:c r="G197" s="8" t="str">
        <x:v>No owner</x:v>
      </x:c>
      <x:c r="H197" s="8" t="str">
        <x:v>14.2</x:v>
      </x:c>
      <x:c r="I197" s="8" t="str">
        <x:v>2026-06-15</x:v>
      </x:c>
      <x:c r="J197" s="8"/>
      <x:c r="K197" s="8"/>
      <x:c r="L197" s="8"/>
    </x:row>
    <x:row r="198">
      <x:c r="A198" s="8" t="str">
        <x:v>Android</x:v>
      </x:c>
      <x:c r="B198" s="8" t="str">
        <x:v>Keyboard covers input</x:v>
      </x:c>
      <x:c r="C198" s="8" t="str">
        <x:v>move script to onLoadEnd</x:v>
      </x:c>
      <x:c r="D198" s="8" t="str">
        <x:v>issue-1177</x:v>
      </x:c>
      <x:c r="E198" s="8" t="str">
        <x:v>high</x:v>
      </x:c>
      <x:c r="F198" s="8" t="str">
        <x:v>open</x:v>
      </x:c>
      <x:c r="G198" s="8" t="str">
        <x:v>Carla</x:v>
      </x:c>
      <x:c r="H198" s="8" t="str">
        <x:v>14.2</x:v>
      </x:c>
      <x:c r="I198" s="8" t="str">
        <x:v>2026-07-16</x:v>
      </x:c>
      <x:c r="J198" s="8"/>
      <x:c r="K198" s="8"/>
      <x:c r="L198" s="8" t="str">
        <x:v>Random thought: is the JS bridge slow for big payloads?</x:v>
      </x:c>
    </x:row>
    <x:row r="199">
      <x:c r="A199" s="8" t="str">
        <x:v>iOS</x:v>
      </x:c>
      <x:c r="B199" s="8" t="str">
        <x:v>File upload stalls</x:v>
      </x:c>
      <x:c r="C199" s="8" t="str">
        <x:v>batch messages over the bridge</x:v>
      </x:c>
      <x:c r="D199" s="8" t="str">
        <x:v>repro-android-14</x:v>
      </x:c>
      <x:c r="E199" s="8" t="str">
        <x:v>unknown</x:v>
      </x:c>
      <x:c r="F199" s="8" t="str">
        <x:v>investigating</x:v>
      </x:c>
      <x:c r="G199" s="8" t="str">
        <x:v>Asha</x:v>
      </x:c>
      <x:c r="H199" s="8" t="str">
        <x:v>13.8</x:v>
      </x:c>
      <x:c r="I199" s="8" t="str">
        <x:v>2026-08-17</x:v>
      </x:c>
      <x:c r="J199" s="8" t="str">
        <x:v>Observed in a local test run: the content rendered, but the console warning appeared twice.</x:v>
      </x:c>
      <x:c r="K199" s="8"/>
      <x:c r="L199" s="8"/>
    </x:row>
    <x:row r="200">
      <x:c r="A200" s="8" t="str">
        <x:v>Android</x:v>
      </x:c>
      <x:c r="B200" s="8" t="str">
        <x:v>Mixed content not loading</x:v>
      </x:c>
      <x:c r="C200" s="8" t="str">
        <x:v>move script to onLoadEnd</x:v>
      </x:c>
      <x:c r="D200" s="8" t="str">
        <x:v>issue-1179</x:v>
      </x:c>
      <x:c r="E200" s="8" t="str">
        <x:v>security risk?</x:v>
      </x:c>
      <x:c r="F200" s="8" t="str">
        <x:v>needs reproduction</x:v>
      </x:c>
      <x:c r="G200" s="8" t="str">
        <x:v>Mei</x:v>
      </x:c>
      <x:c r="H200" s="8" t="str">
        <x:v>14.2</x:v>
      </x:c>
      <x:c r="I200" s="8" t="str">
        <x:v>2026-09-18</x:v>
      </x:c>
      <x:c r="J200" s="8" t="str">
        <x:v>Follow-up: compare the result when the network security policy is relaxed versus when it is enforced.</x:v>
      </x:c>
      <x:c r="K200" s="8"/>
      <x:c r="L200" s="8" t="str">
        <x:v>Random thought: is the JS bridge slow for big payloads?</x:v>
      </x:c>
    </x:row>
    <x:row r="201">
      <x:c r="A201" s="8" t="str">
        <x:v>iOS</x:v>
      </x:c>
      <x:c r="B201" s="8" t="str">
        <x:v>Large payload appears slow</x:v>
      </x:c>
      <x:c r="C201" s="8" t="str">
        <x:v>move script to onLoadEnd</x:v>
      </x:c>
      <x:c r="D201" s="8" t="str">
        <x:v>issue-1180</x:v>
      </x:c>
      <x:c r="E201" s="8" t="str">
        <x:v>unknown</x:v>
      </x:c>
      <x:c r="F201" s="8" t="str">
        <x:v>resolved</x:v>
      </x:c>
      <x:c r="G201" s="8" t="str">
        <x:v>Ben</x:v>
      </x:c>
      <x:c r="H201" s="8" t="str">
        <x:v>13.6</x:v>
      </x:c>
      <x:c r="I201" s="8" t="str">
        <x:v>2026-01-19</x:v>
      </x:c>
      <x:c r="J201" s="8"/>
      <x:c r="K201" s="8"/>
      <x:c r="L201" s="8"/>
    </x:row>
    <x:row r="202">
      <x:c r="A202" s="8" t="str">
        <x:v>Android</x:v>
      </x:c>
      <x:c r="B202" s="8" t="str">
        <x:v>Navigation delegate not called</x:v>
      </x:c>
      <x:c r="C202" s="8" t="str">
        <x:v>resize contentInset</x:v>
      </x:c>
      <x:c r="D202" s="8" t="str">
        <x:v>repro-android-14</x:v>
      </x:c>
      <x:c r="E202" s="8" t="str">
        <x:v>unknown</x:v>
      </x:c>
      <x:c r="F202" s="8" t="str">
        <x:v>needs reproduction</x:v>
      </x:c>
      <x:c r="G202" s="8" t="str">
        <x:v>Diego</x:v>
      </x:c>
      <x:c r="H202" s="8" t="str">
        <x:v>13.6</x:v>
      </x:c>
      <x:c r="I202" s="8" t="str">
        <x:v>2026-02-20</x:v>
      </x:c>
      <x:c r="J202" s="8"/>
      <x:c r="K202" s="8"/>
      <x:c r="L202" s="8"/>
    </x:row>
    <x:row r="203">
      <x:c r="A203" s="8" t="str">
        <x:v>iOS</x:v>
      </x:c>
      <x:c r="B203" s="8" t="str">
        <x:v>File upload stalls</x:v>
      </x:c>
      <x:c r="C203" s="8" t="str">
        <x:v>move script to onLoadEnd</x:v>
      </x:c>
      <x:c r="D203" s="8" t="str">
        <x:v>manual check</x:v>
      </x:c>
      <x:c r="E203" s="8" t="str">
        <x:v>high</x:v>
      </x:c>
      <x:c r="F203" s="8" t="str">
        <x:v>resolved</x:v>
      </x:c>
      <x:c r="G203" s="8" t="str">
        <x:v>Ben</x:v>
      </x:c>
      <x:c r="H203" s="8" t="str">
        <x:v>13.8</x:v>
      </x:c>
      <x:c r="I203" s="8" t="str">
        <x:v>2026-03-21</x:v>
      </x:c>
      <x:c r="J203" s="8" t="str">
        <x:v>Follow-up: compare the result when the network security policy is relaxed versus when it is enforced.</x:v>
      </x:c>
      <x:c r="K203" s="8"/>
      <x:c r="L203" s="8"/>
    </x:row>
    <x:row r="204">
      <x:c r="A204" s="8" t="str">
        <x:v>Android</x:v>
      </x:c>
      <x:c r="B204" s="8" t="str">
        <x:v>Keyboard covers input</x:v>
      </x:c>
      <x:c r="C204" s="8" t="str">
        <x:v>provide a file:// handler</x:v>
      </x:c>
      <x:c r="D204" s="8" t="str">
        <x:v>manual check</x:v>
      </x:c>
      <x:c r="E204" s="8" t="str">
        <x:v>unknown</x:v>
      </x:c>
      <x:c r="F204" s="8" t="str">
        <x:v>resolved</x:v>
      </x:c>
      <x:c r="G204" s="8" t="str">
        <x:v>Diego</x:v>
      </x:c>
      <x:c r="H204" s="8" t="str">
        <x:v>14.0</x:v>
      </x:c>
      <x:c r="I204" s="8" t="str">
        <x:v>2026-04-22</x:v>
      </x:c>
      <x:c r="J204" s="8" t="str">
        <x:v>Follow-up: compare the result when the network security policy is relaxed versus when it is enforced.</x:v>
      </x:c>
      <x:c r="K204" s="8"/>
      <x:c r="L204" s="8"/>
    </x:row>
    <x:row r="205">
      <x:c r="A205" s="8" t="str">
        <x:v>iOS</x:v>
      </x:c>
      <x:c r="B205" s="8" t="str">
        <x:v>Navigation delegate not called</x:v>
      </x:c>
      <x:c r="C205" s="8" t="str">
        <x:v>set mixedContentMode='always'</x:v>
      </x:c>
      <x:c r="D205" s="8" t="str">
        <x:v>manual check</x:v>
      </x:c>
      <x:c r="E205" s="8" t="str">
        <x:v>high</x:v>
      </x:c>
      <x:c r="F205" s="8" t="str">
        <x:v>blocked</x:v>
      </x:c>
      <x:c r="G205" s="8" t="str">
        <x:v>Asha</x:v>
      </x:c>
      <x:c r="H205" s="8" t="str">
        <x:v>13.6</x:v>
      </x:c>
      <x:c r="I205" s="8" t="str">
        <x:v>2026-05-23</x:v>
      </x:c>
      <x:c r="J205" s="8" t="str">
        <x:v>Follow-up: compare the result when the network security policy is relaxed versus when it is enforced.</x:v>
      </x:c>
      <x:c r="K205" s="8" t="str">
        <x:v>https://developer.android.com/reference/android/webkit/WebView</x:v>
      </x:c>
      <x:c r="L205" s="8"/>
    </x:row>
    <x:row r="206">
      <x:c r="A206" s="8" t="str">
        <x:v>Platform</x:v>
      </x:c>
      <x:c r="B206" s="8" t="str">
        <x:v>Issue</x:v>
      </x:c>
      <x:c r="C206" s="8" t="str">
        <x:v>Fix</x:v>
      </x:c>
      <x:c r="D206" s="8" t="str">
        <x:v>Evidence</x:v>
      </x:c>
      <x:c r="E206" s="8" t="str">
        <x:v>Risk</x:v>
      </x:c>
      <x:c r="F206" s="8" t="str">
        <x:v>Status</x:v>
      </x:c>
      <x:c r="G206" s="8" t="str">
        <x:v>Owner</x:v>
      </x:c>
      <x:c r="H206" s="8"/>
      <x:c r="I206" s="8"/>
      <x:c r="J206" s="8" t="str">
        <x:v>Repeated header from exported table</x:v>
      </x:c>
      <x:c r="K206" s="8"/>
      <x:c r="L206" s="8"/>
    </x:row>
    <x:row r="207">
      <x:c r="A207" s="8" t="str">
        <x:v>Android</x:v>
      </x:c>
      <x:c r="B207" s="8" t="str">
        <x:v>Large payload appears slow</x:v>
      </x:c>
      <x:c r="C207" s="8" t="str">
        <x:v>use onShouldStartLoadWithRequest</x:v>
      </x:c>
      <x:c r="D207" s="8" t="str">
        <x:v>issue-1185</x:v>
      </x:c>
      <x:c r="E207" s="8" t="str">
        <x:v>medium</x:v>
      </x:c>
      <x:c r="F207" s="8" t="str">
        <x:v>resolved</x:v>
      </x:c>
      <x:c r="G207" s="8" t="str">
        <x:v>Asha</x:v>
      </x:c>
      <x:c r="H207" s="8" t="str">
        <x:v>14.0</x:v>
      </x:c>
      <x:c r="I207" s="8" t="str">
        <x:v>2026-06-24</x:v>
      </x:c>
      <x:c r="J207" s="8" t="str">
        <x:v>Observed in a local test run: the content rendered, but the console warning appeared twice.</x:v>
      </x:c>
      <x:c r="K207" s="8"/>
      <x:c r="L207" s="8" t="str">
        <x:v>Random thought: is the JS bridge slow for big payloads?</x:v>
      </x:c>
    </x:row>
    <x:row r="208">
      <x:c r="A208" s="8" t="str">
        <x:v>iOS</x:v>
      </x:c>
      <x:c r="B208" s="8" t="str">
        <x:v>Keyboard covers input</x:v>
      </x:c>
      <x:c r="C208" s="8" t="str">
        <x:v>batch messages over the bridge</x:v>
      </x:c>
      <x:c r="D208" s="8" t="str">
        <x:v>manual check</x:v>
      </x:c>
      <x:c r="E208" s="8" t="str">
        <x:v>medium</x:v>
      </x:c>
      <x:c r="F208" s="8" t="str">
        <x:v>open</x:v>
      </x:c>
      <x:c r="G208" s="8" t="str">
        <x:v>Asha</x:v>
      </x:c>
      <x:c r="H208" s="8" t="str">
        <x:v>14.0</x:v>
      </x:c>
      <x:c r="I208" s="8" t="str">
        <x:v>2026-07-25</x:v>
      </x:c>
      <x:c r="J208" s="8"/>
      <x:c r="K208" s="8"/>
      <x:c r="L208" s="8"/>
    </x:row>
    <x:row r="209">
      <x:c r="A209" s="8" t="str">
        <x:v>Android</x:v>
      </x:c>
      <x:c r="B209" s="8" t="str">
        <x:v>File upload stalls</x:v>
      </x:c>
      <x:c r="C209" s="8" t="str">
        <x:v>move script to onLoadEnd</x:v>
      </x:c>
      <x:c r="D209" s="8" t="str">
        <x:v>manual check</x:v>
      </x:c>
      <x:c r="E209" s="8" t="str">
        <x:v>medium</x:v>
      </x:c>
      <x:c r="F209" s="8" t="str">
        <x:v>resolved</x:v>
      </x:c>
      <x:c r="G209" s="8" t="str">
        <x:v>Diego</x:v>
      </x:c>
      <x:c r="H209" s="8" t="str">
        <x:v>13.8</x:v>
      </x:c>
      <x:c r="I209" s="8" t="str">
        <x:v>2026-08-26</x:v>
      </x:c>
      <x:c r="J209" s="8"/>
      <x:c r="K209" s="8" t="str">
        <x:v>https://github.com/react-native-webview/react-native-webview</x:v>
      </x:c>
      <x:c r="L209" s="8" t="str">
        <x:v>Random thought: is the JS bridge slow for big payloads?</x:v>
      </x:c>
    </x:row>
    <x:row r="210">
      <x:c r="A210" s="8" t="str">
        <x:v>iOS</x:v>
      </x:c>
      <x:c r="B210" s="8" t="str">
        <x:v>Injected JS runs twice</x:v>
      </x:c>
      <x:c r="C210" s="8" t="str">
        <x:v>batch messages over the bridge</x:v>
      </x:c>
      <x:c r="D210" s="8" t="str">
        <x:v>issue-1188</x:v>
      </x:c>
      <x:c r="E210" s="8" t="str">
        <x:v>security risk?</x:v>
      </x:c>
      <x:c r="F210" s="8" t="str">
        <x:v>open</x:v>
      </x:c>
      <x:c r="G210" s="8" t="str">
        <x:v>Carla</x:v>
      </x:c>
      <x:c r="H210" s="8" t="str">
        <x:v>13.8</x:v>
      </x:c>
      <x:c r="I210" s="8" t="str">
        <x:v>2026-09-27</x:v>
      </x:c>
      <x:c r="J210" s="8" t="str">
        <x:v>Follow-up: compare the result when the network security policy is relaxed versus when it is enforced.</x:v>
      </x:c>
      <x:c r="K210" s="8"/>
      <x:c r="L210" s="8"/>
    </x:row>
    <x:row r="211">
      <x:c r="A211" s="8" t="str">
        <x:v>Android</x:v>
      </x:c>
      <x:c r="B211" s="8" t="str">
        <x:v>File upload stalls</x:v>
      </x:c>
      <x:c r="C211" s="8" t="str">
        <x:v>provide a file:// handler</x:v>
      </x:c>
      <x:c r="D211" s="8" t="str">
        <x:v>issue-1189</x:v>
      </x:c>
      <x:c r="E211" s="8" t="str">
        <x:v>high</x:v>
      </x:c>
      <x:c r="F211" s="8" t="str">
        <x:v>resolved</x:v>
      </x:c>
      <x:c r="G211" s="8" t="str">
        <x:v>Ben</x:v>
      </x:c>
      <x:c r="H211" s="8" t="str">
        <x:v>13.8</x:v>
      </x:c>
      <x:c r="I211" s="8" t="str">
        <x:v>2026-01-01</x:v>
      </x:c>
      <x:c r="J211" s="8" t="str">
        <x:v>A blank cell here is intentional. The source workbook has notes placed away from the nearest table.</x:v>
      </x:c>
      <x:c r="K211" s="8"/>
      <x:c r="L211" s="8" t="str">
        <x:v>Random thought: is the JS bridge slow for big payloads?</x:v>
      </x:c>
    </x:row>
    <x:row r="212">
      <x:c r="A212" s="8"/>
      <x:c r="B212" s="8"/>
      <x:c r="C212" s="8"/>
      <x:c r="D212" s="8"/>
      <x:c r="E212" s="8"/>
      <x:c r="F212" s="8"/>
      <x:c r="G212" s="8"/>
      <x:c r="H212" s="8"/>
      <x:c r="I212" s="8"/>
      <x:c r="J212" s="8"/>
      <x:c r="K212" s="8"/>
      <x:c r="L212" s="8"/>
    </x:row>
    <x:row r="213">
      <x:c r="A213" s="8" t="str">
        <x:v>iOS</x:v>
      </x:c>
      <x:c r="B213" s="8" t="str">
        <x:v>Mixed content not loading</x:v>
      </x:c>
      <x:c r="C213" s="8" t="str">
        <x:v>resize contentInset</x:v>
      </x:c>
      <x:c r="D213" s="8" t="str">
        <x:v>device log</x:v>
      </x:c>
      <x:c r="E213" s="8" t="str">
        <x:v>high</x:v>
      </x:c>
      <x:c r="F213" s="8" t="str">
        <x:v>needs reproduction</x:v>
      </x:c>
      <x:c r="G213" s="8" t="str">
        <x:v>Ben</x:v>
      </x:c>
      <x:c r="H213" s="8" t="str">
        <x:v>14.2</x:v>
      </x:c>
      <x:c r="I213" s="8" t="str">
        <x:v>2026-02-02</x:v>
      </x:c>
      <x:c r="J213" s="8"/>
      <x:c r="K213" s="8"/>
      <x:c r="L213" s="8"/>
    </x:row>
    <x:row r="214">
      <x:c r="A214" s="8" t="str">
        <x:v>Android</x:v>
      </x:c>
      <x:c r="B214" s="8" t="str">
        <x:v>Mixed content not loading</x:v>
      </x:c>
      <x:c r="C214" s="8" t="str">
        <x:v>resize contentInset</x:v>
      </x:c>
      <x:c r="D214" s="8" t="str">
        <x:v>manual check</x:v>
      </x:c>
      <x:c r="E214" s="8" t="str">
        <x:v>unknown</x:v>
      </x:c>
      <x:c r="F214" s="8" t="str">
        <x:v>resolved</x:v>
      </x:c>
      <x:c r="G214" s="8" t="str">
        <x:v>Ben</x:v>
      </x:c>
      <x:c r="H214" s="8" t="str">
        <x:v>13.8</x:v>
      </x:c>
      <x:c r="I214" s="8" t="str">
        <x:v>2026-03-03</x:v>
      </x:c>
      <x:c r="J214" s="8"/>
      <x:c r="K214" s="8"/>
      <x:c r="L214" s="8"/>
    </x:row>
    <x:row r="215">
      <x:c r="A215" s="8" t="str">
        <x:v>iOS</x:v>
      </x:c>
      <x:c r="B215" s="8" t="str">
        <x:v>Mixed content not loading</x:v>
      </x:c>
      <x:c r="C215" s="8" t="str">
        <x:v>use onShouldStartLoadWithRequest</x:v>
      </x:c>
      <x:c r="D215" s="8" t="str">
        <x:v>repro-android-14</x:v>
      </x:c>
      <x:c r="E215" s="8" t="str">
        <x:v>security risk?</x:v>
      </x:c>
      <x:c r="F215" s="8" t="str">
        <x:v>needs reproduction</x:v>
      </x:c>
      <x:c r="G215" s="8" t="str">
        <x:v>Asha</x:v>
      </x:c>
      <x:c r="H215" s="8" t="str">
        <x:v>14.0</x:v>
      </x:c>
      <x:c r="I215" s="8" t="str">
        <x:v>2026-04-04</x:v>
      </x:c>
      <x:c r="J215" s="8"/>
      <x:c r="K215" s="8"/>
      <x:c r="L215" s="8" t="str">
        <x:v>Random thought: is the JS bridge slow for big payloads?</x:v>
      </x:c>
    </x:row>
    <x:row r="216">
      <x:c r="A216" s="8" t="str">
        <x:v>Android</x:v>
      </x:c>
      <x:c r="B216" s="8" t="str">
        <x:v>Large payload appears slow</x:v>
      </x:c>
      <x:c r="C216" s="8" t="str">
        <x:v>move script to onLoadEnd</x:v>
      </x:c>
      <x:c r="D216" s="8" t="str">
        <x:v>issue-1193</x:v>
      </x:c>
      <x:c r="E216" s="8" t="str">
        <x:v>low</x:v>
      </x:c>
      <x:c r="F216" s="8" t="str">
        <x:v>investigating</x:v>
      </x:c>
      <x:c r="G216" s="8" t="str">
        <x:v>Ben</x:v>
      </x:c>
      <x:c r="H216" s="8" t="str">
        <x:v>13.8</x:v>
      </x:c>
      <x:c r="I216" s="8" t="str">
        <x:v>2026-05-05</x:v>
      </x:c>
      <x:c r="J216" s="8"/>
      <x:c r="K216" s="8"/>
      <x:c r="L216" s="8"/>
    </x:row>
    <x:row r="217">
      <x:c r="A217" s="8" t="str">
        <x:v>iOS</x:v>
      </x:c>
      <x:c r="B217" s="8" t="str">
        <x:v>Navigation delegate not called</x:v>
      </x:c>
      <x:c r="C217" s="8" t="str">
        <x:v>move script to onLoadEnd</x:v>
      </x:c>
      <x:c r="D217" s="8" t="str">
        <x:v>issue-1194</x:v>
      </x:c>
      <x:c r="E217" s="8" t="str">
        <x:v>unknown</x:v>
      </x:c>
      <x:c r="F217" s="8" t="str">
        <x:v>open</x:v>
      </x:c>
      <x:c r="G217" s="8" t="str">
        <x:v>Ben</x:v>
      </x:c>
      <x:c r="H217" s="8" t="str">
        <x:v>13.6</x:v>
      </x:c>
      <x:c r="I217" s="8" t="str">
        <x:v>2026-06-06</x:v>
      </x:c>
      <x:c r="J217" s="8"/>
      <x:c r="K217" s="8"/>
      <x:c r="L217" s="8" t="str">
        <x:v>Random thought: is the JS bridge slow for big payloads?</x:v>
      </x:c>
    </x:row>
    <x:row r="218">
      <x:c r="A218" s="8" t="str">
        <x:v>Android</x:v>
      </x:c>
      <x:c r="B218" s="8" t="str">
        <x:v>File upload stalls</x:v>
      </x:c>
      <x:c r="C218" s="8" t="str">
        <x:v>batch messages over the bridge</x:v>
      </x:c>
      <x:c r="D218" s="8" t="str">
        <x:v>device log</x:v>
      </x:c>
      <x:c r="E218" s="8" t="str">
        <x:v>unknown</x:v>
      </x:c>
      <x:c r="F218" s="8" t="str">
        <x:v>open</x:v>
      </x:c>
      <x:c r="G218" s="8" t="str">
        <x:v>Ben</x:v>
      </x:c>
      <x:c r="H218" s="8" t="str">
        <x:v>14.0</x:v>
      </x:c>
      <x:c r="I218" s="8" t="str">
        <x:v>2026-07-07</x:v>
      </x:c>
      <x:c r="J218" s="8"/>
      <x:c r="K218" s="8" t="str">
        <x:v>https://developer.microsoft.com/en-us/microsoft-edge/webview2/</x:v>
      </x:c>
      <x:c r="L218" s="8" t="str">
        <x:v>Random thought: is the JS bridge slow for big payloads?</x:v>
      </x:c>
    </x:row>
    <x:row r="219">
      <x:c r="A219" s="8" t="str">
        <x:v>iOS</x:v>
      </x:c>
      <x:c r="B219" s="8" t="str">
        <x:v>File upload stalls</x:v>
      </x:c>
      <x:c r="C219" s="8" t="str">
        <x:v>use onShouldStartLoadWithRequest</x:v>
      </x:c>
      <x:c r="D219" s="8" t="str">
        <x:v>issue-1196</x:v>
      </x:c>
      <x:c r="E219" s="8" t="str">
        <x:v>unknown</x:v>
      </x:c>
      <x:c r="F219" s="8" t="str">
        <x:v>resolved</x:v>
      </x:c>
      <x:c r="G219" s="8" t="str">
        <x:v>Carla</x:v>
      </x:c>
      <x:c r="H219" s="8" t="str">
        <x:v>14.0</x:v>
      </x:c>
      <x:c r="I219" s="8" t="str">
        <x:v>2026-08-08</x:v>
      </x:c>
      <x:c r="J219" s="8"/>
      <x:c r="K219" s="8"/>
      <x:c r="L219" s="8" t="str">
        <x:v>Random thought: is the JS bridge slow for big payloads?</x:v>
      </x:c>
    </x:row>
    <x:row r="220">
      <x:c r="A220" s="8" t="str">
        <x:v>Android</x:v>
      </x:c>
      <x:c r="B220" s="8" t="str">
        <x:v>Injected JS runs twice</x:v>
      </x:c>
      <x:c r="C220" s="8" t="str">
        <x:v>provide a file:// handler</x:v>
      </x:c>
      <x:c r="D220" s="8" t="str">
        <x:v>device log</x:v>
      </x:c>
      <x:c r="E220" s="8" t="str">
        <x:v>security risk?</x:v>
      </x:c>
      <x:c r="F220" s="8" t="str">
        <x:v>investigating</x:v>
      </x:c>
      <x:c r="G220" s="8" t="str">
        <x:v>No owner</x:v>
      </x:c>
      <x:c r="H220" s="8" t="str">
        <x:v>14.2</x:v>
      </x:c>
      <x:c r="I220" s="8" t="str">
        <x:v>2026-09-09</x:v>
      </x:c>
      <x:c r="J220" s="8"/>
      <x:c r="K220" s="8"/>
      <x:c r="L220" s="8"/>
    </x:row>
    <x:row r="221">
      <x:c r="A221" s="8" t="str">
        <x:v>iOS</x:v>
      </x:c>
      <x:c r="B221" s="8" t="str">
        <x:v>Mixed content not loading</x:v>
      </x:c>
      <x:c r="C221" s="8" t="str">
        <x:v>provide a file:// handler</x:v>
      </x:c>
      <x:c r="D221" s="8" t="str">
        <x:v>screen recording</x:v>
      </x:c>
      <x:c r="E221" s="8" t="str">
        <x:v>unknown</x:v>
      </x:c>
      <x:c r="F221" s="8" t="str">
        <x:v>investigating</x:v>
      </x:c>
      <x:c r="G221" s="8" t="str">
        <x:v>Diego</x:v>
      </x:c>
      <x:c r="H221" s="8" t="str">
        <x:v>15.0</x:v>
      </x:c>
      <x:c r="I221" s="8" t="str">
        <x:v>2026-01-10</x:v>
      </x:c>
      <x:c r="J221" s="8" t="str">
        <x:v>The bridge callback is stable for small payloads, but large JSON messages show visible delay during navigation.</x:v>
      </x:c>
      <x:c r="K221" s="8" t="str">
        <x:v>https://developer.microsoft.com/en-us/microsoft-edge/webview2/</x:v>
      </x:c>
      <x:c r="L221" s="8"/>
    </x:row>
    <x:row r="222">
      <x:c r="A222" s="8" t="str">
        <x:v>Android</x:v>
      </x:c>
      <x:c r="B222" s="8" t="str">
        <x:v>Large payload appears slow</x:v>
      </x:c>
      <x:c r="C222" s="8" t="str">
        <x:v>provide a file:// handler</x:v>
      </x:c>
      <x:c r="D222" s="8" t="str">
        <x:v>manual check</x:v>
      </x:c>
      <x:c r="E222" s="8" t="str">
        <x:v>security risk?</x:v>
      </x:c>
      <x:c r="F222" s="8" t="str">
        <x:v>open</x:v>
      </x:c>
      <x:c r="G222" s="8" t="str">
        <x:v>Diego</x:v>
      </x:c>
      <x:c r="H222" s="8" t="str">
        <x:v>13.8</x:v>
      </x:c>
      <x:c r="I222" s="8" t="str">
        <x:v>2026-02-11</x:v>
      </x:c>
      <x:c r="J222" s="8"/>
      <x:c r="K222" s="8" t="str">
        <x:v>https://developer.android.com/reference/android/webkit/WebView</x:v>
      </x:c>
      <x:c r="L222" s="8"/>
    </x:row>
    <x:row r="223">
      <x:c r="A223" s="8" t="str">
        <x:v>iOS</x:v>
      </x:c>
      <x:c r="B223" s="8" t="str">
        <x:v>Large payload appears slow</x:v>
      </x:c>
      <x:c r="C223" s="8" t="str">
        <x:v>provide a file:// handler</x:v>
      </x:c>
      <x:c r="D223" s="8" t="str">
        <x:v>repro-android-14</x:v>
      </x:c>
      <x:c r="E223" s="8" t="str">
        <x:v>low</x:v>
      </x:c>
      <x:c r="F223" s="8" t="str">
        <x:v>resolved</x:v>
      </x:c>
      <x:c r="G223" s="8" t="str">
        <x:v>No owner</x:v>
      </x:c>
      <x:c r="H223" s="8" t="str">
        <x:v>13.6</x:v>
      </x:c>
      <x:c r="I223" s="8" t="str">
        <x:v>2026-03-12</x:v>
      </x:c>
      <x:c r="J223" s="8" t="str">
        <x:v>The bridge callback is stable for small payloads, but large JSON messages show visible delay during navigation.</x:v>
      </x:c>
      <x:c r="K223" s="8"/>
      <x:c r="L223" s="8"/>
    </x:row>
    <x:row r="224">
      <x:c r="A224" s="8" t="str">
        <x:v>Android</x:v>
      </x:c>
      <x:c r="B224" s="8" t="str">
        <x:v>Mixed content not loading</x:v>
      </x:c>
      <x:c r="C224" s="8" t="str">
        <x:v>set mixedContentMode='always'</x:v>
      </x:c>
      <x:c r="D224" s="8" t="str">
        <x:v>issue-1201</x:v>
      </x:c>
      <x:c r="E224" s="8" t="str">
        <x:v>unknown</x:v>
      </x:c>
      <x:c r="F224" s="8" t="str">
        <x:v>blocked</x:v>
      </x:c>
      <x:c r="G224" s="8" t="str">
        <x:v>Asha</x:v>
      </x:c>
      <x:c r="H224" s="8" t="str">
        <x:v>13.8</x:v>
      </x:c>
      <x:c r="I224" s="8" t="str">
        <x:v>2026-04-13</x:v>
      </x:c>
      <x:c r="J224" s="8" t="str">
        <x:v>The owner field was not captured in the original notes, so classification should remain conservative.</x:v>
      </x:c>
      <x:c r="K224" s="8"/>
      <x:c r="L224" s="8"/>
    </x:row>
    <x:row r="225">
      <x:c r="A225" s="8" t="str">
        <x:v>iOS</x:v>
      </x:c>
      <x:c r="B225" s="8" t="str">
        <x:v>Large payload appears slow</x:v>
      </x:c>
      <x:c r="C225" s="8" t="str">
        <x:v>move script to onLoadEnd</x:v>
      </x:c>
      <x:c r="D225" s="8" t="str">
        <x:v>manual check</x:v>
      </x:c>
      <x:c r="E225" s="8" t="str">
        <x:v>low</x:v>
      </x:c>
      <x:c r="F225" s="8" t="str">
        <x:v>needs reproduction</x:v>
      </x:c>
      <x:c r="G225" s="8" t="str">
        <x:v>Ben</x:v>
      </x:c>
      <x:c r="H225" s="8" t="str">
        <x:v>15.0</x:v>
      </x:c>
      <x:c r="I225" s="8" t="str">
        <x:v>2026-05-14</x:v>
      </x:c>
      <x:c r="J225" s="8"/>
      <x:c r="K225" s="8"/>
      <x:c r="L225" s="8"/>
    </x:row>
    <x:row r="226">
      <x:c r="A226" s="8" t="str">
        <x:v>Android</x:v>
      </x:c>
      <x:c r="B226" s="8" t="str">
        <x:v>Injected JS runs twice</x:v>
      </x:c>
      <x:c r="C226" s="8" t="str">
        <x:v>set mixedContentMode='always'</x:v>
      </x:c>
      <x:c r="D226" s="8" t="str">
        <x:v>device log</x:v>
      </x:c>
      <x:c r="E226" s="8" t="str">
        <x:v>medium</x:v>
      </x:c>
      <x:c r="F226" s="8" t="str">
        <x:v>open</x:v>
      </x:c>
      <x:c r="G226" s="8" t="str">
        <x:v>Diego</x:v>
      </x:c>
      <x:c r="H226" s="8" t="str">
        <x:v>14.2</x:v>
      </x:c>
      <x:c r="I226" s="8" t="str">
        <x:v>2026-06-15</x:v>
      </x:c>
      <x:c r="J226" s="8"/>
      <x:c r="K226" s="8"/>
      <x:c r="L226" s="8"/>
    </x:row>
    <x:row r="227">
      <x:c r="A227" s="8" t="str">
        <x:v>iOS</x:v>
      </x:c>
      <x:c r="B227" s="8" t="str">
        <x:v>Keyboard covers input</x:v>
      </x:c>
      <x:c r="C227" s="8" t="str">
        <x:v>set mixedContentMode='always'</x:v>
      </x:c>
      <x:c r="D227" s="8" t="str">
        <x:v>device log</x:v>
      </x:c>
      <x:c r="E227" s="8" t="str">
        <x:v>medium</x:v>
      </x:c>
      <x:c r="F227" s="8" t="str">
        <x:v>needs reproduction</x:v>
      </x:c>
      <x:c r="G227" s="8" t="str">
        <x:v>Asha</x:v>
      </x:c>
      <x:c r="H227" s="8" t="str">
        <x:v>14.2</x:v>
      </x:c>
      <x:c r="I227" s="8" t="str">
        <x:v>2026-07-16</x:v>
      </x:c>
      <x:c r="J227" s="8"/>
      <x:c r="K227" s="8"/>
      <x:c r="L227" s="8"/>
    </x:row>
    <x:row r="228">
      <x:c r="A228" s="8" t="str">
        <x:v>Android</x:v>
      </x:c>
      <x:c r="B228" s="8" t="str">
        <x:v>File upload stalls</x:v>
      </x:c>
      <x:c r="C228" s="8" t="str">
        <x:v>set mixedContentMode='always'</x:v>
      </x:c>
      <x:c r="D228" s="8" t="str">
        <x:v>screen recording</x:v>
      </x:c>
      <x:c r="E228" s="8" t="str">
        <x:v>security risk?</x:v>
      </x:c>
      <x:c r="F228" s="8" t="str">
        <x:v>resolved</x:v>
      </x:c>
      <x:c r="G228" s="8" t="str">
        <x:v>Ben</x:v>
      </x:c>
      <x:c r="H228" s="8" t="str">
        <x:v>15.0</x:v>
      </x:c>
      <x:c r="I228" s="8" t="str">
        <x:v>2026-08-17</x:v>
      </x:c>
      <x:c r="J228" s="8"/>
      <x:c r="K228" s="8"/>
      <x:c r="L228" s="8"/>
    </x:row>
    <x:row r="229">
      <x:c r="A229" s="8" t="str">
        <x:v>iOS</x:v>
      </x:c>
      <x:c r="B229" s="8" t="str">
        <x:v>Injected JS runs twice</x:v>
      </x:c>
      <x:c r="C229" s="8" t="str">
        <x:v>move script to onLoadEnd</x:v>
      </x:c>
      <x:c r="D229" s="8" t="str">
        <x:v>screen recording</x:v>
      </x:c>
      <x:c r="E229" s="8" t="str">
        <x:v>unknown</x:v>
      </x:c>
      <x:c r="F229" s="8" t="str">
        <x:v>resolved</x:v>
      </x:c>
      <x:c r="G229" s="8" t="str">
        <x:v>Mei</x:v>
      </x:c>
      <x:c r="H229" s="8" t="str">
        <x:v>14.0</x:v>
      </x:c>
      <x:c r="I229" s="8" t="str">
        <x:v>2026-09-18</x:v>
      </x:c>
      <x:c r="J229" s="8"/>
      <x:c r="K229" s="8"/>
      <x:c r="L229" s="8"/>
    </x:row>
    <x:row r="230">
      <x:c r="A230" s="8" t="str">
        <x:v>Android</x:v>
      </x:c>
      <x:c r="B230" s="8" t="str">
        <x:v>Keyboard covers input</x:v>
      </x:c>
      <x:c r="C230" s="8" t="str">
        <x:v>move script to onLoadEnd</x:v>
      </x:c>
      <x:c r="D230" s="8" t="str">
        <x:v>device log</x:v>
      </x:c>
      <x:c r="E230" s="8" t="str">
        <x:v>high</x:v>
      </x:c>
      <x:c r="F230" s="8" t="str">
        <x:v>blocked</x:v>
      </x:c>
      <x:c r="G230" s="8" t="str">
        <x:v>Asha</x:v>
      </x:c>
      <x:c r="H230" s="8" t="str">
        <x:v>14.2</x:v>
      </x:c>
      <x:c r="I230" s="8" t="str">
        <x:v>2026-01-19</x:v>
      </x:c>
      <x:c r="J230" s="8"/>
      <x:c r="K230" s="8"/>
      <x:c r="L230" s="8" t="str">
        <x:v>Random thought: is the JS bridge slow for big payloads?</x:v>
      </x:c>
    </x:row>
    <x:row r="231">
      <x:c r="A231" s="8" t="str">
        <x:v>iOS</x:v>
      </x:c>
      <x:c r="B231" s="8" t="str">
        <x:v>Mixed content not loading</x:v>
      </x:c>
      <x:c r="C231" s="8" t="str">
        <x:v>move script to onLoadEnd</x:v>
      </x:c>
      <x:c r="D231" s="8" t="str">
        <x:v>issue-1208</x:v>
      </x:c>
      <x:c r="E231" s="8" t="str">
        <x:v>medium</x:v>
      </x:c>
      <x:c r="F231" s="8" t="str">
        <x:v>needs reproduction</x:v>
      </x:c>
      <x:c r="G231" s="8" t="str">
        <x:v>No owner</x:v>
      </x:c>
      <x:c r="H231" s="8" t="str">
        <x:v>14.0</x:v>
      </x:c>
      <x:c r="I231" s="8" t="str">
        <x:v>2026-02-20</x:v>
      </x:c>
      <x:c r="J231" s="8"/>
      <x:c r="K231" s="8"/>
      <x:c r="L231" s="8"/>
    </x:row>
    <x:row r="232">
      <x:c r="A232" s="8"/>
      <x:c r="B232" s="8"/>
      <x:c r="C232" s="8"/>
      <x:c r="D232" s="8"/>
      <x:c r="E232" s="8"/>
      <x:c r="F232" s="8"/>
      <x:c r="G232" s="8"/>
      <x:c r="H232" s="8"/>
      <x:c r="I232" s="8"/>
      <x:c r="J232" s="8"/>
      <x:c r="K232" s="8"/>
      <x:c r="L232" s="8"/>
    </x:row>
    <x:row r="233">
      <x:c r="A233" s="8" t="str">
        <x:v>Android</x:v>
      </x:c>
      <x:c r="B233" s="8" t="str">
        <x:v>Large payload appears slow</x:v>
      </x:c>
      <x:c r="C233" s="8" t="str">
        <x:v>batch messages over the bridge</x:v>
      </x:c>
      <x:c r="D233" s="8" t="str">
        <x:v>repro-android-14</x:v>
      </x:c>
      <x:c r="E233" s="8" t="str">
        <x:v>medium</x:v>
      </x:c>
      <x:c r="F233" s="8" t="str">
        <x:v>investigating</x:v>
      </x:c>
      <x:c r="G233" s="8" t="str">
        <x:v>Ben</x:v>
      </x:c>
      <x:c r="H233" s="8" t="str">
        <x:v>14.2</x:v>
      </x:c>
      <x:c r="I233" s="8" t="str">
        <x:v>2026-03-21</x:v>
      </x:c>
      <x:c r="J233" s="8"/>
      <x:c r="K233" s="8"/>
      <x:c r="L233" s="8"/>
    </x:row>
    <x:row r="234">
      <x:c r="A234" s="8" t="str">
        <x:v>iOS</x:v>
      </x:c>
      <x:c r="B234" s="8" t="str">
        <x:v>Navigation delegate not called</x:v>
      </x:c>
      <x:c r="C234" s="8" t="str">
        <x:v>resize contentInset</x:v>
      </x:c>
      <x:c r="D234" s="8" t="str">
        <x:v>repro-android-14</x:v>
      </x:c>
      <x:c r="E234" s="8" t="str">
        <x:v>medium</x:v>
      </x:c>
      <x:c r="F234" s="8" t="str">
        <x:v>investigating</x:v>
      </x:c>
      <x:c r="G234" s="8" t="str">
        <x:v>Mei</x:v>
      </x:c>
      <x:c r="H234" s="8" t="str">
        <x:v>13.8</x:v>
      </x:c>
      <x:c r="I234" s="8" t="str">
        <x:v>2026-04-22</x:v>
      </x:c>
      <x:c r="J234" s="8"/>
      <x:c r="K234" s="8"/>
      <x:c r="L234" s="8" t="str">
        <x:v>Random thought: is the JS bridge slow for big payloads?</x:v>
      </x:c>
    </x:row>
    <x:row r="235">
      <x:c r="A235" s="8" t="str">
        <x:v>Android</x:v>
      </x:c>
      <x:c r="B235" s="8" t="str">
        <x:v>Navigation delegate not called</x:v>
      </x:c>
      <x:c r="C235" s="8" t="str">
        <x:v>provide a file:// handler</x:v>
      </x:c>
      <x:c r="D235" s="8" t="str">
        <x:v>device log</x:v>
      </x:c>
      <x:c r="E235" s="8" t="str">
        <x:v>security risk?</x:v>
      </x:c>
      <x:c r="F235" s="8" t="str">
        <x:v>needs reproduction</x:v>
      </x:c>
      <x:c r="G235" s="8" t="str">
        <x:v>Diego</x:v>
      </x:c>
      <x:c r="H235" s="8" t="str">
        <x:v>14.2</x:v>
      </x:c>
      <x:c r="I235" s="8" t="str">
        <x:v>2026-05-23</x:v>
      </x:c>
      <x:c r="J235" s="8" t="str">
        <x:v>Verify behavior on a cold start and after the page reloads without destroying the native view.</x:v>
      </x:c>
      <x:c r="K235" s="8"/>
      <x:c r="L235" s="8"/>
    </x:row>
    <x:row r="236">
      <x:c r="A236" s="8" t="str">
        <x:v>iOS</x:v>
      </x:c>
      <x:c r="B236" s="8" t="str">
        <x:v>Mixed content not loading</x:v>
      </x:c>
      <x:c r="C236" s="8" t="str">
        <x:v>resize contentInset</x:v>
      </x:c>
      <x:c r="D236" s="8" t="str">
        <x:v>device log</x:v>
      </x:c>
      <x:c r="E236" s="8" t="str">
        <x:v>high</x:v>
      </x:c>
      <x:c r="F236" s="8" t="str">
        <x:v>blocked</x:v>
      </x:c>
      <x:c r="G236" s="8" t="str">
        <x:v>Ben</x:v>
      </x:c>
      <x:c r="H236" s="8" t="str">
        <x:v>15.0</x:v>
      </x:c>
      <x:c r="I236" s="8" t="str">
        <x:v>2026-06-24</x:v>
      </x:c>
      <x:c r="J236" s="8"/>
      <x:c r="K236" s="8" t="str">
        <x:v>https://developer.android.com/reference/android/webkit/WebView</x:v>
      </x:c>
      <x:c r="L236" s="8"/>
    </x:row>
    <x:row r="237">
      <x:c r="A237" s="8" t="str">
        <x:v>Android</x:v>
      </x:c>
      <x:c r="B237" s="8" t="str">
        <x:v>Navigation delegate not called</x:v>
      </x:c>
      <x:c r="C237" s="8" t="str">
        <x:v>resize contentInset</x:v>
      </x:c>
      <x:c r="D237" s="8" t="str">
        <x:v>manual check</x:v>
      </x:c>
      <x:c r="E237" s="8" t="str">
        <x:v>low</x:v>
      </x:c>
      <x:c r="F237" s="8" t="str">
        <x:v>investigating</x:v>
      </x:c>
      <x:c r="G237" s="8" t="str">
        <x:v>Mei</x:v>
      </x:c>
      <x:c r="H237" s="8" t="str">
        <x:v>14.0</x:v>
      </x:c>
      <x:c r="I237" s="8" t="str">
        <x:v>2026-07-25</x:v>
      </x:c>
      <x:c r="J237" s="8"/>
      <x:c r="K237" s="8"/>
      <x:c r="L237" s="8"/>
    </x:row>
    <x:row r="238">
      <x:c r="A238" s="8" t="str">
        <x:v>iOS</x:v>
      </x:c>
      <x:c r="B238" s="8" t="str">
        <x:v>Mixed content not loading</x:v>
      </x:c>
      <x:c r="C238" s="8" t="str">
        <x:v>provide a file:// handler</x:v>
      </x:c>
      <x:c r="D238" s="8" t="str">
        <x:v>issue-1214</x:v>
      </x:c>
      <x:c r="E238" s="8" t="str">
        <x:v>unknown</x:v>
      </x:c>
      <x:c r="F238" s="8" t="str">
        <x:v>needs reproduction</x:v>
      </x:c>
      <x:c r="G238" s="8" t="str">
        <x:v>Carla</x:v>
      </x:c>
      <x:c r="H238" s="8" t="str">
        <x:v>13.6</x:v>
      </x:c>
      <x:c r="I238" s="8" t="str">
        <x:v>2026-08-26</x:v>
      </x:c>
      <x:c r="J238" s="8"/>
      <x:c r="K238" s="8"/>
      <x:c r="L238" s="8"/>
    </x:row>
    <x:row r="239">
      <x:c r="A239" s="8" t="str">
        <x:v>Android</x:v>
      </x:c>
      <x:c r="B239" s="8" t="str">
        <x:v>Injected JS runs twice</x:v>
      </x:c>
      <x:c r="C239" s="8" t="str">
        <x:v>batch messages over the bridge</x:v>
      </x:c>
      <x:c r="D239" s="8" t="str">
        <x:v>screen recording</x:v>
      </x:c>
      <x:c r="E239" s="8" t="str">
        <x:v>high</x:v>
      </x:c>
      <x:c r="F239" s="8" t="str">
        <x:v>resolved</x:v>
      </x:c>
      <x:c r="G239" s="8" t="str">
        <x:v>No owner</x:v>
      </x:c>
      <x:c r="H239" s="8" t="str">
        <x:v>13.6</x:v>
      </x:c>
      <x:c r="I239" s="8" t="str">
        <x:v>2026-09-27</x:v>
      </x:c>
      <x:c r="J239" s="8"/>
      <x:c r="K239" s="8"/>
      <x:c r="L239" s="8"/>
    </x:row>
    <x:row r="240">
      <x:c r="A240" s="8" t="str">
        <x:v>iOS</x:v>
      </x:c>
      <x:c r="B240" s="8" t="str">
        <x:v>Navigation delegate not called</x:v>
      </x:c>
      <x:c r="C240" s="8" t="str">
        <x:v>batch messages over the bridge</x:v>
      </x:c>
      <x:c r="D240" s="8" t="str">
        <x:v>manual check</x:v>
      </x:c>
      <x:c r="E240" s="8" t="str">
        <x:v>unknown</x:v>
      </x:c>
      <x:c r="F240" s="8" t="str">
        <x:v>investigating</x:v>
      </x:c>
      <x:c r="G240" s="8" t="str">
        <x:v>No owner</x:v>
      </x:c>
      <x:c r="H240" s="8" t="str">
        <x:v>13.8</x:v>
      </x:c>
      <x:c r="I240" s="8" t="str">
        <x:v>2026-01-01</x:v>
      </x:c>
      <x:c r="J240" s="8"/>
      <x:c r="K240" s="8"/>
      <x:c r="L240" s="8"/>
    </x:row>
    <x:row r="241">
      <x:c r="A241" s="8" t="str">
        <x:v>Android</x:v>
      </x:c>
      <x:c r="B241" s="8" t="str">
        <x:v>File upload stalls</x:v>
      </x:c>
      <x:c r="C241" s="8" t="str">
        <x:v>use onShouldStartLoadWithRequest</x:v>
      </x:c>
      <x:c r="D241" s="8" t="str">
        <x:v>device log</x:v>
      </x:c>
      <x:c r="E241" s="8" t="str">
        <x:v>unknown</x:v>
      </x:c>
      <x:c r="F241" s="8" t="str">
        <x:v>needs reproduction</x:v>
      </x:c>
      <x:c r="G241" s="8" t="str">
        <x:v>Carla</x:v>
      </x:c>
      <x:c r="H241" s="8" t="str">
        <x:v>13.8</x:v>
      </x:c>
      <x:c r="I241" s="8" t="str">
        <x:v>2026-02-02</x:v>
      </x:c>
      <x:c r="J241" s="8"/>
      <x:c r="K241" s="8"/>
      <x:c r="L241" s="8" t="str">
        <x:v>Random thought: is the JS bridge slow for big payloads?</x:v>
      </x:c>
    </x:row>
    <x:row r="242">
      <x:c r="A242" s="8" t="str">
        <x:v>iOS</x:v>
      </x:c>
      <x:c r="B242" s="8" t="str">
        <x:v>Keyboard covers input</x:v>
      </x:c>
      <x:c r="C242" s="8" t="str">
        <x:v>move script to onLoadEnd</x:v>
      </x:c>
      <x:c r="D242" s="8" t="str">
        <x:v>device log</x:v>
      </x:c>
      <x:c r="E242" s="8" t="str">
        <x:v>medium</x:v>
      </x:c>
      <x:c r="F242" s="8" t="str">
        <x:v>resolved</x:v>
      </x:c>
      <x:c r="G242" s="8" t="str">
        <x:v>Asha</x:v>
      </x:c>
      <x:c r="H242" s="8" t="str">
        <x:v>13.8</x:v>
      </x:c>
      <x:c r="I242" s="8" t="str">
        <x:v>2026-03-03</x:v>
      </x:c>
      <x:c r="J242" s="8" t="str">
        <x:v>Follow-up: compare the result when the network security policy is relaxed versus when it is enforced.</x:v>
      </x:c>
      <x:c r="K242" s="8" t="str">
        <x:v>https://developer.apple.com/documentation/webkit/wkwebview</x:v>
      </x:c>
      <x:c r="L242" s="8"/>
    </x:row>
    <x:row r="243">
      <x:c r="A243" s="8" t="str">
        <x:v>Android</x:v>
      </x:c>
      <x:c r="B243" s="8" t="str">
        <x:v>Large payload appears slow</x:v>
      </x:c>
      <x:c r="C243" s="8" t="str">
        <x:v>move script to onLoadEnd</x:v>
      </x:c>
      <x:c r="D243" s="8" t="str">
        <x:v>issue-1219</x:v>
      </x:c>
      <x:c r="E243" s="8" t="str">
        <x:v>security risk?</x:v>
      </x:c>
      <x:c r="F243" s="8" t="str">
        <x:v>open</x:v>
      </x:c>
      <x:c r="G243" s="8" t="str">
        <x:v>Carla</x:v>
      </x:c>
      <x:c r="H243" s="8" t="str">
        <x:v>14.0</x:v>
      </x:c>
      <x:c r="I243" s="8" t="str">
        <x:v>2026-04-04</x:v>
      </x:c>
      <x:c r="J243" s="8"/>
      <x:c r="K243" s="8"/>
      <x:c r="L243" s="8"/>
    </x:row>
    <x:row r="244">
      <x:c r="A244" s="8" t="str">
        <x:v>iOS</x:v>
      </x:c>
      <x:c r="B244" s="8" t="str">
        <x:v>Mixed content not loading</x:v>
      </x:c>
      <x:c r="C244" s="8" t="str">
        <x:v>set mixedContentMode='always'</x:v>
      </x:c>
      <x:c r="D244" s="8" t="str">
        <x:v>device log</x:v>
      </x:c>
      <x:c r="E244" s="8" t="str">
        <x:v>low</x:v>
      </x:c>
      <x:c r="F244" s="8" t="str">
        <x:v>resolved</x:v>
      </x:c>
      <x:c r="G244" s="8" t="str">
        <x:v>Asha</x:v>
      </x:c>
      <x:c r="H244" s="8" t="str">
        <x:v>15.0</x:v>
      </x:c>
      <x:c r="I244" s="8" t="str">
        <x:v>2026-05-05</x:v>
      </x:c>
      <x:c r="J244" s="8" t="str">
        <x:v>The owner field was not captured in the original notes, so classification should remain conservative.</x:v>
      </x:c>
      <x:c r="K244" s="8"/>
      <x:c r="L244" s="8"/>
    </x:row>
    <x:row r="245">
      <x:c r="A245" s="8" t="str">
        <x:v>Android</x:v>
      </x:c>
      <x:c r="B245" s="8" t="str">
        <x:v>Injected JS runs twice</x:v>
      </x:c>
      <x:c r="C245" s="8" t="str">
        <x:v>use onShouldStartLoadWithRequest</x:v>
      </x:c>
      <x:c r="D245" s="8" t="str">
        <x:v>screen recording</x:v>
      </x:c>
      <x:c r="E245" s="8" t="str">
        <x:v>low</x:v>
      </x:c>
      <x:c r="F245" s="8" t="str">
        <x:v>resolved</x:v>
      </x:c>
      <x:c r="G245" s="8" t="str">
        <x:v>Mei</x:v>
      </x:c>
      <x:c r="H245" s="8" t="str">
        <x:v>13.6</x:v>
      </x:c>
      <x:c r="I245" s="8" t="str">
        <x:v>2026-06-06</x:v>
      </x:c>
      <x:c r="J245" s="8"/>
      <x:c r="K245" s="8"/>
      <x:c r="L245" s="8" t="str">
        <x:v>Random thought: is the JS bridge slow for big payloads?</x:v>
      </x:c>
    </x:row>
    <x:row r="246">
      <x:c r="A246" s="8" t="str">
        <x:v>Platform</x:v>
      </x:c>
      <x:c r="B246" s="8" t="str">
        <x:v>Issue</x:v>
      </x:c>
      <x:c r="C246" s="8" t="str">
        <x:v>Fix</x:v>
      </x:c>
      <x:c r="D246" s="8" t="str">
        <x:v>Evidence</x:v>
      </x:c>
      <x:c r="E246" s="8" t="str">
        <x:v>Risk</x:v>
      </x:c>
      <x:c r="F246" s="8" t="str">
        <x:v>Status</x:v>
      </x:c>
      <x:c r="G246" s="8" t="str">
        <x:v>Owner</x:v>
      </x:c>
      <x:c r="H246" s="8"/>
      <x:c r="I246" s="8"/>
      <x:c r="J246" s="8" t="str">
        <x:v>Repeated header from exported table</x:v>
      </x:c>
      <x:c r="K246" s="8"/>
      <x:c r="L246" s="8"/>
    </x:row>
    <x:row r="247">
      <x:c r="A247" s="8" t="str">
        <x:v>iOS</x:v>
      </x:c>
      <x:c r="B247" s="8" t="str">
        <x:v>File upload stalls</x:v>
      </x:c>
      <x:c r="C247" s="8" t="str">
        <x:v>move script to onLoadEnd</x:v>
      </x:c>
      <x:c r="D247" s="8" t="str">
        <x:v>screen recording</x:v>
      </x:c>
      <x:c r="E247" s="8" t="str">
        <x:v>security risk?</x:v>
      </x:c>
      <x:c r="F247" s="8" t="str">
        <x:v>blocked</x:v>
      </x:c>
      <x:c r="G247" s="8" t="str">
        <x:v>Asha</x:v>
      </x:c>
      <x:c r="H247" s="8" t="str">
        <x:v>13.8</x:v>
      </x:c>
      <x:c r="I247" s="8" t="str">
        <x:v>2026-07-07</x:v>
      </x:c>
      <x:c r="J247" s="8" t="str">
        <x:v>Verify behavior on a cold start and after the page reloads without destroying the native view.</x:v>
      </x:c>
      <x:c r="K247" s="8"/>
      <x:c r="L247" s="8"/>
    </x:row>
    <x:row r="248">
      <x:c r="A248" s="8" t="str">
        <x:v>Android</x:v>
      </x:c>
      <x:c r="B248" s="8" t="str">
        <x:v>Injected JS runs twice</x:v>
      </x:c>
      <x:c r="C248" s="8" t="str">
        <x:v>move script to onLoadEnd</x:v>
      </x:c>
      <x:c r="D248" s="8" t="str">
        <x:v>repro-android-14</x:v>
      </x:c>
      <x:c r="E248" s="8" t="str">
        <x:v>high</x:v>
      </x:c>
      <x:c r="F248" s="8" t="str">
        <x:v>investigating</x:v>
      </x:c>
      <x:c r="G248" s="8" t="str">
        <x:v>No owner</x:v>
      </x:c>
      <x:c r="H248" s="8" t="str">
        <x:v>13.6</x:v>
      </x:c>
      <x:c r="I248" s="8" t="str">
        <x:v>2026-08-08</x:v>
      </x:c>
      <x:c r="J248" s="8"/>
      <x:c r="K248" s="8"/>
      <x:c r="L248" s="8" t="str">
        <x:v>Random thought: is the JS bridge slow for big payloads?</x:v>
      </x:c>
    </x:row>
    <x:row r="249">
      <x:c r="A249" s="8" t="str">
        <x:v>iOS</x:v>
      </x:c>
      <x:c r="B249" s="8" t="str">
        <x:v>Injected JS runs twice</x:v>
      </x:c>
      <x:c r="C249" s="8" t="str">
        <x:v>batch messages over the bridge</x:v>
      </x:c>
      <x:c r="D249" s="8" t="str">
        <x:v>screen recording</x:v>
      </x:c>
      <x:c r="E249" s="8" t="str">
        <x:v>unknown</x:v>
      </x:c>
      <x:c r="F249" s="8" t="str">
        <x:v>investigating</x:v>
      </x:c>
      <x:c r="G249" s="8" t="str">
        <x:v>Diego</x:v>
      </x:c>
      <x:c r="H249" s="8" t="str">
        <x:v>14.0</x:v>
      </x:c>
      <x:c r="I249" s="8" t="str">
        <x:v>2026-09-09</x:v>
      </x:c>
      <x:c r="J249" s="8" t="str">
        <x:v>A blank cell here is intentional. The source workbook has notes placed away from the nearest table.</x:v>
      </x:c>
      <x:c r="K249" s="8" t="str">
        <x:v>https://developer.android.com/reference/android/webkit/WebView</x:v>
      </x:c>
      <x:c r="L249" s="8" t="str">
        <x:v>Random thought: is the JS bridge slow for big payloads?</x:v>
      </x:c>
    </x:row>
    <x:row r="250">
      <x:c r="A250" s="8" t="str">
        <x:v>Android</x:v>
      </x:c>
      <x:c r="B250" s="8" t="str">
        <x:v>Keyboard covers input</x:v>
      </x:c>
      <x:c r="C250" s="8" t="str">
        <x:v>resize contentInset</x:v>
      </x:c>
      <x:c r="D250" s="8" t="str">
        <x:v>repro-android-14</x:v>
      </x:c>
      <x:c r="E250" s="8" t="str">
        <x:v>security risk?</x:v>
      </x:c>
      <x:c r="F250" s="8" t="str">
        <x:v>investigating</x:v>
      </x:c>
      <x:c r="G250" s="8" t="str">
        <x:v>Carla</x:v>
      </x:c>
      <x:c r="H250" s="8" t="str">
        <x:v>15.0</x:v>
      </x:c>
      <x:c r="I250" s="8" t="str">
        <x:v>2026-01-10</x:v>
      </x:c>
      <x:c r="J250" s="8"/>
      <x:c r="K250" s="8"/>
      <x:c r="L250" s="8"/>
    </x:row>
    <x:row r="251">
      <x:c r="A251" s="8" t="str">
        <x:v>iOS</x:v>
      </x:c>
      <x:c r="B251" s="8" t="str">
        <x:v>Mixed content not loading</x:v>
      </x:c>
      <x:c r="C251" s="8" t="str">
        <x:v>provide a file:// handler</x:v>
      </x:c>
      <x:c r="D251" s="8" t="str">
        <x:v>issue-1226</x:v>
      </x:c>
      <x:c r="E251" s="8" t="str">
        <x:v>low</x:v>
      </x:c>
      <x:c r="F251" s="8" t="str">
        <x:v>needs reproduction</x:v>
      </x:c>
      <x:c r="G251" s="8" t="str">
        <x:v>Ben</x:v>
      </x:c>
      <x:c r="H251" s="8" t="str">
        <x:v>15.0</x:v>
      </x:c>
      <x:c r="I251" s="8" t="str">
        <x:v>2026-02-11</x:v>
      </x:c>
      <x:c r="J251" s="8"/>
      <x:c r="K251" s="8"/>
      <x:c r="L251" s="8"/>
    </x:row>
    <x:row r="252">
      <x:c r="A252" s="8" t="str">
        <x:v>Android</x:v>
      </x:c>
      <x:c r="B252" s="8" t="str">
        <x:v>Keyboard covers input</x:v>
      </x:c>
      <x:c r="C252" s="8" t="str">
        <x:v>batch messages over the bridge</x:v>
      </x:c>
      <x:c r="D252" s="8" t="str">
        <x:v>issue-1227</x:v>
      </x:c>
      <x:c r="E252" s="8" t="str">
        <x:v>low</x:v>
      </x:c>
      <x:c r="F252" s="8" t="str">
        <x:v>blocked</x:v>
      </x:c>
      <x:c r="G252" s="8" t="str">
        <x:v>Diego</x:v>
      </x:c>
      <x:c r="H252" s="8" t="str">
        <x:v>14.2</x:v>
      </x:c>
      <x:c r="I252" s="8" t="str">
        <x:v>2026-03-12</x:v>
      </x:c>
      <x:c r="J252" s="8" t="str">
        <x:v>This sentence is long enough to exercise wrapping and downstream chunk boundaries in Markdown output.</x:v>
      </x:c>
      <x:c r="K252" s="8"/>
      <x:c r="L252" s="8"/>
    </x:row>
    <x:row r="253">
      <x:c r="A253" s="8"/>
      <x:c r="B253" s="8"/>
      <x:c r="C253" s="8"/>
      <x:c r="D253" s="8"/>
      <x:c r="E253" s="8"/>
      <x:c r="F253" s="8"/>
      <x:c r="G253" s="8"/>
      <x:c r="H253" s="8"/>
      <x:c r="I253" s="8"/>
      <x:c r="J253" s="8"/>
      <x:c r="K253" s="8"/>
      <x:c r="L253" s="8"/>
    </x:row>
    <x:row r="254">
      <x:c r="A254" s="8" t="str">
        <x:v>iOS</x:v>
      </x:c>
      <x:c r="B254" s="8" t="str">
        <x:v>Keyboard covers input</x:v>
      </x:c>
      <x:c r="C254" s="8" t="str">
        <x:v>provide a file:// handler</x:v>
      </x:c>
      <x:c r="D254" s="8" t="str">
        <x:v>screen recording</x:v>
      </x:c>
      <x:c r="E254" s="8" t="str">
        <x:v>security risk?</x:v>
      </x:c>
      <x:c r="F254" s="8" t="str">
        <x:v>blocked</x:v>
      </x:c>
      <x:c r="G254" s="8" t="str">
        <x:v>No owner</x:v>
      </x:c>
      <x:c r="H254" s="8" t="str">
        <x:v>13.8</x:v>
      </x:c>
      <x:c r="I254" s="8" t="str">
        <x:v>2026-04-13</x:v>
      </x:c>
      <x:c r="J254" s="8" t="str">
        <x:v>A blank cell here is intentional. The source workbook has notes placed away from the nearest table.</x:v>
      </x:c>
      <x:c r="K254" s="8"/>
      <x:c r="L254" s="8"/>
    </x:row>
    <x:row r="255">
      <x:c r="A255" s="8" t="str">
        <x:v>Android</x:v>
      </x:c>
      <x:c r="B255" s="8" t="str">
        <x:v>Injected JS runs twice</x:v>
      </x:c>
      <x:c r="C255" s="8" t="str">
        <x:v>resize contentInset</x:v>
      </x:c>
      <x:c r="D255" s="8" t="str">
        <x:v>screen recording</x:v>
      </x:c>
      <x:c r="E255" s="8" t="str">
        <x:v>high</x:v>
      </x:c>
      <x:c r="F255" s="8" t="str">
        <x:v>needs reproduction</x:v>
      </x:c>
      <x:c r="G255" s="8" t="str">
        <x:v>Ben</x:v>
      </x:c>
      <x:c r="H255" s="8" t="str">
        <x:v>15.0</x:v>
      </x:c>
      <x:c r="I255" s="8" t="str">
        <x:v>2026-05-14</x:v>
      </x:c>
      <x:c r="J255" s="8"/>
      <x:c r="K255" s="8"/>
      <x:c r="L255" s="8" t="str">
        <x:v>Random thought: is the JS bridge slow for big payloads?</x:v>
      </x:c>
    </x:row>
    <x:row r="256">
      <x:c r="A256" s="8" t="str">
        <x:v>iOS</x:v>
      </x:c>
      <x:c r="B256" s="8" t="str">
        <x:v>Large payload appears slow</x:v>
      </x:c>
      <x:c r="C256" s="8" t="str">
        <x:v>use onShouldStartLoadWithRequest</x:v>
      </x:c>
      <x:c r="D256" s="8" t="str">
        <x:v>device log</x:v>
      </x:c>
      <x:c r="E256" s="8" t="str">
        <x:v>unknown</x:v>
      </x:c>
      <x:c r="F256" s="8" t="str">
        <x:v>resolved</x:v>
      </x:c>
      <x:c r="G256" s="8" t="str">
        <x:v>Asha</x:v>
      </x:c>
      <x:c r="H256" s="8" t="str">
        <x:v>14.0</x:v>
      </x:c>
      <x:c r="I256" s="8" t="str">
        <x:v>2026-06-15</x:v>
      </x:c>
      <x:c r="J256" s="8" t="str">
        <x:v>The owner field was not captured in the original notes, so classification should remain conservative.</x:v>
      </x:c>
      <x:c r="K256" s="8"/>
      <x:c r="L256" s="8" t="str">
        <x:v>Random thought: is the JS bridge slow for big payloads?</x:v>
      </x:c>
    </x:row>
    <x:row r="257">
      <x:c r="A257" s="8" t="str">
        <x:v>Android</x:v>
      </x:c>
      <x:c r="B257" s="8" t="str">
        <x:v>Keyboard covers input</x:v>
      </x:c>
      <x:c r="C257" s="8" t="str">
        <x:v>batch messages over the bridge</x:v>
      </x:c>
      <x:c r="D257" s="8" t="str">
        <x:v>repro-android-14</x:v>
      </x:c>
      <x:c r="E257" s="8" t="str">
        <x:v>low</x:v>
      </x:c>
      <x:c r="F257" s="8" t="str">
        <x:v>needs reproduction</x:v>
      </x:c>
      <x:c r="G257" s="8" t="str">
        <x:v>No owner</x:v>
      </x:c>
      <x:c r="H257" s="8" t="str">
        <x:v>13.6</x:v>
      </x:c>
      <x:c r="I257" s="8" t="str">
        <x:v>2026-07-16</x:v>
      </x:c>
      <x:c r="J257" s="8" t="str">
        <x:v>Verify behavior on a cold start and after the page reloads without destroying the native view.</x:v>
      </x:c>
      <x:c r="K257" s="8"/>
      <x:c r="L257" s="8"/>
    </x:row>
    <x:row r="258">
      <x:c r="A258" s="8" t="str">
        <x:v>iOS</x:v>
      </x:c>
      <x:c r="B258" s="8" t="str">
        <x:v>Keyboard covers input</x:v>
      </x:c>
      <x:c r="C258" s="8" t="str">
        <x:v>move script to onLoadEnd</x:v>
      </x:c>
      <x:c r="D258" s="8" t="str">
        <x:v>device log</x:v>
      </x:c>
      <x:c r="E258" s="8" t="str">
        <x:v>unknown</x:v>
      </x:c>
      <x:c r="F258" s="8" t="str">
        <x:v>open</x:v>
      </x:c>
      <x:c r="G258" s="8" t="str">
        <x:v>Diego</x:v>
      </x:c>
      <x:c r="H258" s="8" t="str">
        <x:v>13.8</x:v>
      </x:c>
      <x:c r="I258" s="8" t="str">
        <x:v>2026-08-17</x:v>
      </x:c>
      <x:c r="J258" s="8"/>
      <x:c r="K258" s="8"/>
      <x:c r="L258" s="8"/>
    </x:row>
    <x:row r="259">
      <x:c r="A259" s="8" t="str">
        <x:v>Android</x:v>
      </x:c>
      <x:c r="B259" s="8" t="str">
        <x:v>Mixed content not loading</x:v>
      </x:c>
      <x:c r="C259" s="8" t="str">
        <x:v>batch messages over the bridge</x:v>
      </x:c>
      <x:c r="D259" s="8" t="str">
        <x:v>screen recording</x:v>
      </x:c>
      <x:c r="E259" s="8" t="str">
        <x:v>low</x:v>
      </x:c>
      <x:c r="F259" s="8" t="str">
        <x:v>needs reproduction</x:v>
      </x:c>
      <x:c r="G259" s="8" t="str">
        <x:v>Diego</x:v>
      </x:c>
      <x:c r="H259" s="8" t="str">
        <x:v>14.2</x:v>
      </x:c>
      <x:c r="I259" s="8" t="str">
        <x:v>2026-09-18</x:v>
      </x:c>
      <x:c r="J259" s="8" t="str">
        <x:v>The owner field was not captured in the original notes, so classification should remain conservative.</x:v>
      </x:c>
      <x:c r="K259" s="8"/>
      <x:c r="L259" s="8"/>
    </x:row>
    <x:row r="260">
      <x:c r="A260" s="8" t="str">
        <x:v>iOS</x:v>
      </x:c>
      <x:c r="B260" s="8" t="str">
        <x:v>Large payload appears slow</x:v>
      </x:c>
      <x:c r="C260" s="8" t="str">
        <x:v>move script to onLoadEnd</x:v>
      </x:c>
      <x:c r="D260" s="8" t="str">
        <x:v>screen recording</x:v>
      </x:c>
      <x:c r="E260" s="8" t="str">
        <x:v>high</x:v>
      </x:c>
      <x:c r="F260" s="8" t="str">
        <x:v>investigating</x:v>
      </x:c>
      <x:c r="G260" s="8" t="str">
        <x:v>No owner</x:v>
      </x:c>
      <x:c r="H260" s="8" t="str">
        <x:v>13.8</x:v>
      </x:c>
      <x:c r="I260" s="8" t="str">
        <x:v>2026-01-19</x:v>
      </x:c>
      <x:c r="J260" s="8" t="str">
        <x:v>Follow-up: compare the result when the network security policy is relaxed versus when it is enforced.</x:v>
      </x:c>
      <x:c r="K260" s="8"/>
      <x:c r="L260" s="8"/>
    </x:row>
    <x:row r="261">
      <x:c r="A261" s="1" t="str">
        <x:v>Android</x:v>
      </x:c>
      <x:c r="B261" s="1" t="str">
        <x:v>Navigation delegate not called</x:v>
      </x:c>
      <x:c r="C261" s="1" t="str">
        <x:v>batch messages over the bridge</x:v>
      </x:c>
      <x:c r="D261" s="1" t="str">
        <x:v>device log</x:v>
      </x:c>
      <x:c r="E261" s="1" t="str">
        <x:v>security risk?</x:v>
      </x:c>
      <x:c r="F261" s="1" t="str">
        <x:v>resolved</x:v>
      </x:c>
      <x:c r="G261" s="1" t="str">
        <x:v>No owner</x:v>
      </x:c>
      <x:c r="H261" s="1" t="str">
        <x:v>15.0</x:v>
      </x:c>
      <x:c r="I261" s="1" t="str">
        <x:v>2026-02-20</x:v>
      </x:c>
      <x:c r="J261" s="1"/>
      <x:c r="K261" s="1" t="str">
        <x:v>https://developer.microsoft.com/en-us/microsoft-edge/webview2/</x:v>
      </x:c>
      <x:c r="L261" s="1" t="str">
        <x:v>Random thought: is the JS bridge slow for big payloads?</x:v>
      </x:c>
    </x:row>
    <x:row r="262">
      <x:c r="A262" s="1" t="str">
        <x:v>iOS</x:v>
      </x:c>
      <x:c r="B262" s="1" t="str">
        <x:v>Mixed content not loading</x:v>
      </x:c>
      <x:c r="C262" s="1" t="str">
        <x:v>move script to onLoadEnd</x:v>
      </x:c>
      <x:c r="D262" s="1" t="str">
        <x:v>issue-1236</x:v>
      </x:c>
      <x:c r="E262" s="1" t="str">
        <x:v>security risk?</x:v>
      </x:c>
      <x:c r="F262" s="1" t="str">
        <x:v>investigating</x:v>
      </x:c>
      <x:c r="G262" s="1" t="str">
        <x:v>Carla</x:v>
      </x:c>
      <x:c r="H262" s="1" t="str">
        <x:v>15.0</x:v>
      </x:c>
      <x:c r="I262" s="1" t="str">
        <x:v>2026-03-21</x:v>
      </x:c>
      <x:c r="J262" s="1" t="str">
        <x:v>Verify behavior on a cold start and after the page reloads without destroying the native view.</x:v>
      </x:c>
      <x:c r="K262" s="1" t="str">
        <x:v>https://developer.apple.com/documentation/webkit/wkwebview</x:v>
      </x:c>
      <x:c r="L262" s="1" t="str">
        <x:v>Random thought: is the JS bridge slow for big payloads?</x:v>
      </x:c>
    </x:row>
    <x:row r="263">
      <x:c r="A263" s="1" t="str">
        <x:v>Android</x:v>
      </x:c>
      <x:c r="B263" s="1" t="str">
        <x:v>Keyboard covers input</x:v>
      </x:c>
      <x:c r="C263" s="1" t="str">
        <x:v>move script to onLoadEnd</x:v>
      </x:c>
      <x:c r="D263" s="1" t="str">
        <x:v>repro-android-14</x:v>
      </x:c>
      <x:c r="E263" s="1" t="str">
        <x:v>high</x:v>
      </x:c>
      <x:c r="F263" s="1" t="str">
        <x:v>needs reproduction</x:v>
      </x:c>
      <x:c r="G263" s="1" t="str">
        <x:v>Diego</x:v>
      </x:c>
      <x:c r="H263" s="1" t="str">
        <x:v>13.8</x:v>
      </x:c>
      <x:c r="I263" s="1" t="str">
        <x:v>2026-04-22</x:v>
      </x:c>
      <x:c r="J263" s="1" t="str">
        <x:v>The owner field was not captured in the original notes, so classification should remain conservative.</x:v>
      </x:c>
      <x:c r="K263" s="1"/>
      <x:c r="L263" s="1"/>
    </x:row>
    <x:row r="264">
      <x:c r="A264" s="1" t="str">
        <x:v>iOS</x:v>
      </x:c>
      <x:c r="B264" s="1" t="str">
        <x:v>Keyboard covers input</x:v>
      </x:c>
      <x:c r="C264" s="1" t="str">
        <x:v>resize contentInset</x:v>
      </x:c>
      <x:c r="D264" s="1" t="str">
        <x:v>manual check</x:v>
      </x:c>
      <x:c r="E264" s="1" t="str">
        <x:v>unknown</x:v>
      </x:c>
      <x:c r="F264" s="1" t="str">
        <x:v>investigating</x:v>
      </x:c>
      <x:c r="G264" s="1" t="str">
        <x:v>Mei</x:v>
      </x:c>
      <x:c r="H264" s="1" t="str">
        <x:v>14.0</x:v>
      </x:c>
      <x:c r="I264" s="1" t="str">
        <x:v>2026-05-23</x:v>
      </x:c>
      <x:c r="J264" s="1"/>
      <x:c r="K264" s="1"/>
      <x:c r="L264" s="1" t="str">
        <x:v>Random thought: is the JS bridge slow for big payloads?</x:v>
      </x:c>
    </x:row>
    <x:row r="265">
      <x:c r="A265" s="1" t="str">
        <x:v>Android</x:v>
      </x:c>
      <x:c r="B265" s="1" t="str">
        <x:v>Injected JS runs twice</x:v>
      </x:c>
      <x:c r="C265" s="1" t="str">
        <x:v>move script to onLoadEnd</x:v>
      </x:c>
      <x:c r="D265" s="1" t="str">
        <x:v>screen recording</x:v>
      </x:c>
      <x:c r="E265" s="1" t="str">
        <x:v>high</x:v>
      </x:c>
      <x:c r="F265" s="1" t="str">
        <x:v>investigating</x:v>
      </x:c>
      <x:c r="G265" s="1" t="str">
        <x:v>Ben</x:v>
      </x:c>
      <x:c r="H265" s="1" t="str">
        <x:v>13.8</x:v>
      </x:c>
      <x:c r="I265" s="1" t="str">
        <x:v>2026-06-24</x:v>
      </x:c>
      <x:c r="J265" s="1"/>
      <x:c r="K265" s="1"/>
      <x:c r="L265" s="1"/>
    </x:row>
    <x:row r="266">
      <x:c r="A266" s="1"/>
      <x:c r="B266" s="1"/>
      <x:c r="C266" s="1"/>
      <x:c r="D266" s="1"/>
      <x:c r="E266" s="1"/>
      <x:c r="F266" s="1"/>
      <x:c r="G266" s="1"/>
      <x:c r="H266" s="1"/>
      <x:c r="I266" s="1"/>
      <x:c r="J266" s="1"/>
      <x:c r="K266" s="1"/>
      <x:c r="L266" s="1"/>
    </x:row>
    <x:row r="267">
      <x:c r="A267" s="1"/>
      <x:c r="B267" s="1"/>
      <x:c r="C267" s="1" t="str">
        <x:v>End note: preserve scattered observations; they often contain the only reproduction clue.</x:v>
      </x:c>
      <x:c r="D267" s="1"/>
      <x:c r="E267" s="1"/>
      <x:c r="F267" s="1"/>
      <x:c r="G267" s="1"/>
      <x:c r="H267" s="1"/>
      <x:c r="I267" s="1"/>
      <x:c r="J267" s="1"/>
      <x:c r="K267" s="1"/>
      <x:c r="L267" s="1"/>
    </x:row>
  </x:sheetData>
  <x:mergeCells>
    <x:mergeCell ref="B1:L1"/>
  </x:mergeCells>
  <x:pageMargins left="0.7" right="0.7" top="0.75" bottom="0.75" header="0.3" footer="0.3"/>
</x:worksheet>
</file>

<file path=xl/worksheets/sheet2.xml><?xml version="1.0" encoding="utf-8"?>
<x:worksheet xmlns:x="http://schemas.openxmlformats.org/spreadsheetml/2006/main">
  <x:sheetViews>
    <x:sheetView workbookViewId="0">
      <x:pane ySplit="9" topLeftCell="A10" activePane="bottomLeft" state="frozen"/>
    </x:sheetView>
  </x:sheetViews>
  <x:sheetFormatPr defaultRowHeight="15"/>
  <x:cols>
    <x:col min="1" max="1" width="18" hidden="0" customWidth="1"/>
    <x:col min="2" max="2" width="38" hidden="0" customWidth="1"/>
    <x:col min="3" max="3" width="54" hidden="0" customWidth="1"/>
    <x:col min="4" max="4" width="16" hidden="0" customWidth="1"/>
    <x:col min="5" max="5" width="21" hidden="0" customWidth="1"/>
    <x:col min="6" max="6" width="16" hidden="0" customWidth="1"/>
    <x:col min="7" max="7" width="16" hidden="0" customWidth="1"/>
    <x:col min="8" max="8" width="32" hidden="0" customWidth="1"/>
    <x:col min="9" max="9" width="12" hidden="0" customWidth="1"/>
    <x:col min="10" max="10" width="46" hidden="0" customWidth="1"/>
    <x:col min="11" max="11" width="40" hidden="0" customWidth="1"/>
  </x:cols>
  <x:sheetData>
    <x:row r="1">
      <x:c r="A1" s="7" t="str">
        <x:v>WPF WebView2</x:v>
      </x:c>
      <x:c r="B1" s="7"/>
      <x:c r="C1" s="7"/>
      <x:c r="D1" s="7"/>
      <x:c r="E1" s="7" t="str">
        <x:v>Important!</x:v>
      </x:c>
      <x:c r="F1" s="7"/>
      <x:c r="G1" s="7"/>
      <x:c r="H1" s="7"/>
      <x:c r="I1" s="7"/>
      <x:c r="J1" s="7"/>
      <x:c r="K1" s="7"/>
    </x:row>
    <x:row r="2">
      <x:c r="A2" s="8"/>
      <x:c r="B2" s="8"/>
      <x:c r="C2" s="8"/>
      <x:c r="D2" s="8"/>
      <x:c r="E2" s="8"/>
      <x:c r="F2" s="8"/>
      <x:c r="G2" s="8"/>
      <x:c r="H2" s="8"/>
      <x:c r="I2" s="8"/>
      <x:c r="J2" s="8"/>
      <x:c r="K2" s="8"/>
    </x:row>
    <x:row r="3">
      <x:c r="A3" s="8"/>
      <x:c r="B3" s="8" t="str">
        <x:v>Must install Edge Evergreen Bootstrapper</x:v>
      </x:c>
      <x:c r="C3" s="8"/>
      <x:c r="D3" s="8" t="str">
        <x:v>URL:</x:v>
      </x:c>
      <x:c r="E3" s="8" t="str">
        <x:v>https://developer.microsoft.com/en-us/microsoft-edge/webview2/</x:v>
      </x:c>
      <x:c r="F3" s="8"/>
      <x:c r="G3" s="8"/>
      <x:c r="H3" s="8"/>
      <x:c r="I3" s="8"/>
      <x:c r="J3" s="8"/>
      <x:c r="K3" s="8"/>
    </x:row>
    <x:row r="4">
      <x:c r="A4" s="8"/>
      <x:c r="B4" s="8" t="str">
        <x:v>Code snippet to init:</x:v>
      </x:c>
      <x:c r="C4" s="8"/>
      <x:c r="D4" s="8"/>
      <x:c r="E4" s="8"/>
      <x:c r="F4" s="8" t="str">
        <x:v>keep await inside UI lifecycle</x:v>
      </x:c>
      <x:c r="G4" s="8"/>
      <x:c r="H4" s="8"/>
      <x:c r="I4" s="8"/>
      <x:c r="J4" s="8"/>
      <x:c r="K4" s="8"/>
    </x:row>
    <x:row r="5">
      <x:c r="A5" s="8"/>
      <x:c r="B5" s="8"/>
      <x:c r="C5" s="8" t="str">
        <x:v>await webView.EnsureCoreWebView2Async(null);</x:v>
      </x:c>
      <x:c r="D5" s="8"/>
      <x:c r="E5" s="8"/>
      <x:c r="F5" s="8"/>
      <x:c r="G5" s="8"/>
      <x:c r="H5" s="8"/>
      <x:c r="I5" s="8"/>
      <x:c r="J5" s="8"/>
      <x:c r="K5" s="8"/>
    </x:row>
    <x:row r="6">
      <x:c r="A6" s="8"/>
      <x:c r="B6" s="8"/>
      <x:c r="C6" s="8" t="str">
        <x:v>webView.CoreWebView2.Navigate(uri);</x:v>
      </x:c>
      <x:c r="D6" s="8"/>
      <x:c r="E6" s="8" t="str">
        <x:v>Uri can be local or remote</x:v>
      </x:c>
      <x:c r="F6" s="8"/>
      <x:c r="G6" s="8"/>
      <x:c r="H6" s="8"/>
      <x:c r="I6" s="8"/>
      <x:c r="J6" s="8"/>
      <x:c r="K6" s="8"/>
    </x:row>
    <x:row r="7">
      <x:c r="A7" s="8"/>
      <x:c r="B7" s="8"/>
      <x:c r="C7" s="8"/>
      <x:c r="D7" s="8"/>
      <x:c r="E7" s="8"/>
      <x:c r="F7" s="8"/>
      <x:c r="G7" s="8"/>
      <x:c r="H7" s="8"/>
      <x:c r="I7" s="8"/>
      <x:c r="J7" s="8"/>
      <x:c r="K7" s="8"/>
    </x:row>
    <x:row r="8">
      <x:c r="A8" s="8" t="str">
        <x:v>Interop:</x:v>
      </x:c>
      <x:c r="B8" s="8" t="str">
        <x:v>ExecuteScriptAsync vs PostWebMessageAsString</x:v>
      </x:c>
      <x:c r="C8" s="8"/>
      <x:c r="D8" s="8"/>
      <x:c r="E8" s="8"/>
      <x:c r="F8" s="8"/>
      <x:c r="G8" s="8"/>
      <x:c r="H8" s="8"/>
      <x:c r="I8" s="8"/>
      <x:c r="J8" s="8"/>
      <x:c r="K8" s="8"/>
    </x:row>
    <x:row r="9">
      <x:c r="A9" s="4" t="str">
        <x:v>Field</x:v>
      </x:c>
      <x:c r="B9" s="4" t="str">
        <x:v>Observed behavior</x:v>
      </x:c>
      <x:c r="C9" s="4" t="str">
        <x:v>Code</x:v>
      </x:c>
      <x:c r="D9" s="4" t="str">
        <x:v>Thread</x:v>
      </x:c>
      <x:c r="E9" s="4" t="str">
        <x:v>Status</x:v>
      </x:c>
      <x:c r="F9" s="4" t="str">
        <x:v>Owner</x:v>
      </x:c>
      <x:c r="G9" s="4" t="str">
        <x:v>Build</x:v>
      </x:c>
      <x:c r="H9" s="4" t="str">
        <x:v>Path</x:v>
      </x:c>
      <x:c r="I9" s="4" t="str">
        <x:v>Latency</x:v>
      </x:c>
      <x:c r="J9" s="4" t="str">
        <x:v>Notes</x:v>
      </x:c>
      <x:c r="K9" s="4"/>
    </x:row>
    <x:row r="10">
      <x:c r="A10" s="8"/>
      <x:c r="B10" s="8"/>
      <x:c r="C10" s="8"/>
      <x:c r="D10" s="8"/>
      <x:c r="E10" s="8"/>
      <x:c r="F10" s="8"/>
      <x:c r="G10" s="8"/>
      <x:c r="H10" s="8"/>
      <x:c r="I10" s="8"/>
      <x:c r="J10" s="8"/>
      <x:c r="K10" s="8"/>
    </x:row>
    <x:row r="11">
      <x:c r="A11" s="8" t="str">
        <x:v>script</x:v>
      </x:c>
      <x:c r="B11" s="8" t="str">
        <x:v>script returns a quoted JSON string</x:v>
      </x:c>
      <x:c r="C11" s="8" t="str">
        <x:v>CoreWebView2.AddHostObjectToScript(name, value)</x:v>
      </x:c>
      <x:c r="D11" s="8" t="str">
        <x:v>background</x:v>
      </x:c>
      <x:c r="E11" s="8" t="str">
        <x:v>investigating</x:v>
      </x:c>
      <x:c r="F11" s="8" t="str">
        <x:v>No owner</x:v>
      </x:c>
      <x:c r="G11" s="8" t="str">
        <x:v>1.0.2478</x:v>
      </x:c>
      <x:c r="H11" s="8"/>
      <x:c r="I11" s="8" t="n">
        <x:v>144</x:v>
      </x:c>
      <x:c r="J11" s="8" t="str">
        <x:v>This sentence is long enough to exercise wrapping and downstream chunk boundaries in Markdown output.</x:v>
      </x:c>
      <x:c r="K11" s="8"/>
    </x:row>
    <x:row r="12">
      <x:c r="A12" s="8" t="str">
        <x:v>download</x:v>
      </x:c>
      <x:c r="B12" s="8" t="str">
        <x:v>message is dropped after reload</x:v>
      </x:c>
      <x:c r="C12" s="8" t="str">
        <x:v>CoreWebView2.AddHostObjectToScript(name, value)</x:v>
      </x:c>
      <x:c r="D12" s="8" t="str">
        <x:v>background</x:v>
      </x:c>
      <x:c r="E12" s="8" t="str">
        <x:v>needs reproduction</x:v>
      </x:c>
      <x:c r="F12" s="8" t="str">
        <x:v>Ben</x:v>
      </x:c>
      <x:c r="G12" s="8" t="str">
        <x:v>evergreen</x:v>
      </x:c>
      <x:c r="H12" s="8" t="str">
        <x:v>C:\apps\WebViewHost\Cache</x:v>
      </x:c>
      <x:c r="I12" s="8" t="n">
        <x:v>843</x:v>
      </x:c>
      <x:c r="J12" s="8"/>
      <x:c r="K12" s="8"/>
    </x:row>
    <x:row r="13">
      <x:c r="A13" s="8" t="str">
        <x:v>host object</x:v>
      </x:c>
      <x:c r="B13" s="8" t="str">
        <x:v>script returns a quoted JSON string</x:v>
      </x:c>
      <x:c r="C13" s="8" t="str">
        <x:v>CoreWebView2.PostWebMessageAsString(payload)</x:v>
      </x:c>
      <x:c r="D13" s="8" t="str">
        <x:v>unknown</x:v>
      </x:c>
      <x:c r="E13" s="8" t="str">
        <x:v>investigating</x:v>
      </x:c>
      <x:c r="F13" s="8" t="str">
        <x:v>Mei</x:v>
      </x:c>
      <x:c r="G13" s="8" t="str">
        <x:v>1.0.1901</x:v>
      </x:c>
      <x:c r="H13" s="8"/>
      <x:c r="I13" s="8" t="n">
        <x:v>218</x:v>
      </x:c>
      <x:c r="J13" s="8" t="str">
        <x:v>Observed in a local test run: the content rendered, but the console warning appeared twice.</x:v>
      </x:c>
      <x:c r="K13" s="8"/>
    </x:row>
    <x:row r="14">
      <x:c r="A14" s="8" t="str">
        <x:v>host object</x:v>
      </x:c>
      <x:c r="B14" s="8" t="str">
        <x:v>handler is registered too late</x:v>
      </x:c>
      <x:c r="C14" s="8" t="str">
        <x:v>CoreWebView2.NavigationCompleted += OnDone</x:v>
      </x:c>
      <x:c r="D14" s="8" t="str">
        <x:v>UI</x:v>
      </x:c>
      <x:c r="E14" s="8" t="str">
        <x:v>open</x:v>
      </x:c>
      <x:c r="F14" s="8" t="str">
        <x:v>Mei</x:v>
      </x:c>
      <x:c r="G14" s="8" t="str">
        <x:v>evergreen</x:v>
      </x:c>
      <x:c r="H14" s="8" t="str">
        <x:v>C:\apps\WebViewHost\Profiles</x:v>
      </x:c>
      <x:c r="I14" s="8" t="n">
        <x:v>252</x:v>
      </x:c>
      <x:c r="J14" s="8" t="str">
        <x:v>A blank cell here is intentional. The source workbook has notes placed away from the nearest table.</x:v>
      </x:c>
      <x:c r="K14" s="8"/>
    </x:row>
    <x:row r="15">
      <x:c r="A15" s="8" t="str">
        <x:v>cookie</x:v>
      </x:c>
      <x:c r="B15" s="8" t="str">
        <x:v>message is dropped after reload</x:v>
      </x:c>
      <x:c r="C15" s="8" t="str">
        <x:v>CoreWebView2.PostWebMessageAsString(payload)</x:v>
      </x:c>
      <x:c r="D15" s="8" t="str">
        <x:v>unknown</x:v>
      </x:c>
      <x:c r="E15" s="8" t="str">
        <x:v>needs reproduction</x:v>
      </x:c>
      <x:c r="F15" s="8" t="str">
        <x:v>No owner</x:v>
      </x:c>
      <x:c r="G15" s="8" t="str">
        <x:v>1.0.1901</x:v>
      </x:c>
      <x:c r="H15" s="8"/>
      <x:c r="I15" s="8"/>
      <x:c r="J15" s="8"/>
      <x:c r="K15" s="8" t="str">
        <x:v>https://developer.apple.com/documentation/webkit/wkwebview</x:v>
      </x:c>
    </x:row>
    <x:row r="16">
      <x:c r="A16" s="8" t="str">
        <x:v>permission</x:v>
      </x:c>
      <x:c r="B16" s="8" t="str">
        <x:v>callback arrives on UI thread</x:v>
      </x:c>
      <x:c r="C16" s="8" t="str">
        <x:v>CoreWebView2.PostWebMessageAsString(payload)</x:v>
      </x:c>
      <x:c r="D16" s="8" t="str">
        <x:v>background</x:v>
      </x:c>
      <x:c r="E16" s="8" t="str">
        <x:v>needs reproduction</x:v>
      </x:c>
      <x:c r="F16" s="8" t="str">
        <x:v>Diego</x:v>
      </x:c>
      <x:c r="G16" s="8" t="str">
        <x:v>1.0.2210</x:v>
      </x:c>
      <x:c r="H16" s="8"/>
      <x:c r="I16" s="8"/>
      <x:c r="J16" s="8"/>
      <x:c r="K16" s="8"/>
    </x:row>
    <x:row r="17">
      <x:c r="A17" s="8" t="str">
        <x:v>message</x:v>
      </x:c>
      <x:c r="B17" s="8" t="str">
        <x:v>script returns a quoted JSON string</x:v>
      </x:c>
      <x:c r="C17" s="8" t="str">
        <x:v>CoreWebView2.AddHostObjectToScript(name, value)</x:v>
      </x:c>
      <x:c r="D17" s="8" t="str">
        <x:v>background</x:v>
      </x:c>
      <x:c r="E17" s="8" t="str">
        <x:v>investigating</x:v>
      </x:c>
      <x:c r="F17" s="8" t="str">
        <x:v>No owner</x:v>
      </x:c>
      <x:c r="G17" s="8" t="str">
        <x:v>1.0.2210</x:v>
      </x:c>
      <x:c r="H17" s="8" t="str">
        <x:v>C:\apps\WebViewHost\Cache</x:v>
      </x:c>
      <x:c r="I17" s="8" t="n">
        <x:v>646</x:v>
      </x:c>
      <x:c r="J17" s="8" t="str">
        <x:v>The bridge callback is stable for small payloads, but large JSON messages show visible delay during navigation.</x:v>
      </x:c>
      <x:c r="K17" s="8" t="str">
        <x:v>https://learn.microsoft.com/en-us/microsoft-edge/webview2/concepts/security</x:v>
      </x:c>
    </x:row>
    <x:row r="18">
      <x:c r="A18" s="8" t="str">
        <x:v>script</x:v>
      </x:c>
      <x:c r="B18" s="8" t="str">
        <x:v>script returns a quoted JSON string</x:v>
      </x:c>
      <x:c r="C18" s="8" t="str">
        <x:v>CoreWebView2.NavigationCompleted += OnDone</x:v>
      </x:c>
      <x:c r="D18" s="8" t="str">
        <x:v>unknown</x:v>
      </x:c>
      <x:c r="E18" s="8" t="str">
        <x:v>open</x:v>
      </x:c>
      <x:c r="F18" s="8" t="str">
        <x:v>Ben</x:v>
      </x:c>
      <x:c r="G18" s="8" t="str">
        <x:v>1.0.2478</x:v>
      </x:c>
      <x:c r="H18" s="8" t="str">
        <x:v>C:\apps\WebViewHost\Profiles</x:v>
      </x:c>
      <x:c r="I18" s="8" t="n">
        <x:v>63</x:v>
      </x:c>
      <x:c r="J18" s="8"/>
      <x:c r="K18" s="8"/>
    </x:row>
    <x:row r="19">
      <x:c r="A19" s="8" t="str">
        <x:v>message</x:v>
      </x:c>
      <x:c r="B19" s="8" t="str">
        <x:v>works only after first navigation</x:v>
      </x:c>
      <x:c r="C19" s="8" t="str">
        <x:v>CoreWebView2.PostWebMessageAsString(payload)</x:v>
      </x:c>
      <x:c r="D19" s="8" t="str">
        <x:v>unknown</x:v>
      </x:c>
      <x:c r="E19" s="8" t="str">
        <x:v>blocked</x:v>
      </x:c>
      <x:c r="F19" s="8" t="str">
        <x:v>Carla</x:v>
      </x:c>
      <x:c r="G19" s="8" t="str">
        <x:v>1.0.2210</x:v>
      </x:c>
      <x:c r="H19" s="8" t="str">
        <x:v>C:\apps\WebViewHost\Profiles</x:v>
      </x:c>
      <x:c r="I19" s="8" t="n">
        <x:v>915</x:v>
      </x:c>
      <x:c r="J19" s="8"/>
      <x:c r="K19" s="8" t="str">
        <x:v>https://developer.android.com/reference/android/webkit/WebView</x:v>
      </x:c>
    </x:row>
    <x:row r="20">
      <x:c r="A20" s="8" t="str">
        <x:v>message</x:v>
      </x:c>
      <x:c r="B20" s="8" t="str">
        <x:v>callback arrives on UI thread</x:v>
      </x:c>
      <x:c r="C20" s="8" t="str">
        <x:v>CoreWebView2.AddHostObjectToScript(name, value)</x:v>
      </x:c>
      <x:c r="D20" s="8" t="str">
        <x:v>unknown</x:v>
      </x:c>
      <x:c r="E20" s="8" t="str">
        <x:v>needs reproduction</x:v>
      </x:c>
      <x:c r="F20" s="8" t="str">
        <x:v>Ben</x:v>
      </x:c>
      <x:c r="G20" s="8" t="str">
        <x:v>evergreen</x:v>
      </x:c>
      <x:c r="H20" s="8"/>
      <x:c r="I20" s="8" t="n">
        <x:v>544</x:v>
      </x:c>
      <x:c r="J20" s="8" t="str">
        <x:v>This sentence is long enough to exercise wrapping and downstream chunk boundaries in Markdown output.</x:v>
      </x:c>
      <x:c r="K20" s="8"/>
    </x:row>
    <x:row r="21">
      <x:c r="A21" s="8" t="str">
        <x:v>script</x:v>
      </x:c>
      <x:c r="B21" s="8" t="str">
        <x:v>message is dropped after reload</x:v>
      </x:c>
      <x:c r="C21" s="8" t="str">
        <x:v>CoreWebView2.PostWebMessageAsString(payload)</x:v>
      </x:c>
      <x:c r="D21" s="8" t="str">
        <x:v>background</x:v>
      </x:c>
      <x:c r="E21" s="8" t="str">
        <x:v>investigating</x:v>
      </x:c>
      <x:c r="F21" s="8" t="str">
        <x:v>Asha</x:v>
      </x:c>
      <x:c r="G21" s="8" t="str">
        <x:v>1.0.1901</x:v>
      </x:c>
      <x:c r="H21" s="8" t="str">
        <x:v>C:\apps\WebViewHost\Cache</x:v>
      </x:c>
      <x:c r="I21" s="8" t="n">
        <x:v>806</x:v>
      </x:c>
      <x:c r="J21" s="8" t="str">
        <x:v>This sentence is long enough to exercise wrapping and downstream chunk boundaries in Markdown output.</x:v>
      </x:c>
      <x:c r="K21" s="8"/>
    </x:row>
    <x:row r="22">
      <x:c r="A22" s="8" t="str">
        <x:v>cookie</x:v>
      </x:c>
      <x:c r="B22" s="8" t="str">
        <x:v>message is dropped after reload</x:v>
      </x:c>
      <x:c r="C22" s="8" t="str">
        <x:v>CoreWebView2.NavigationCompleted += OnDone</x:v>
      </x:c>
      <x:c r="D22" s="8" t="str">
        <x:v>UI</x:v>
      </x:c>
      <x:c r="E22" s="8" t="str">
        <x:v>investigating</x:v>
      </x:c>
      <x:c r="F22" s="8" t="str">
        <x:v>Diego</x:v>
      </x:c>
      <x:c r="G22" s="8" t="str">
        <x:v>1.0.2478</x:v>
      </x:c>
      <x:c r="H22" s="8"/>
      <x:c r="I22" s="8" t="n">
        <x:v>369</x:v>
      </x:c>
      <x:c r="J22" s="8" t="str">
        <x:v>Observed in a local test run: the content rendered, but the console warning appeared twice.</x:v>
      </x:c>
      <x:c r="K22" s="8"/>
    </x:row>
    <x:row r="23">
      <x:c r="A23" s="8" t="str">
        <x:v>cookie</x:v>
      </x:c>
      <x:c r="B23" s="8" t="str">
        <x:v>works only after first navigation</x:v>
      </x:c>
      <x:c r="C23" s="8" t="str">
        <x:v>CoreWebView2.AddHostObjectToScript(name, value)</x:v>
      </x:c>
      <x:c r="D23" s="8" t="str">
        <x:v>background</x:v>
      </x:c>
      <x:c r="E23" s="8" t="str">
        <x:v>resolved</x:v>
      </x:c>
      <x:c r="F23" s="8" t="str">
        <x:v>Carla</x:v>
      </x:c>
      <x:c r="G23" s="8" t="str">
        <x:v>1.0.1901</x:v>
      </x:c>
      <x:c r="H23" s="8" t="str">
        <x:v>C:\apps\WebViewHost\Assets</x:v>
      </x:c>
      <x:c r="I23" s="8" t="n">
        <x:v>554</x:v>
      </x:c>
      <x:c r="J23" s="8" t="str">
        <x:v>The owner field was not captured in the original notes, so classification should remain conservative.</x:v>
      </x:c>
      <x:c r="K23" s="8" t="str">
        <x:v>https://developer.microsoft.com/en-us/microsoft-edge/webview2/</x:v>
      </x:c>
    </x:row>
    <x:row r="24">
      <x:c r="A24" s="8" t="str">
        <x:v>download</x:v>
      </x:c>
      <x:c r="B24" s="8" t="str">
        <x:v>works only after first navigation</x:v>
      </x:c>
      <x:c r="C24" s="8" t="str">
        <x:v>CoreWebView2.NavigationCompleted += OnDone</x:v>
      </x:c>
      <x:c r="D24" s="8" t="str">
        <x:v>unknown</x:v>
      </x:c>
      <x:c r="E24" s="8" t="str">
        <x:v>open</x:v>
      </x:c>
      <x:c r="F24" s="8" t="str">
        <x:v>Carla</x:v>
      </x:c>
      <x:c r="G24" s="8" t="str">
        <x:v>1.0.2478</x:v>
      </x:c>
      <x:c r="H24" s="8"/>
      <x:c r="I24" s="8"/>
      <x:c r="J24" s="8" t="str">
        <x:v>This sentence is long enough to exercise wrapping and downstream chunk boundaries in Markdown output.</x:v>
      </x:c>
      <x:c r="K24" s="8" t="str">
        <x:v>https://github.com/react-native-webview/react-native-webview</x:v>
      </x:c>
    </x:row>
    <x:row r="25">
      <x:c r="A25" s="8" t="str">
        <x:v>script</x:v>
      </x:c>
      <x:c r="B25" s="8" t="str">
        <x:v>handler is registered too late</x:v>
      </x:c>
      <x:c r="C25" s="8" t="str">
        <x:v>CoreWebView2.NavigationCompleted += OnDone</x:v>
      </x:c>
      <x:c r="D25" s="8" t="str">
        <x:v>UI</x:v>
      </x:c>
      <x:c r="E25" s="8" t="str">
        <x:v>investigating</x:v>
      </x:c>
      <x:c r="F25" s="8" t="str">
        <x:v>Diego</x:v>
      </x:c>
      <x:c r="G25" s="8" t="str">
        <x:v>1.0.2210</x:v>
      </x:c>
      <x:c r="H25" s="8"/>
      <x:c r="I25" s="8"/>
      <x:c r="J25" s="8"/>
      <x:c r="K25" s="8"/>
    </x:row>
    <x:row r="26">
      <x:c r="A26" s="8" t="str">
        <x:v>permission</x:v>
      </x:c>
      <x:c r="B26" s="8" t="str">
        <x:v>script returns a quoted JSON string</x:v>
      </x:c>
      <x:c r="C26" s="8" t="str">
        <x:v>CoreWebView2.NavigationCompleted += OnDone</x:v>
      </x:c>
      <x:c r="D26" s="8" t="str">
        <x:v>UI</x:v>
      </x:c>
      <x:c r="E26" s="8" t="str">
        <x:v>needs reproduction</x:v>
      </x:c>
      <x:c r="F26" s="8" t="str">
        <x:v>No owner</x:v>
      </x:c>
      <x:c r="G26" s="8" t="str">
        <x:v>1.0.2210</x:v>
      </x:c>
      <x:c r="H26" s="8"/>
      <x:c r="I26" s="8"/>
      <x:c r="J26" s="8"/>
      <x:c r="K26" s="8"/>
    </x:row>
    <x:row r="27">
      <x:c r="A27" s="8" t="str">
        <x:v>permission</x:v>
      </x:c>
      <x:c r="B27" s="8" t="str">
        <x:v>handler is registered too late</x:v>
      </x:c>
      <x:c r="C27" s="8" t="str">
        <x:v>CoreWebView2.NavigationCompleted += OnDone</x:v>
      </x:c>
      <x:c r="D27" s="8" t="str">
        <x:v>unknown</x:v>
      </x:c>
      <x:c r="E27" s="8" t="str">
        <x:v>resolved</x:v>
      </x:c>
      <x:c r="F27" s="8" t="str">
        <x:v>Ben</x:v>
      </x:c>
      <x:c r="G27" s="8" t="str">
        <x:v>1.0.2210</x:v>
      </x:c>
      <x:c r="H27" s="8"/>
      <x:c r="I27" s="8" t="n">
        <x:v>786</x:v>
      </x:c>
      <x:c r="J27" s="8"/>
      <x:c r="K27" s="8"/>
    </x:row>
    <x:row r="28">
      <x:c r="A28" s="8" t="str">
        <x:v>navigation</x:v>
      </x:c>
      <x:c r="B28" s="8" t="str">
        <x:v>works only after first navigation</x:v>
      </x:c>
      <x:c r="C28" s="8" t="str">
        <x:v>await CoreWebView2.ExecuteScriptAsync(js)</x:v>
      </x:c>
      <x:c r="D28" s="8" t="str">
        <x:v>unknown</x:v>
      </x:c>
      <x:c r="E28" s="8" t="str">
        <x:v>open</x:v>
      </x:c>
      <x:c r="F28" s="8" t="str">
        <x:v>Diego</x:v>
      </x:c>
      <x:c r="G28" s="8" t="str">
        <x:v>1.0.1901</x:v>
      </x:c>
      <x:c r="H28" s="8"/>
      <x:c r="I28" s="8" t="n">
        <x:v>232</x:v>
      </x:c>
      <x:c r="J28" s="8" t="str">
        <x:v>Verify behavior on a cold start and after the page reloads without destroying the native view.</x:v>
      </x:c>
      <x:c r="K28" s="8"/>
    </x:row>
    <x:row r="29">
      <x:c r="A29" s="8" t="str">
        <x:v>download</x:v>
      </x:c>
      <x:c r="B29" s="8" t="str">
        <x:v>message is dropped after reload</x:v>
      </x:c>
      <x:c r="C29" s="8" t="str">
        <x:v>CoreWebView2.NavigationCompleted += OnDone</x:v>
      </x:c>
      <x:c r="D29" s="8" t="str">
        <x:v>UI</x:v>
      </x:c>
      <x:c r="E29" s="8" t="str">
        <x:v>blocked</x:v>
      </x:c>
      <x:c r="F29" s="8" t="str">
        <x:v>No owner</x:v>
      </x:c>
      <x:c r="G29" s="8" t="str">
        <x:v>1.0.2210</x:v>
      </x:c>
      <x:c r="H29" s="8"/>
      <x:c r="I29" s="8" t="n">
        <x:v>588</x:v>
      </x:c>
      <x:c r="J29" s="8"/>
      <x:c r="K29" s="8"/>
    </x:row>
    <x:row r="30">
      <x:c r="A30" s="8" t="str">
        <x:v>navigation</x:v>
      </x:c>
      <x:c r="B30" s="8" t="str">
        <x:v>handler is registered too late</x:v>
      </x:c>
      <x:c r="C30" s="8" t="str">
        <x:v>CoreWebView2.NavigationCompleted += OnDone</x:v>
      </x:c>
      <x:c r="D30" s="8" t="str">
        <x:v>unknown</x:v>
      </x:c>
      <x:c r="E30" s="8" t="str">
        <x:v>investigating</x:v>
      </x:c>
      <x:c r="F30" s="8" t="str">
        <x:v>Carla</x:v>
      </x:c>
      <x:c r="G30" s="8" t="str">
        <x:v>1.0.2478</x:v>
      </x:c>
      <x:c r="H30" s="8" t="str">
        <x:v>C:\apps\WebViewHost\Assets</x:v>
      </x:c>
      <x:c r="I30" s="8" t="n">
        <x:v>675</x:v>
      </x:c>
      <x:c r="J30" s="8"/>
      <x:c r="K30" s="8"/>
    </x:row>
    <x:row r="31">
      <x:c r="A31" s="8" t="str">
        <x:v>message</x:v>
      </x:c>
      <x:c r="B31" s="8" t="str">
        <x:v>handler is registered too late</x:v>
      </x:c>
      <x:c r="C31" s="8" t="str">
        <x:v>CoreWebView2.NavigationCompleted += OnDone</x:v>
      </x:c>
      <x:c r="D31" s="8" t="str">
        <x:v>UI</x:v>
      </x:c>
      <x:c r="E31" s="8" t="str">
        <x:v>needs reproduction</x:v>
      </x:c>
      <x:c r="F31" s="8" t="str">
        <x:v>Carla</x:v>
      </x:c>
      <x:c r="G31" s="8" t="str">
        <x:v>1.0.2210</x:v>
      </x:c>
      <x:c r="H31" s="8"/>
      <x:c r="I31" s="8" t="n">
        <x:v>484</x:v>
      </x:c>
      <x:c r="J31" s="8" t="str">
        <x:v>Verify behavior on a cold start and after the page reloads without destroying the native view.</x:v>
      </x:c>
      <x:c r="K31" s="8" t="str">
        <x:v>https://github.com/react-native-webview/react-native-webview</x:v>
      </x:c>
    </x:row>
    <x:row r="32">
      <x:c r="A32" s="8" t="str">
        <x:v>permission</x:v>
      </x:c>
      <x:c r="B32" s="8" t="str">
        <x:v>works only after first navigation</x:v>
      </x:c>
      <x:c r="C32" s="8" t="str">
        <x:v>CoreWebView2.AddHostObjectToScript(name, value)</x:v>
      </x:c>
      <x:c r="D32" s="8" t="str">
        <x:v>background</x:v>
      </x:c>
      <x:c r="E32" s="8" t="str">
        <x:v>blocked</x:v>
      </x:c>
      <x:c r="F32" s="8" t="str">
        <x:v>Asha</x:v>
      </x:c>
      <x:c r="G32" s="8" t="str">
        <x:v>1.0.2210</x:v>
      </x:c>
      <x:c r="H32" s="8" t="str">
        <x:v>C:\apps\WebViewHost\Profiles</x:v>
      </x:c>
      <x:c r="I32" s="8" t="n">
        <x:v>518</x:v>
      </x:c>
      <x:c r="J32" s="8" t="str">
        <x:v>A blank cell here is intentional. The source workbook has notes placed away from the nearest table.</x:v>
      </x:c>
      <x:c r="K32" s="8"/>
    </x:row>
    <x:row r="33">
      <x:c r="A33" s="8" t="str">
        <x:v>permission</x:v>
      </x:c>
      <x:c r="B33" s="8" t="str">
        <x:v>works only after first navigation</x:v>
      </x:c>
      <x:c r="C33" s="8" t="str">
        <x:v>CoreWebView2.NavigationCompleted += OnDone</x:v>
      </x:c>
      <x:c r="D33" s="8" t="str">
        <x:v>background</x:v>
      </x:c>
      <x:c r="E33" s="8" t="str">
        <x:v>needs reproduction</x:v>
      </x:c>
      <x:c r="F33" s="8" t="str">
        <x:v>Diego</x:v>
      </x:c>
      <x:c r="G33" s="8" t="str">
        <x:v>1.0.2210</x:v>
      </x:c>
      <x:c r="H33" s="8"/>
      <x:c r="I33" s="8" t="n">
        <x:v>746</x:v>
      </x:c>
      <x:c r="J33" s="8" t="str">
        <x:v>The bridge callback is stable for small payloads, but large JSON messages show visible delay during navigation.</x:v>
      </x:c>
      <x:c r="K33" s="8"/>
    </x:row>
    <x:row r="34">
      <x:c r="A34" s="8"/>
      <x:c r="B34" s="8"/>
      <x:c r="C34" s="8"/>
      <x:c r="D34" s="8"/>
      <x:c r="E34" s="8"/>
      <x:c r="F34" s="8"/>
      <x:c r="G34" s="8"/>
      <x:c r="H34" s="8"/>
      <x:c r="I34" s="8"/>
      <x:c r="J34" s="8"/>
      <x:c r="K34" s="8"/>
    </x:row>
    <x:row r="35">
      <x:c r="A35" s="8" t="str">
        <x:v>navigation</x:v>
      </x:c>
      <x:c r="B35" s="8" t="str">
        <x:v>callback arrives on UI thread</x:v>
      </x:c>
      <x:c r="C35" s="8" t="str">
        <x:v>CoreWebView2.PostWebMessageAsString(payload)</x:v>
      </x:c>
      <x:c r="D35" s="8" t="str">
        <x:v>UI</x:v>
      </x:c>
      <x:c r="E35" s="8" t="str">
        <x:v>investigating</x:v>
      </x:c>
      <x:c r="F35" s="8" t="str">
        <x:v>Ben</x:v>
      </x:c>
      <x:c r="G35" s="8" t="str">
        <x:v>evergreen</x:v>
      </x:c>
      <x:c r="H35" s="8"/>
      <x:c r="I35" s="8" t="n">
        <x:v>471</x:v>
      </x:c>
      <x:c r="J35" s="8"/>
      <x:c r="K35" s="8"/>
    </x:row>
    <x:row r="36">
      <x:c r="A36" s="8" t="str">
        <x:v>permission</x:v>
      </x:c>
      <x:c r="B36" s="8" t="str">
        <x:v>script returns a quoted JSON string</x:v>
      </x:c>
      <x:c r="C36" s="8" t="str">
        <x:v>await CoreWebView2.ExecuteScriptAsync(js)</x:v>
      </x:c>
      <x:c r="D36" s="8" t="str">
        <x:v>background</x:v>
      </x:c>
      <x:c r="E36" s="8" t="str">
        <x:v>blocked</x:v>
      </x:c>
      <x:c r="F36" s="8" t="str">
        <x:v>Asha</x:v>
      </x:c>
      <x:c r="G36" s="8" t="str">
        <x:v>1.0.2478</x:v>
      </x:c>
      <x:c r="H36" s="8"/>
      <x:c r="I36" s="8" t="n">
        <x:v>142</x:v>
      </x:c>
      <x:c r="J36" s="8"/>
      <x:c r="K36" s="8"/>
    </x:row>
    <x:row r="37">
      <x:c r="A37" s="8" t="str">
        <x:v>script</x:v>
      </x:c>
      <x:c r="B37" s="8" t="str">
        <x:v>script returns a quoted JSON string</x:v>
      </x:c>
      <x:c r="C37" s="8" t="str">
        <x:v>await CoreWebView2.ExecuteScriptAsync(js)</x:v>
      </x:c>
      <x:c r="D37" s="8" t="str">
        <x:v>background</x:v>
      </x:c>
      <x:c r="E37" s="8" t="str">
        <x:v>needs reproduction</x:v>
      </x:c>
      <x:c r="F37" s="8" t="str">
        <x:v>Carla</x:v>
      </x:c>
      <x:c r="G37" s="8" t="str">
        <x:v>1.0.2478</x:v>
      </x:c>
      <x:c r="H37" s="8" t="str">
        <x:v>C:\apps\WebViewHost\Assets</x:v>
      </x:c>
      <x:c r="I37" s="8"/>
      <x:c r="J37" s="8"/>
      <x:c r="K37" s="8" t="str">
        <x:v>https://developer.microsoft.com/en-us/microsoft-edge/webview2/</x:v>
      </x:c>
    </x:row>
    <x:row r="38">
      <x:c r="A38" s="8" t="str">
        <x:v>script</x:v>
      </x:c>
      <x:c r="B38" s="8" t="str">
        <x:v>message is dropped after reload</x:v>
      </x:c>
      <x:c r="C38" s="8" t="str">
        <x:v>await CoreWebView2.ExecuteScriptAsync(js)</x:v>
      </x:c>
      <x:c r="D38" s="8" t="str">
        <x:v>UI</x:v>
      </x:c>
      <x:c r="E38" s="8" t="str">
        <x:v>open</x:v>
      </x:c>
      <x:c r="F38" s="8" t="str">
        <x:v>Ben</x:v>
      </x:c>
      <x:c r="G38" s="8" t="str">
        <x:v>1.0.1901</x:v>
      </x:c>
      <x:c r="H38" s="8" t="str">
        <x:v>C:\apps\WebViewHost\Cache</x:v>
      </x:c>
      <x:c r="I38" s="8"/>
      <x:c r="J38" s="8"/>
      <x:c r="K38" s="8"/>
    </x:row>
    <x:row r="39">
      <x:c r="A39" s="8" t="str">
        <x:v>download</x:v>
      </x:c>
      <x:c r="B39" s="8" t="str">
        <x:v>works only after first navigation</x:v>
      </x:c>
      <x:c r="C39" s="8" t="str">
        <x:v>CoreWebView2.AddHostObjectToScript(name, value)</x:v>
      </x:c>
      <x:c r="D39" s="8" t="str">
        <x:v>unknown</x:v>
      </x:c>
      <x:c r="E39" s="8" t="str">
        <x:v>needs reproduction</x:v>
      </x:c>
      <x:c r="F39" s="8" t="str">
        <x:v>Carla</x:v>
      </x:c>
      <x:c r="G39" s="8" t="str">
        <x:v>evergreen</x:v>
      </x:c>
      <x:c r="H39" s="8" t="str">
        <x:v>C:\apps\WebViewHost\Profiles</x:v>
      </x:c>
      <x:c r="I39" s="8" t="n">
        <x:v>423</x:v>
      </x:c>
      <x:c r="J39" s="8"/>
      <x:c r="K39" s="8"/>
    </x:row>
    <x:row r="40">
      <x:c r="A40" s="8" t="str">
        <x:v>navigation</x:v>
      </x:c>
      <x:c r="B40" s="8" t="str">
        <x:v>callback arrives on UI thread</x:v>
      </x:c>
      <x:c r="C40" s="8" t="str">
        <x:v>CoreWebView2.AddHostObjectToScript(name, value)</x:v>
      </x:c>
      <x:c r="D40" s="8" t="str">
        <x:v>background</x:v>
      </x:c>
      <x:c r="E40" s="8" t="str">
        <x:v>open</x:v>
      </x:c>
      <x:c r="F40" s="8" t="str">
        <x:v>Ben</x:v>
      </x:c>
      <x:c r="G40" s="8" t="str">
        <x:v>1.0.1901</x:v>
      </x:c>
      <x:c r="H40" s="8"/>
      <x:c r="I40" s="8"/>
      <x:c r="J40" s="8" t="str">
        <x:v>Verify behavior on a cold start and after the page reloads without destroying the native view.</x:v>
      </x:c>
      <x:c r="K40" s="8"/>
    </x:row>
    <x:row r="41">
      <x:c r="A41" s="8" t="str">
        <x:v>download</x:v>
      </x:c>
      <x:c r="B41" s="8" t="str">
        <x:v>callback arrives on UI thread</x:v>
      </x:c>
      <x:c r="C41" s="8" t="str">
        <x:v>CoreWebView2.PostWebMessageAsString(payload)</x:v>
      </x:c>
      <x:c r="D41" s="8" t="str">
        <x:v>UI</x:v>
      </x:c>
      <x:c r="E41" s="8" t="str">
        <x:v>investigating</x:v>
      </x:c>
      <x:c r="F41" s="8" t="str">
        <x:v>Mei</x:v>
      </x:c>
      <x:c r="G41" s="8" t="str">
        <x:v>1.0.1901</x:v>
      </x:c>
      <x:c r="H41" s="8"/>
      <x:c r="I41" s="8"/>
      <x:c r="J41" s="8" t="str">
        <x:v>Potential duplicate: this paragraph is repeated in another section to test deduplication and chunk metadata.</x:v>
      </x:c>
      <x:c r="K41" s="8" t="str">
        <x:v>https://developer.microsoft.com/en-us/microsoft-edge/webview2/</x:v>
      </x:c>
    </x:row>
    <x:row r="42">
      <x:c r="A42" s="8" t="str">
        <x:v>message</x:v>
      </x:c>
      <x:c r="B42" s="8" t="str">
        <x:v>works only after first navigation</x:v>
      </x:c>
      <x:c r="C42" s="8" t="str">
        <x:v>await CoreWebView2.ExecuteScriptAsync(js)</x:v>
      </x:c>
      <x:c r="D42" s="8" t="str">
        <x:v>UI</x:v>
      </x:c>
      <x:c r="E42" s="8" t="str">
        <x:v>investigating</x:v>
      </x:c>
      <x:c r="F42" s="8" t="str">
        <x:v>Asha</x:v>
      </x:c>
      <x:c r="G42" s="8" t="str">
        <x:v>1.0.2478</x:v>
      </x:c>
      <x:c r="H42" s="8"/>
      <x:c r="I42" s="8" t="n">
        <x:v>636</x:v>
      </x:c>
      <x:c r="J42" s="8" t="str">
        <x:v>Potential duplicate: this paragraph is repeated in another section to test deduplication and chunk metadata.</x:v>
      </x:c>
      <x:c r="K42" s="8"/>
    </x:row>
    <x:row r="43">
      <x:c r="A43" s="8" t="str">
        <x:v>host object</x:v>
      </x:c>
      <x:c r="B43" s="8" t="str">
        <x:v>works only after first navigation</x:v>
      </x:c>
      <x:c r="C43" s="8" t="str">
        <x:v>await CoreWebView2.ExecuteScriptAsync(js)</x:v>
      </x:c>
      <x:c r="D43" s="8" t="str">
        <x:v>UI</x:v>
      </x:c>
      <x:c r="E43" s="8" t="str">
        <x:v>investigating</x:v>
      </x:c>
      <x:c r="F43" s="8" t="str">
        <x:v>Carla</x:v>
      </x:c>
      <x:c r="G43" s="8" t="str">
        <x:v>1.0.2478</x:v>
      </x:c>
      <x:c r="H43" s="8" t="str">
        <x:v>C:\apps\WebViewHost\Profiles</x:v>
      </x:c>
      <x:c r="I43" s="8" t="n">
        <x:v>274</x:v>
      </x:c>
      <x:c r="J43" s="8" t="str">
        <x:v>The owner field was not captured in the original notes, so classification should remain conservative.</x:v>
      </x:c>
      <x:c r="K43" s="8"/>
    </x:row>
    <x:row r="44">
      <x:c r="A44" s="8" t="str">
        <x:v>host object</x:v>
      </x:c>
      <x:c r="B44" s="8" t="str">
        <x:v>works only after first navigation</x:v>
      </x:c>
      <x:c r="C44" s="8" t="str">
        <x:v>CoreWebView2.PostWebMessageAsString(payload)</x:v>
      </x:c>
      <x:c r="D44" s="8" t="str">
        <x:v>unknown</x:v>
      </x:c>
      <x:c r="E44" s="8" t="str">
        <x:v>needs reproduction</x:v>
      </x:c>
      <x:c r="F44" s="8" t="str">
        <x:v>Mei</x:v>
      </x:c>
      <x:c r="G44" s="8" t="str">
        <x:v>1.0.2478</x:v>
      </x:c>
      <x:c r="H44" s="8" t="str">
        <x:v>C:\apps\WebViewHost\Assets</x:v>
      </x:c>
      <x:c r="I44" s="8" t="n">
        <x:v>255</x:v>
      </x:c>
      <x:c r="J44" s="8"/>
      <x:c r="K44" s="8"/>
    </x:row>
    <x:row r="45">
      <x:c r="A45" s="8" t="str">
        <x:v>script</x:v>
      </x:c>
      <x:c r="B45" s="8" t="str">
        <x:v>script returns a quoted JSON string</x:v>
      </x:c>
      <x:c r="C45" s="8" t="str">
        <x:v>await CoreWebView2.ExecuteScriptAsync(js)</x:v>
      </x:c>
      <x:c r="D45" s="8" t="str">
        <x:v>background</x:v>
      </x:c>
      <x:c r="E45" s="8" t="str">
        <x:v>needs reproduction</x:v>
      </x:c>
      <x:c r="F45" s="8" t="str">
        <x:v>Diego</x:v>
      </x:c>
      <x:c r="G45" s="8" t="str">
        <x:v>1.0.1901</x:v>
      </x:c>
      <x:c r="H45" s="8"/>
      <x:c r="I45" s="8"/>
      <x:c r="J45" s="8" t="str">
        <x:v>Potential duplicate: this paragraph is repeated in another section to test deduplication and chunk metadata.</x:v>
      </x:c>
      <x:c r="K45" s="8"/>
    </x:row>
    <x:row r="46">
      <x:c r="A46" s="8" t="str">
        <x:v>download</x:v>
      </x:c>
      <x:c r="B46" s="8" t="str">
        <x:v>script returns a quoted JSON string</x:v>
      </x:c>
      <x:c r="C46" s="8" t="str">
        <x:v>CoreWebView2.AddHostObjectToScript(name, value)</x:v>
      </x:c>
      <x:c r="D46" s="8" t="str">
        <x:v>UI</x:v>
      </x:c>
      <x:c r="E46" s="8" t="str">
        <x:v>open</x:v>
      </x:c>
      <x:c r="F46" s="8" t="str">
        <x:v>Diego</x:v>
      </x:c>
      <x:c r="G46" s="8" t="str">
        <x:v>1.0.2210</x:v>
      </x:c>
      <x:c r="H46" s="8" t="str">
        <x:v>C:\apps\WebViewHost\Cache</x:v>
      </x:c>
      <x:c r="I46" s="8" t="n">
        <x:v>288</x:v>
      </x:c>
      <x:c r="J46" s="8"/>
      <x:c r="K46" s="8"/>
    </x:row>
    <x:row r="47">
      <x:c r="A47" s="8" t="str">
        <x:v>host object</x:v>
      </x:c>
      <x:c r="B47" s="8" t="str">
        <x:v>works only after first navigation</x:v>
      </x:c>
      <x:c r="C47" s="8" t="str">
        <x:v>CoreWebView2.PostWebMessageAsString(payload)</x:v>
      </x:c>
      <x:c r="D47" s="8" t="str">
        <x:v>UI</x:v>
      </x:c>
      <x:c r="E47" s="8" t="str">
        <x:v>blocked</x:v>
      </x:c>
      <x:c r="F47" s="8" t="str">
        <x:v>Asha</x:v>
      </x:c>
      <x:c r="G47" s="8" t="str">
        <x:v>1.0.2478</x:v>
      </x:c>
      <x:c r="H47" s="8"/>
      <x:c r="I47" s="8" t="n">
        <x:v>723</x:v>
      </x:c>
      <x:c r="J47" s="8" t="str">
        <x:v>This sentence is long enough to exercise wrapping and downstream chunk boundaries in Markdown output.</x:v>
      </x:c>
      <x:c r="K47" s="8"/>
    </x:row>
    <x:row r="48">
      <x:c r="A48" s="8" t="str">
        <x:v>script</x:v>
      </x:c>
      <x:c r="B48" s="8" t="str">
        <x:v>message is dropped after reload</x:v>
      </x:c>
      <x:c r="C48" s="8" t="str">
        <x:v>CoreWebView2.NavigationCompleted += OnDone</x:v>
      </x:c>
      <x:c r="D48" s="8" t="str">
        <x:v>UI</x:v>
      </x:c>
      <x:c r="E48" s="8" t="str">
        <x:v>needs reproduction</x:v>
      </x:c>
      <x:c r="F48" s="8" t="str">
        <x:v>Ben</x:v>
      </x:c>
      <x:c r="G48" s="8" t="str">
        <x:v>1.0.2210</x:v>
      </x:c>
      <x:c r="H48" s="8"/>
      <x:c r="I48" s="8"/>
      <x:c r="J48" s="8"/>
      <x:c r="K48" s="8"/>
    </x:row>
    <x:row r="49">
      <x:c r="A49" s="8" t="str">
        <x:v>download</x:v>
      </x:c>
      <x:c r="B49" s="8" t="str">
        <x:v>message is dropped after reload</x:v>
      </x:c>
      <x:c r="C49" s="8" t="str">
        <x:v>CoreWebView2.AddHostObjectToScript(name, value)</x:v>
      </x:c>
      <x:c r="D49" s="8" t="str">
        <x:v>unknown</x:v>
      </x:c>
      <x:c r="E49" s="8" t="str">
        <x:v>needs reproduction</x:v>
      </x:c>
      <x:c r="F49" s="8" t="str">
        <x:v>Ben</x:v>
      </x:c>
      <x:c r="G49" s="8" t="str">
        <x:v>evergreen</x:v>
      </x:c>
      <x:c r="H49" s="8"/>
      <x:c r="I49" s="8"/>
      <x:c r="J49" s="8"/>
      <x:c r="K49" s="8"/>
    </x:row>
    <x:row r="50">
      <x:c r="A50" s="8" t="str">
        <x:v>permission</x:v>
      </x:c>
      <x:c r="B50" s="8" t="str">
        <x:v>works only after first navigation</x:v>
      </x:c>
      <x:c r="C50" s="8" t="str">
        <x:v>await CoreWebView2.ExecuteScriptAsync(js)</x:v>
      </x:c>
      <x:c r="D50" s="8" t="str">
        <x:v>UI</x:v>
      </x:c>
      <x:c r="E50" s="8" t="str">
        <x:v>blocked</x:v>
      </x:c>
      <x:c r="F50" s="8" t="str">
        <x:v>Asha</x:v>
      </x:c>
      <x:c r="G50" s="8" t="str">
        <x:v>1.0.2210</x:v>
      </x:c>
      <x:c r="H50" s="8"/>
      <x:c r="I50" s="8" t="n">
        <x:v>829</x:v>
      </x:c>
      <x:c r="J50" s="8" t="str">
        <x:v>The bridge callback is stable for small payloads, but large JSON messages show visible delay during navigation.</x:v>
      </x:c>
      <x:c r="K50" s="8"/>
    </x:row>
    <x:row r="51">
      <x:c r="A51" s="8" t="str">
        <x:v>navigation</x:v>
      </x:c>
      <x:c r="B51" s="8" t="str">
        <x:v>handler is registered too late</x:v>
      </x:c>
      <x:c r="C51" s="8" t="str">
        <x:v>await CoreWebView2.ExecuteScriptAsync(js)</x:v>
      </x:c>
      <x:c r="D51" s="8" t="str">
        <x:v>UI</x:v>
      </x:c>
      <x:c r="E51" s="8" t="str">
        <x:v>needs reproduction</x:v>
      </x:c>
      <x:c r="F51" s="8" t="str">
        <x:v>Ben</x:v>
      </x:c>
      <x:c r="G51" s="8" t="str">
        <x:v>1.0.2478</x:v>
      </x:c>
      <x:c r="H51" s="8"/>
      <x:c r="I51" s="8" t="n">
        <x:v>760</x:v>
      </x:c>
      <x:c r="J51" s="8"/>
      <x:c r="K51" s="8" t="str">
        <x:v>https://github.com/react-native-webview/react-native-webview</x:v>
      </x:c>
    </x:row>
    <x:row r="52">
      <x:c r="A52" s="8" t="str">
        <x:v>cookie</x:v>
      </x:c>
      <x:c r="B52" s="8" t="str">
        <x:v>callback arrives on UI thread</x:v>
      </x:c>
      <x:c r="C52" s="8" t="str">
        <x:v>CoreWebView2.AddHostObjectToScript(name, value)</x:v>
      </x:c>
      <x:c r="D52" s="8" t="str">
        <x:v>unknown</x:v>
      </x:c>
      <x:c r="E52" s="8" t="str">
        <x:v>blocked</x:v>
      </x:c>
      <x:c r="F52" s="8" t="str">
        <x:v>Asha</x:v>
      </x:c>
      <x:c r="G52" s="8" t="str">
        <x:v>1.0.2478</x:v>
      </x:c>
      <x:c r="H52" s="8" t="str">
        <x:v>C:\apps\WebViewHost\Cache</x:v>
      </x:c>
      <x:c r="I52" s="8" t="n">
        <x:v>790</x:v>
      </x:c>
      <x:c r="J52" s="8"/>
      <x:c r="K52" s="8"/>
    </x:row>
    <x:row r="53">
      <x:c r="A53" s="8" t="str">
        <x:v>cookie</x:v>
      </x:c>
      <x:c r="B53" s="8" t="str">
        <x:v>callback arrives on UI thread</x:v>
      </x:c>
      <x:c r="C53" s="8" t="str">
        <x:v>CoreWebView2.NavigationCompleted += OnDone</x:v>
      </x:c>
      <x:c r="D53" s="8" t="str">
        <x:v>UI</x:v>
      </x:c>
      <x:c r="E53" s="8" t="str">
        <x:v>open</x:v>
      </x:c>
      <x:c r="F53" s="8" t="str">
        <x:v>Ben</x:v>
      </x:c>
      <x:c r="G53" s="8" t="str">
        <x:v>1.0.2210</x:v>
      </x:c>
      <x:c r="H53" s="8"/>
      <x:c r="I53" s="8" t="n">
        <x:v>308</x:v>
      </x:c>
      <x:c r="J53" s="8"/>
      <x:c r="K53" s="8"/>
    </x:row>
    <x:row r="54">
      <x:c r="A54" s="8" t="str">
        <x:v>script</x:v>
      </x:c>
      <x:c r="B54" s="8" t="str">
        <x:v>script returns a quoted JSON string</x:v>
      </x:c>
      <x:c r="C54" s="8" t="str">
        <x:v>await CoreWebView2.ExecuteScriptAsync(js)</x:v>
      </x:c>
      <x:c r="D54" s="8" t="str">
        <x:v>unknown</x:v>
      </x:c>
      <x:c r="E54" s="8" t="str">
        <x:v>resolved</x:v>
      </x:c>
      <x:c r="F54" s="8" t="str">
        <x:v>No owner</x:v>
      </x:c>
      <x:c r="G54" s="8" t="str">
        <x:v>1.0.2210</x:v>
      </x:c>
      <x:c r="H54" s="8" t="str">
        <x:v>C:\apps\WebViewHost\Cache</x:v>
      </x:c>
      <x:c r="I54" s="8" t="n">
        <x:v>176</x:v>
      </x:c>
      <x:c r="J54" s="8" t="str">
        <x:v>Follow-up: compare the result when the network security policy is relaxed versus when it is enforced.</x:v>
      </x:c>
      <x:c r="K54" s="8"/>
    </x:row>
    <x:row r="55">
      <x:c r="A55" s="8" t="str">
        <x:v>cookie</x:v>
      </x:c>
      <x:c r="B55" s="8" t="str">
        <x:v>handler is registered too late</x:v>
      </x:c>
      <x:c r="C55" s="8" t="str">
        <x:v>CoreWebView2.NavigationCompleted += OnDone</x:v>
      </x:c>
      <x:c r="D55" s="8" t="str">
        <x:v>unknown</x:v>
      </x:c>
      <x:c r="E55" s="8" t="str">
        <x:v>open</x:v>
      </x:c>
      <x:c r="F55" s="8" t="str">
        <x:v>Ben</x:v>
      </x:c>
      <x:c r="G55" s="8" t="str">
        <x:v>evergreen</x:v>
      </x:c>
      <x:c r="H55" s="8"/>
      <x:c r="I55" s="8" t="n">
        <x:v>760</x:v>
      </x:c>
      <x:c r="J55" s="8"/>
      <x:c r="K55" s="8" t="str">
        <x:v>https://developer.apple.com/documentation/webkit/wkwebview</x:v>
      </x:c>
    </x:row>
    <x:row r="56">
      <x:c r="A56" s="8" t="str">
        <x:v>cookie</x:v>
      </x:c>
      <x:c r="B56" s="8" t="str">
        <x:v>handler is registered too late</x:v>
      </x:c>
      <x:c r="C56" s="8" t="str">
        <x:v>CoreWebView2.PostWebMessageAsString(payload)</x:v>
      </x:c>
      <x:c r="D56" s="8" t="str">
        <x:v>background</x:v>
      </x:c>
      <x:c r="E56" s="8" t="str">
        <x:v>needs reproduction</x:v>
      </x:c>
      <x:c r="F56" s="8" t="str">
        <x:v>No owner</x:v>
      </x:c>
      <x:c r="G56" s="8" t="str">
        <x:v>1.0.2210</x:v>
      </x:c>
      <x:c r="H56" s="8"/>
      <x:c r="I56" s="8" t="n">
        <x:v>458</x:v>
      </x:c>
      <x:c r="J56" s="8"/>
      <x:c r="K56" s="8"/>
    </x:row>
    <x:row r="57">
      <x:c r="A57" s="8" t="str">
        <x:v>permission</x:v>
      </x:c>
      <x:c r="B57" s="8" t="str">
        <x:v>message is dropped after reload</x:v>
      </x:c>
      <x:c r="C57" s="8" t="str">
        <x:v>await CoreWebView2.ExecuteScriptAsync(js)</x:v>
      </x:c>
      <x:c r="D57" s="8" t="str">
        <x:v>unknown</x:v>
      </x:c>
      <x:c r="E57" s="8" t="str">
        <x:v>investigating</x:v>
      </x:c>
      <x:c r="F57" s="8" t="str">
        <x:v>Carla</x:v>
      </x:c>
      <x:c r="G57" s="8" t="str">
        <x:v>evergreen</x:v>
      </x:c>
      <x:c r="H57" s="8" t="str">
        <x:v>C:\apps\WebViewHost\Cache</x:v>
      </x:c>
      <x:c r="I57" s="8" t="n">
        <x:v>633</x:v>
      </x:c>
      <x:c r="J57" s="8" t="str">
        <x:v>The bridge callback is stable for small payloads, but large JSON messages show visible delay during navigation.</x:v>
      </x:c>
      <x:c r="K57" s="8"/>
    </x:row>
    <x:row r="58">
      <x:c r="A58" s="8"/>
      <x:c r="B58" s="8"/>
      <x:c r="C58" s="8"/>
      <x:c r="D58" s="8"/>
      <x:c r="E58" s="8"/>
      <x:c r="F58" s="8"/>
      <x:c r="G58" s="8"/>
      <x:c r="H58" s="8"/>
      <x:c r="I58" s="8"/>
      <x:c r="J58" s="8"/>
      <x:c r="K58" s="8"/>
    </x:row>
    <x:row r="59">
      <x:c r="A59" s="8" t="str">
        <x:v>cookie</x:v>
      </x:c>
      <x:c r="B59" s="8" t="str">
        <x:v>message is dropped after reload</x:v>
      </x:c>
      <x:c r="C59" s="8" t="str">
        <x:v>CoreWebView2.NavigationCompleted += OnDone</x:v>
      </x:c>
      <x:c r="D59" s="8" t="str">
        <x:v>unknown</x:v>
      </x:c>
      <x:c r="E59" s="8" t="str">
        <x:v>investigating</x:v>
      </x:c>
      <x:c r="F59" s="8" t="str">
        <x:v>Ben</x:v>
      </x:c>
      <x:c r="G59" s="8" t="str">
        <x:v>1.0.2210</x:v>
      </x:c>
      <x:c r="H59" s="8" t="str">
        <x:v>C:\apps\WebViewHost\Assets</x:v>
      </x:c>
      <x:c r="I59" s="8" t="n">
        <x:v>566</x:v>
      </x:c>
      <x:c r="J59" s="8" t="str">
        <x:v>This sentence is long enough to exercise wrapping and downstream chunk boundaries in Markdown output.</x:v>
      </x:c>
      <x:c r="K59" s="8"/>
    </x:row>
    <x:row r="60">
      <x:c r="A60" s="8" t="str">
        <x:v>message</x:v>
      </x:c>
      <x:c r="B60" s="8" t="str">
        <x:v>works only after first navigation</x:v>
      </x:c>
      <x:c r="C60" s="8" t="str">
        <x:v>CoreWebView2.PostWebMessageAsString(payload)</x:v>
      </x:c>
      <x:c r="D60" s="8" t="str">
        <x:v>UI</x:v>
      </x:c>
      <x:c r="E60" s="8" t="str">
        <x:v>blocked</x:v>
      </x:c>
      <x:c r="F60" s="8" t="str">
        <x:v>Diego</x:v>
      </x:c>
      <x:c r="G60" s="8" t="str">
        <x:v>1.0.1901</x:v>
      </x:c>
      <x:c r="H60" s="8"/>
      <x:c r="I60" s="8"/>
      <x:c r="J60" s="8" t="str">
        <x:v>The owner field was not captured in the original notes, so classification should remain conservative.</x:v>
      </x:c>
      <x:c r="K60" s="8"/>
    </x:row>
    <x:row r="61">
      <x:c r="A61" s="8" t="str">
        <x:v>script</x:v>
      </x:c>
      <x:c r="B61" s="8" t="str">
        <x:v>works only after first navigation</x:v>
      </x:c>
      <x:c r="C61" s="8" t="str">
        <x:v>CoreWebView2.NavigationCompleted += OnDone</x:v>
      </x:c>
      <x:c r="D61" s="8" t="str">
        <x:v>background</x:v>
      </x:c>
      <x:c r="E61" s="8" t="str">
        <x:v>blocked</x:v>
      </x:c>
      <x:c r="F61" s="8" t="str">
        <x:v>Ben</x:v>
      </x:c>
      <x:c r="G61" s="8" t="str">
        <x:v>1.0.1901</x:v>
      </x:c>
      <x:c r="H61" s="8"/>
      <x:c r="I61" s="8" t="n">
        <x:v>203</x:v>
      </x:c>
      <x:c r="J61" s="8"/>
      <x:c r="K61" s="8" t="str">
        <x:v>https://developer.android.com/reference/android/webkit/WebView</x:v>
      </x:c>
    </x:row>
    <x:row r="62">
      <x:c r="A62" s="8" t="str">
        <x:v>message</x:v>
      </x:c>
      <x:c r="B62" s="8" t="str">
        <x:v>script returns a quoted JSON string</x:v>
      </x:c>
      <x:c r="C62" s="8" t="str">
        <x:v>CoreWebView2.PostWebMessageAsString(payload)</x:v>
      </x:c>
      <x:c r="D62" s="8" t="str">
        <x:v>unknown</x:v>
      </x:c>
      <x:c r="E62" s="8" t="str">
        <x:v>blocked</x:v>
      </x:c>
      <x:c r="F62" s="8" t="str">
        <x:v>Asha</x:v>
      </x:c>
      <x:c r="G62" s="8" t="str">
        <x:v>1.0.1901</x:v>
      </x:c>
      <x:c r="H62" s="8"/>
      <x:c r="I62" s="8"/>
      <x:c r="J62" s="8"/>
      <x:c r="K62" s="8"/>
    </x:row>
    <x:row r="63">
      <x:c r="A63" s="8" t="str">
        <x:v>message</x:v>
      </x:c>
      <x:c r="B63" s="8" t="str">
        <x:v>message is dropped after reload</x:v>
      </x:c>
      <x:c r="C63" s="8" t="str">
        <x:v>await CoreWebView2.ExecuteScriptAsync(js)</x:v>
      </x:c>
      <x:c r="D63" s="8" t="str">
        <x:v>UI</x:v>
      </x:c>
      <x:c r="E63" s="8" t="str">
        <x:v>resolved</x:v>
      </x:c>
      <x:c r="F63" s="8" t="str">
        <x:v>Mei</x:v>
      </x:c>
      <x:c r="G63" s="8" t="str">
        <x:v>1.0.2210</x:v>
      </x:c>
      <x:c r="H63" s="8"/>
      <x:c r="I63" s="8" t="n">
        <x:v>208</x:v>
      </x:c>
      <x:c r="J63" s="8"/>
      <x:c r="K63" s="8"/>
    </x:row>
    <x:row r="64">
      <x:c r="A64" s="8" t="str">
        <x:v>script</x:v>
      </x:c>
      <x:c r="B64" s="8" t="str">
        <x:v>script returns a quoted JSON string</x:v>
      </x:c>
      <x:c r="C64" s="8" t="str">
        <x:v>CoreWebView2.PostWebMessageAsString(payload)</x:v>
      </x:c>
      <x:c r="D64" s="8" t="str">
        <x:v>unknown</x:v>
      </x:c>
      <x:c r="E64" s="8" t="str">
        <x:v>blocked</x:v>
      </x:c>
      <x:c r="F64" s="8" t="str">
        <x:v>Mei</x:v>
      </x:c>
      <x:c r="G64" s="8" t="str">
        <x:v>1.0.2478</x:v>
      </x:c>
      <x:c r="H64" s="8"/>
      <x:c r="I64" s="8" t="n">
        <x:v>272</x:v>
      </x:c>
      <x:c r="J64" s="8" t="str">
        <x:v>Observed in a local test run: the content rendered, but the console warning appeared twice.</x:v>
      </x:c>
      <x:c r="K64" s="8"/>
    </x:row>
    <x:row r="65">
      <x:c r="A65" s="8" t="str">
        <x:v>cookie</x:v>
      </x:c>
      <x:c r="B65" s="8" t="str">
        <x:v>works only after first navigation</x:v>
      </x:c>
      <x:c r="C65" s="8" t="str">
        <x:v>CoreWebView2.NavigationCompleted += OnDone</x:v>
      </x:c>
      <x:c r="D65" s="8" t="str">
        <x:v>unknown</x:v>
      </x:c>
      <x:c r="E65" s="8" t="str">
        <x:v>resolved</x:v>
      </x:c>
      <x:c r="F65" s="8" t="str">
        <x:v>No owner</x:v>
      </x:c>
      <x:c r="G65" s="8" t="str">
        <x:v>1.0.2210</x:v>
      </x:c>
      <x:c r="H65" s="8"/>
      <x:c r="I65" s="8" t="n">
        <x:v>448</x:v>
      </x:c>
      <x:c r="J65" s="8" t="str">
        <x:v>Verify behavior on a cold start and after the page reloads without destroying the native view.</x:v>
      </x:c>
      <x:c r="K65" s="8"/>
    </x:row>
    <x:row r="66">
      <x:c r="A66" s="8" t="str">
        <x:v>permission</x:v>
      </x:c>
      <x:c r="B66" s="8" t="str">
        <x:v>works only after first navigation</x:v>
      </x:c>
      <x:c r="C66" s="8" t="str">
        <x:v>CoreWebView2.PostWebMessageAsString(payload)</x:v>
      </x:c>
      <x:c r="D66" s="8" t="str">
        <x:v>unknown</x:v>
      </x:c>
      <x:c r="E66" s="8" t="str">
        <x:v>investigating</x:v>
      </x:c>
      <x:c r="F66" s="8" t="str">
        <x:v>Carla</x:v>
      </x:c>
      <x:c r="G66" s="8" t="str">
        <x:v>1.0.1901</x:v>
      </x:c>
      <x:c r="H66" s="8" t="str">
        <x:v>C:\apps\WebViewHost\Assets</x:v>
      </x:c>
      <x:c r="I66" s="8"/>
      <x:c r="J66" s="8"/>
      <x:c r="K66" s="8"/>
    </x:row>
    <x:row r="67">
      <x:c r="A67" s="8" t="str">
        <x:v>host object</x:v>
      </x:c>
      <x:c r="B67" s="8" t="str">
        <x:v>callback arrives on UI thread</x:v>
      </x:c>
      <x:c r="C67" s="8" t="str">
        <x:v>CoreWebView2.PostWebMessageAsString(payload)</x:v>
      </x:c>
      <x:c r="D67" s="8" t="str">
        <x:v>UI</x:v>
      </x:c>
      <x:c r="E67" s="8" t="str">
        <x:v>investigating</x:v>
      </x:c>
      <x:c r="F67" s="8" t="str">
        <x:v>Ben</x:v>
      </x:c>
      <x:c r="G67" s="8" t="str">
        <x:v>1.0.2478</x:v>
      </x:c>
      <x:c r="H67" s="8"/>
      <x:c r="I67" s="8" t="n">
        <x:v>638</x:v>
      </x:c>
      <x:c r="J67" s="8" t="str">
        <x:v>A blank cell here is intentional. The source workbook has notes placed away from the nearest table.</x:v>
      </x:c>
      <x:c r="K67" s="8" t="str">
        <x:v>https://learn.microsoft.com/en-us/microsoft-edge/webview2/concepts/security</x:v>
      </x:c>
    </x:row>
    <x:row r="68">
      <x:c r="A68" s="8" t="str">
        <x:v>host object</x:v>
      </x:c>
      <x:c r="B68" s="8" t="str">
        <x:v>message is dropped after reload</x:v>
      </x:c>
      <x:c r="C68" s="8" t="str">
        <x:v>CoreWebView2.AddHostObjectToScript(name, value)</x:v>
      </x:c>
      <x:c r="D68" s="8" t="str">
        <x:v>background</x:v>
      </x:c>
      <x:c r="E68" s="8" t="str">
        <x:v>open</x:v>
      </x:c>
      <x:c r="F68" s="8" t="str">
        <x:v>Carla</x:v>
      </x:c>
      <x:c r="G68" s="8" t="str">
        <x:v>1.0.1901</x:v>
      </x:c>
      <x:c r="H68" s="8" t="str">
        <x:v>C:\apps\WebViewHost\Assets</x:v>
      </x:c>
      <x:c r="I68" s="8" t="n">
        <x:v>542</x:v>
      </x:c>
      <x:c r="J68" s="8" t="str">
        <x:v>The bridge callback is stable for small payloads, but large JSON messages show visible delay during navigation.</x:v>
      </x:c>
      <x:c r="K68" s="8"/>
    </x:row>
    <x:row r="69">
      <x:c r="A69" s="8" t="str">
        <x:v>message</x:v>
      </x:c>
      <x:c r="B69" s="8" t="str">
        <x:v>handler is registered too late</x:v>
      </x:c>
      <x:c r="C69" s="8" t="str">
        <x:v>CoreWebView2.AddHostObjectToScript(name, value)</x:v>
      </x:c>
      <x:c r="D69" s="8" t="str">
        <x:v>background</x:v>
      </x:c>
      <x:c r="E69" s="8" t="str">
        <x:v>investigating</x:v>
      </x:c>
      <x:c r="F69" s="8" t="str">
        <x:v>Asha</x:v>
      </x:c>
      <x:c r="G69" s="8" t="str">
        <x:v>evergreen</x:v>
      </x:c>
      <x:c r="H69" s="8"/>
      <x:c r="I69" s="8" t="n">
        <x:v>758</x:v>
      </x:c>
      <x:c r="J69" s="8"/>
      <x:c r="K69" s="8" t="str">
        <x:v>https://learn.microsoft.com/en-us/microsoft-edge/webview2/concepts/security</x:v>
      </x:c>
    </x:row>
    <x:row r="70">
      <x:c r="A70" s="8" t="str">
        <x:v>host object</x:v>
      </x:c>
      <x:c r="B70" s="8" t="str">
        <x:v>script returns a quoted JSON string</x:v>
      </x:c>
      <x:c r="C70" s="8" t="str">
        <x:v>CoreWebView2.PostWebMessageAsString(payload)</x:v>
      </x:c>
      <x:c r="D70" s="8" t="str">
        <x:v>background</x:v>
      </x:c>
      <x:c r="E70" s="8" t="str">
        <x:v>open</x:v>
      </x:c>
      <x:c r="F70" s="8" t="str">
        <x:v>Ben</x:v>
      </x:c>
      <x:c r="G70" s="8" t="str">
        <x:v>1.0.2478</x:v>
      </x:c>
      <x:c r="H70" s="8" t="str">
        <x:v>C:\apps\WebViewHost\Assets</x:v>
      </x:c>
      <x:c r="I70" s="8" t="n">
        <x:v>504</x:v>
      </x:c>
      <x:c r="J70" s="8" t="str">
        <x:v>Verify behavior on a cold start and after the page reloads without destroying the native view.</x:v>
      </x:c>
      <x:c r="K70" s="8"/>
    </x:row>
    <x:row r="71">
      <x:c r="A71" s="8" t="str">
        <x:v>cookie</x:v>
      </x:c>
      <x:c r="B71" s="8" t="str">
        <x:v>script returns a quoted JSON string</x:v>
      </x:c>
      <x:c r="C71" s="8" t="str">
        <x:v>await CoreWebView2.ExecuteScriptAsync(js)</x:v>
      </x:c>
      <x:c r="D71" s="8" t="str">
        <x:v>background</x:v>
      </x:c>
      <x:c r="E71" s="8" t="str">
        <x:v>investigating</x:v>
      </x:c>
      <x:c r="F71" s="8" t="str">
        <x:v>Ben</x:v>
      </x:c>
      <x:c r="G71" s="8" t="str">
        <x:v>1.0.2478</x:v>
      </x:c>
      <x:c r="H71" s="8"/>
      <x:c r="I71" s="8"/>
      <x:c r="J71" s="8"/>
      <x:c r="K71" s="8" t="str">
        <x:v>https://developer.microsoft.com/en-us/microsoft-edge/webview2/</x:v>
      </x:c>
    </x:row>
    <x:row r="72">
      <x:c r="A72" s="8" t="str">
        <x:v>message</x:v>
      </x:c>
      <x:c r="B72" s="8" t="str">
        <x:v>callback arrives on UI thread</x:v>
      </x:c>
      <x:c r="C72" s="8" t="str">
        <x:v>CoreWebView2.NavigationCompleted += OnDone</x:v>
      </x:c>
      <x:c r="D72" s="8" t="str">
        <x:v>UI</x:v>
      </x:c>
      <x:c r="E72" s="8" t="str">
        <x:v>investigating</x:v>
      </x:c>
      <x:c r="F72" s="8" t="str">
        <x:v>Diego</x:v>
      </x:c>
      <x:c r="G72" s="8" t="str">
        <x:v>1.0.1901</x:v>
      </x:c>
      <x:c r="H72" s="8" t="str">
        <x:v>C:\apps\WebViewHost\Cache</x:v>
      </x:c>
      <x:c r="I72" s="8" t="n">
        <x:v>303</x:v>
      </x:c>
      <x:c r="J72" s="8"/>
      <x:c r="K72" s="8"/>
    </x:row>
    <x:row r="73">
      <x:c r="A73" s="8" t="str">
        <x:v>navigation</x:v>
      </x:c>
      <x:c r="B73" s="8" t="str">
        <x:v>handler is registered too late</x:v>
      </x:c>
      <x:c r="C73" s="8" t="str">
        <x:v>CoreWebView2.AddHostObjectToScript(name, value)</x:v>
      </x:c>
      <x:c r="D73" s="8" t="str">
        <x:v>unknown</x:v>
      </x:c>
      <x:c r="E73" s="8" t="str">
        <x:v>resolved</x:v>
      </x:c>
      <x:c r="F73" s="8" t="str">
        <x:v>Diego</x:v>
      </x:c>
      <x:c r="G73" s="8" t="str">
        <x:v>1.0.1901</x:v>
      </x:c>
      <x:c r="H73" s="8" t="str">
        <x:v>C:\apps\WebViewHost\Profiles</x:v>
      </x:c>
      <x:c r="I73" s="8"/>
      <x:c r="J73" s="8"/>
      <x:c r="K73" s="8"/>
    </x:row>
    <x:row r="74">
      <x:c r="A74" s="8" t="str">
        <x:v>permission</x:v>
      </x:c>
      <x:c r="B74" s="8" t="str">
        <x:v>works only after first navigation</x:v>
      </x:c>
      <x:c r="C74" s="8" t="str">
        <x:v>await CoreWebView2.ExecuteScriptAsync(js)</x:v>
      </x:c>
      <x:c r="D74" s="8" t="str">
        <x:v>background</x:v>
      </x:c>
      <x:c r="E74" s="8" t="str">
        <x:v>resolved</x:v>
      </x:c>
      <x:c r="F74" s="8" t="str">
        <x:v>Asha</x:v>
      </x:c>
      <x:c r="G74" s="8" t="str">
        <x:v>1.0.1901</x:v>
      </x:c>
      <x:c r="H74" s="8"/>
      <x:c r="I74" s="8" t="n">
        <x:v>236</x:v>
      </x:c>
      <x:c r="J74" s="8"/>
      <x:c r="K74" s="8"/>
    </x:row>
    <x:row r="75">
      <x:c r="A75" s="8" t="str">
        <x:v>message</x:v>
      </x:c>
      <x:c r="B75" s="8" t="str">
        <x:v>message is dropped after reload</x:v>
      </x:c>
      <x:c r="C75" s="8" t="str">
        <x:v>CoreWebView2.PostWebMessageAsString(payload)</x:v>
      </x:c>
      <x:c r="D75" s="8" t="str">
        <x:v>unknown</x:v>
      </x:c>
      <x:c r="E75" s="8" t="str">
        <x:v>blocked</x:v>
      </x:c>
      <x:c r="F75" s="8" t="str">
        <x:v>Carla</x:v>
      </x:c>
      <x:c r="G75" s="8" t="str">
        <x:v>evergreen</x:v>
      </x:c>
      <x:c r="H75" s="8"/>
      <x:c r="I75" s="8" t="n">
        <x:v>234</x:v>
      </x:c>
      <x:c r="J75" s="8" t="str">
        <x:v>This sentence is long enough to exercise wrapping and downstream chunk boundaries in Markdown output.</x:v>
      </x:c>
      <x:c r="K75" s="8"/>
    </x:row>
    <x:row r="76">
      <x:c r="A76" s="8" t="str">
        <x:v>navigation</x:v>
      </x:c>
      <x:c r="B76" s="8" t="str">
        <x:v>works only after first navigation</x:v>
      </x:c>
      <x:c r="C76" s="8" t="str">
        <x:v>CoreWebView2.NavigationCompleted += OnDone</x:v>
      </x:c>
      <x:c r="D76" s="8" t="str">
        <x:v>UI</x:v>
      </x:c>
      <x:c r="E76" s="8" t="str">
        <x:v>resolved</x:v>
      </x:c>
      <x:c r="F76" s="8" t="str">
        <x:v>Ben</x:v>
      </x:c>
      <x:c r="G76" s="8" t="str">
        <x:v>evergreen</x:v>
      </x:c>
      <x:c r="H76" s="8"/>
      <x:c r="I76" s="8" t="n">
        <x:v>498</x:v>
      </x:c>
      <x:c r="J76" s="8" t="str">
        <x:v>The bridge callback is stable for small payloads, but large JSON messages show visible delay during navigation.</x:v>
      </x:c>
      <x:c r="K76" s="8"/>
    </x:row>
    <x:row r="77">
      <x:c r="A77" s="8" t="str">
        <x:v>host object</x:v>
      </x:c>
      <x:c r="B77" s="8" t="str">
        <x:v>message is dropped after reload</x:v>
      </x:c>
      <x:c r="C77" s="8" t="str">
        <x:v>await CoreWebView2.ExecuteScriptAsync(js)</x:v>
      </x:c>
      <x:c r="D77" s="8" t="str">
        <x:v>UI</x:v>
      </x:c>
      <x:c r="E77" s="8" t="str">
        <x:v>resolved</x:v>
      </x:c>
      <x:c r="F77" s="8" t="str">
        <x:v>Carla</x:v>
      </x:c>
      <x:c r="G77" s="8" t="str">
        <x:v>1.0.2478</x:v>
      </x:c>
      <x:c r="H77" s="8" t="str">
        <x:v>C:\apps\WebViewHost\Profiles</x:v>
      </x:c>
      <x:c r="I77" s="8" t="n">
        <x:v>419</x:v>
      </x:c>
      <x:c r="J77" s="8"/>
      <x:c r="K77" s="8" t="str">
        <x:v>https://developer.microsoft.com/en-us/microsoft-edge/webview2/</x:v>
      </x:c>
    </x:row>
    <x:row r="78">
      <x:c r="A78" s="8" t="str">
        <x:v>cookie</x:v>
      </x:c>
      <x:c r="B78" s="8" t="str">
        <x:v>message is dropped after reload</x:v>
      </x:c>
      <x:c r="C78" s="8" t="str">
        <x:v>await CoreWebView2.ExecuteScriptAsync(js)</x:v>
      </x:c>
      <x:c r="D78" s="8" t="str">
        <x:v>unknown</x:v>
      </x:c>
      <x:c r="E78" s="8" t="str">
        <x:v>open</x:v>
      </x:c>
      <x:c r="F78" s="8" t="str">
        <x:v>Ben</x:v>
      </x:c>
      <x:c r="G78" s="8" t="str">
        <x:v>1.0.2210</x:v>
      </x:c>
      <x:c r="H78" s="8"/>
      <x:c r="I78" s="8"/>
      <x:c r="J78" s="8" t="str">
        <x:v>The owner field was not captured in the original notes, so classification should remain conservative.</x:v>
      </x:c>
      <x:c r="K78" s="8"/>
    </x:row>
    <x:row r="79">
      <x:c r="A79" s="8" t="str">
        <x:v>permission</x:v>
      </x:c>
      <x:c r="B79" s="8" t="str">
        <x:v>message is dropped after reload</x:v>
      </x:c>
      <x:c r="C79" s="8" t="str">
        <x:v>CoreWebView2.PostWebMessageAsString(payload)</x:v>
      </x:c>
      <x:c r="D79" s="8" t="str">
        <x:v>background</x:v>
      </x:c>
      <x:c r="E79" s="8" t="str">
        <x:v>investigating</x:v>
      </x:c>
      <x:c r="F79" s="8" t="str">
        <x:v>No owner</x:v>
      </x:c>
      <x:c r="G79" s="8" t="str">
        <x:v>1.0.1901</x:v>
      </x:c>
      <x:c r="H79" s="8"/>
      <x:c r="I79" s="8" t="n">
        <x:v>765</x:v>
      </x:c>
      <x:c r="J79" s="8" t="str">
        <x:v>Observed in a local test run: the content rendered, but the console warning appeared twice.</x:v>
      </x:c>
      <x:c r="K79" s="8"/>
    </x:row>
    <x:row r="80">
      <x:c r="A80" s="8" t="str">
        <x:v>cookie</x:v>
      </x:c>
      <x:c r="B80" s="8" t="str">
        <x:v>message is dropped after reload</x:v>
      </x:c>
      <x:c r="C80" s="8" t="str">
        <x:v>CoreWebView2.AddHostObjectToScript(name, value)</x:v>
      </x:c>
      <x:c r="D80" s="8" t="str">
        <x:v>background</x:v>
      </x:c>
      <x:c r="E80" s="8" t="str">
        <x:v>resolved</x:v>
      </x:c>
      <x:c r="F80" s="8" t="str">
        <x:v>Diego</x:v>
      </x:c>
      <x:c r="G80" s="8" t="str">
        <x:v>evergreen</x:v>
      </x:c>
      <x:c r="H80" s="8"/>
      <x:c r="I80" s="8" t="n">
        <x:v>491</x:v>
      </x:c>
      <x:c r="J80" s="8" t="str">
        <x:v>Verify behavior on a cold start and after the page reloads without destroying the native view.</x:v>
      </x:c>
      <x:c r="K80" s="8"/>
    </x:row>
    <x:row r="81">
      <x:c r="A81" s="8" t="str">
        <x:v>message</x:v>
      </x:c>
      <x:c r="B81" s="8" t="str">
        <x:v>callback arrives on UI thread</x:v>
      </x:c>
      <x:c r="C81" s="8" t="str">
        <x:v>await CoreWebView2.ExecuteScriptAsync(js)</x:v>
      </x:c>
      <x:c r="D81" s="8" t="str">
        <x:v>UI</x:v>
      </x:c>
      <x:c r="E81" s="8" t="str">
        <x:v>needs reproduction</x:v>
      </x:c>
      <x:c r="F81" s="8" t="str">
        <x:v>Ben</x:v>
      </x:c>
      <x:c r="G81" s="8" t="str">
        <x:v>1.0.2210</x:v>
      </x:c>
      <x:c r="H81" s="8" t="str">
        <x:v>C:\apps\WebViewHost\Assets</x:v>
      </x:c>
      <x:c r="I81" s="8" t="n">
        <x:v>854</x:v>
      </x:c>
      <x:c r="J81" s="8" t="str">
        <x:v>Verify behavior on a cold start and after the page reloads without destroying the native view.</x:v>
      </x:c>
      <x:c r="K81" s="8"/>
    </x:row>
    <x:row r="82">
      <x:c r="A82" s="8"/>
      <x:c r="B82" s="8"/>
      <x:c r="C82" s="8"/>
      <x:c r="D82" s="8"/>
      <x:c r="E82" s="8"/>
      <x:c r="F82" s="8"/>
      <x:c r="G82" s="8"/>
      <x:c r="H82" s="8"/>
      <x:c r="I82" s="8"/>
      <x:c r="J82" s="8"/>
      <x:c r="K82" s="8"/>
    </x:row>
    <x:row r="83">
      <x:c r="A83" s="8" t="str">
        <x:v>message</x:v>
      </x:c>
      <x:c r="B83" s="8" t="str">
        <x:v>script returns a quoted JSON string</x:v>
      </x:c>
      <x:c r="C83" s="8" t="str">
        <x:v>CoreWebView2.NavigationCompleted += OnDone</x:v>
      </x:c>
      <x:c r="D83" s="8" t="str">
        <x:v>unknown</x:v>
      </x:c>
      <x:c r="E83" s="8" t="str">
        <x:v>investigating</x:v>
      </x:c>
      <x:c r="F83" s="8" t="str">
        <x:v>Mei</x:v>
      </x:c>
      <x:c r="G83" s="8" t="str">
        <x:v>evergreen</x:v>
      </x:c>
      <x:c r="H83" s="8"/>
      <x:c r="I83" s="8" t="n">
        <x:v>836</x:v>
      </x:c>
      <x:c r="J83" s="8"/>
      <x:c r="K83" s="8"/>
    </x:row>
    <x:row r="84">
      <x:c r="A84" s="8" t="str">
        <x:v>message</x:v>
      </x:c>
      <x:c r="B84" s="8" t="str">
        <x:v>works only after first navigation</x:v>
      </x:c>
      <x:c r="C84" s="8" t="str">
        <x:v>CoreWebView2.PostWebMessageAsString(payload)</x:v>
      </x:c>
      <x:c r="D84" s="8" t="str">
        <x:v>background</x:v>
      </x:c>
      <x:c r="E84" s="8" t="str">
        <x:v>investigating</x:v>
      </x:c>
      <x:c r="F84" s="8" t="str">
        <x:v>Carla</x:v>
      </x:c>
      <x:c r="G84" s="8" t="str">
        <x:v>evergreen</x:v>
      </x:c>
      <x:c r="H84" s="8" t="str">
        <x:v>C:\apps\WebViewHost\Profiles</x:v>
      </x:c>
      <x:c r="I84" s="8" t="n">
        <x:v>833</x:v>
      </x:c>
      <x:c r="J84" s="8" t="str">
        <x:v>Observed in a local test run: the content rendered, but the console warning appeared twice.</x:v>
      </x:c>
      <x:c r="K84" s="8" t="str">
        <x:v>https://developer.android.com/reference/android/webkit/WebView</x:v>
      </x:c>
    </x:row>
    <x:row r="85">
      <x:c r="A85" s="8" t="str">
        <x:v>download</x:v>
      </x:c>
      <x:c r="B85" s="8" t="str">
        <x:v>works only after first navigation</x:v>
      </x:c>
      <x:c r="C85" s="8" t="str">
        <x:v>CoreWebView2.PostWebMessageAsString(payload)</x:v>
      </x:c>
      <x:c r="D85" s="8" t="str">
        <x:v>UI</x:v>
      </x:c>
      <x:c r="E85" s="8" t="str">
        <x:v>resolved</x:v>
      </x:c>
      <x:c r="F85" s="8" t="str">
        <x:v>Ben</x:v>
      </x:c>
      <x:c r="G85" s="8" t="str">
        <x:v>evergreen</x:v>
      </x:c>
      <x:c r="H85" s="8"/>
      <x:c r="I85" s="8" t="n">
        <x:v>618</x:v>
      </x:c>
      <x:c r="J85" s="8" t="str">
        <x:v>Follow-up: compare the result when the network security policy is relaxed versus when it is enforced.</x:v>
      </x:c>
      <x:c r="K85" s="8"/>
    </x:row>
    <x:row r="86">
      <x:c r="A86" s="8" t="str">
        <x:v>message</x:v>
      </x:c>
      <x:c r="B86" s="8" t="str">
        <x:v>works only after first navigation</x:v>
      </x:c>
      <x:c r="C86" s="8" t="str">
        <x:v>CoreWebView2.NavigationCompleted += OnDone</x:v>
      </x:c>
      <x:c r="D86" s="8" t="str">
        <x:v>unknown</x:v>
      </x:c>
      <x:c r="E86" s="8" t="str">
        <x:v>open</x:v>
      </x:c>
      <x:c r="F86" s="8" t="str">
        <x:v>Carla</x:v>
      </x:c>
      <x:c r="G86" s="8" t="str">
        <x:v>1.0.2210</x:v>
      </x:c>
      <x:c r="H86" s="8"/>
      <x:c r="I86" s="8" t="n">
        <x:v>596</x:v>
      </x:c>
      <x:c r="J86" s="8"/>
      <x:c r="K86" s="8" t="str">
        <x:v>https://github.com/react-native-webview/react-native-webview</x:v>
      </x:c>
    </x:row>
    <x:row r="87">
      <x:c r="A87" s="8" t="str">
        <x:v>cookie</x:v>
      </x:c>
      <x:c r="B87" s="8" t="str">
        <x:v>script returns a quoted JSON string</x:v>
      </x:c>
      <x:c r="C87" s="8" t="str">
        <x:v>await CoreWebView2.ExecuteScriptAsync(js)</x:v>
      </x:c>
      <x:c r="D87" s="8" t="str">
        <x:v>unknown</x:v>
      </x:c>
      <x:c r="E87" s="8" t="str">
        <x:v>open</x:v>
      </x:c>
      <x:c r="F87" s="8" t="str">
        <x:v>Asha</x:v>
      </x:c>
      <x:c r="G87" s="8" t="str">
        <x:v>evergreen</x:v>
      </x:c>
      <x:c r="H87" s="8" t="str">
        <x:v>C:\apps\WebViewHost\Assets</x:v>
      </x:c>
      <x:c r="I87" s="8" t="n">
        <x:v>66</x:v>
      </x:c>
      <x:c r="J87" s="8"/>
      <x:c r="K87" s="8" t="str">
        <x:v>https://learn.microsoft.com/en-us/microsoft-edge/webview2/concepts/security</x:v>
      </x:c>
    </x:row>
    <x:row r="88">
      <x:c r="A88" s="8" t="str">
        <x:v>message</x:v>
      </x:c>
      <x:c r="B88" s="8" t="str">
        <x:v>message is dropped after reload</x:v>
      </x:c>
      <x:c r="C88" s="8" t="str">
        <x:v>CoreWebView2.AddHostObjectToScript(name, value)</x:v>
      </x:c>
      <x:c r="D88" s="8" t="str">
        <x:v>UI</x:v>
      </x:c>
      <x:c r="E88" s="8" t="str">
        <x:v>resolved</x:v>
      </x:c>
      <x:c r="F88" s="8" t="str">
        <x:v>Mei</x:v>
      </x:c>
      <x:c r="G88" s="8" t="str">
        <x:v>1.0.1901</x:v>
      </x:c>
      <x:c r="H88" s="8"/>
      <x:c r="I88" s="8" t="n">
        <x:v>885</x:v>
      </x:c>
      <x:c r="J88" s="8"/>
      <x:c r="K88" s="8"/>
    </x:row>
    <x:row r="89">
      <x:c r="A89" s="8" t="str">
        <x:v>message</x:v>
      </x:c>
      <x:c r="B89" s="8" t="str">
        <x:v>script returns a quoted JSON string</x:v>
      </x:c>
      <x:c r="C89" s="8" t="str">
        <x:v>CoreWebView2.PostWebMessageAsString(payload)</x:v>
      </x:c>
      <x:c r="D89" s="8" t="str">
        <x:v>UI</x:v>
      </x:c>
      <x:c r="E89" s="8" t="str">
        <x:v>needs reproduction</x:v>
      </x:c>
      <x:c r="F89" s="8" t="str">
        <x:v>Ben</x:v>
      </x:c>
      <x:c r="G89" s="8" t="str">
        <x:v>evergreen</x:v>
      </x:c>
      <x:c r="H89" s="8"/>
      <x:c r="I89" s="8"/>
      <x:c r="J89" s="8"/>
      <x:c r="K89" s="8"/>
    </x:row>
    <x:row r="90">
      <x:c r="A90" s="8" t="str">
        <x:v>permission</x:v>
      </x:c>
      <x:c r="B90" s="8" t="str">
        <x:v>works only after first navigation</x:v>
      </x:c>
      <x:c r="C90" s="8" t="str">
        <x:v>CoreWebView2.NavigationCompleted += OnDone</x:v>
      </x:c>
      <x:c r="D90" s="8" t="str">
        <x:v>UI</x:v>
      </x:c>
      <x:c r="E90" s="8" t="str">
        <x:v>needs reproduction</x:v>
      </x:c>
      <x:c r="F90" s="8" t="str">
        <x:v>Ben</x:v>
      </x:c>
      <x:c r="G90" s="8" t="str">
        <x:v>evergreen</x:v>
      </x:c>
      <x:c r="H90" s="8" t="str">
        <x:v>C:\apps\WebViewHost\Profiles</x:v>
      </x:c>
      <x:c r="I90" s="8" t="n">
        <x:v>81</x:v>
      </x:c>
      <x:c r="J90" s="8" t="str">
        <x:v>Verify behavior on a cold start and after the page reloads without destroying the native view.</x:v>
      </x:c>
      <x:c r="K90" s="8"/>
    </x:row>
    <x:row r="91">
      <x:c r="A91" s="8" t="str">
        <x:v>host object</x:v>
      </x:c>
      <x:c r="B91" s="8" t="str">
        <x:v>script returns a quoted JSON string</x:v>
      </x:c>
      <x:c r="C91" s="8" t="str">
        <x:v>CoreWebView2.PostWebMessageAsString(payload)</x:v>
      </x:c>
      <x:c r="D91" s="8" t="str">
        <x:v>UI</x:v>
      </x:c>
      <x:c r="E91" s="8" t="str">
        <x:v>blocked</x:v>
      </x:c>
      <x:c r="F91" s="8" t="str">
        <x:v>Carla</x:v>
      </x:c>
      <x:c r="G91" s="8" t="str">
        <x:v>1.0.2478</x:v>
      </x:c>
      <x:c r="H91" s="8" t="str">
        <x:v>C:\apps\WebViewHost\Assets</x:v>
      </x:c>
      <x:c r="I91" s="8" t="n">
        <x:v>427</x:v>
      </x:c>
      <x:c r="J91" s="8"/>
      <x:c r="K91" s="8" t="str">
        <x:v>https://github.com/react-native-webview/react-native-webview</x:v>
      </x:c>
    </x:row>
    <x:row r="92">
      <x:c r="A92" s="8" t="str">
        <x:v>navigation</x:v>
      </x:c>
      <x:c r="B92" s="8" t="str">
        <x:v>callback arrives on UI thread</x:v>
      </x:c>
      <x:c r="C92" s="8" t="str">
        <x:v>CoreWebView2.AddHostObjectToScript(name, value)</x:v>
      </x:c>
      <x:c r="D92" s="8" t="str">
        <x:v>unknown</x:v>
      </x:c>
      <x:c r="E92" s="8" t="str">
        <x:v>investigating</x:v>
      </x:c>
      <x:c r="F92" s="8" t="str">
        <x:v>Mei</x:v>
      </x:c>
      <x:c r="G92" s="8" t="str">
        <x:v>evergreen</x:v>
      </x:c>
      <x:c r="H92" s="8" t="str">
        <x:v>C:\apps\WebViewHost\Cache</x:v>
      </x:c>
      <x:c r="I92" s="8" t="n">
        <x:v>211</x:v>
      </x:c>
      <x:c r="J92" s="8" t="str">
        <x:v>This sentence is long enough to exercise wrapping and downstream chunk boundaries in Markdown output.</x:v>
      </x:c>
      <x:c r="K92" s="8" t="str">
        <x:v>https://github.com/react-native-webview/react-native-webview</x:v>
      </x:c>
    </x:row>
    <x:row r="93">
      <x:c r="A93" s="8" t="str">
        <x:v>download</x:v>
      </x:c>
      <x:c r="B93" s="8" t="str">
        <x:v>handler is registered too late</x:v>
      </x:c>
      <x:c r="C93" s="8" t="str">
        <x:v>await CoreWebView2.ExecuteScriptAsync(js)</x:v>
      </x:c>
      <x:c r="D93" s="8" t="str">
        <x:v>UI</x:v>
      </x:c>
      <x:c r="E93" s="8" t="str">
        <x:v>open</x:v>
      </x:c>
      <x:c r="F93" s="8" t="str">
        <x:v>No owner</x:v>
      </x:c>
      <x:c r="G93" s="8" t="str">
        <x:v>1.0.2210</x:v>
      </x:c>
      <x:c r="H93" s="8" t="str">
        <x:v>C:\apps\WebViewHost\Cache</x:v>
      </x:c>
      <x:c r="I93" s="8" t="n">
        <x:v>514</x:v>
      </x:c>
      <x:c r="J93" s="8"/>
      <x:c r="K93" s="8"/>
    </x:row>
    <x:row r="94">
      <x:c r="A94" s="8" t="str">
        <x:v>permission</x:v>
      </x:c>
      <x:c r="B94" s="8" t="str">
        <x:v>works only after first navigation</x:v>
      </x:c>
      <x:c r="C94" s="8" t="str">
        <x:v>CoreWebView2.NavigationCompleted += OnDone</x:v>
      </x:c>
      <x:c r="D94" s="8" t="str">
        <x:v>UI</x:v>
      </x:c>
      <x:c r="E94" s="8" t="str">
        <x:v>open</x:v>
      </x:c>
      <x:c r="F94" s="8" t="str">
        <x:v>Mei</x:v>
      </x:c>
      <x:c r="G94" s="8" t="str">
        <x:v>1.0.2210</x:v>
      </x:c>
      <x:c r="H94" s="8"/>
      <x:c r="I94" s="8" t="n">
        <x:v>35</x:v>
      </x:c>
      <x:c r="J94" s="8" t="str">
        <x:v>The owner field was not captured in the original notes, so classification should remain conservative.</x:v>
      </x:c>
      <x:c r="K94" s="8"/>
    </x:row>
    <x:row r="95">
      <x:c r="A95" s="8" t="str">
        <x:v>download</x:v>
      </x:c>
      <x:c r="B95" s="8" t="str">
        <x:v>message is dropped after reload</x:v>
      </x:c>
      <x:c r="C95" s="8" t="str">
        <x:v>CoreWebView2.AddHostObjectToScript(name, value)</x:v>
      </x:c>
      <x:c r="D95" s="8" t="str">
        <x:v>background</x:v>
      </x:c>
      <x:c r="E95" s="8" t="str">
        <x:v>resolved</x:v>
      </x:c>
      <x:c r="F95" s="8" t="str">
        <x:v>Mei</x:v>
      </x:c>
      <x:c r="G95" s="8" t="str">
        <x:v>1.0.2478</x:v>
      </x:c>
      <x:c r="H95" s="8"/>
      <x:c r="I95" s="8" t="n">
        <x:v>564</x:v>
      </x:c>
      <x:c r="J95" s="8" t="str">
        <x:v>Verify behavior on a cold start and after the page reloads without destroying the native view.</x:v>
      </x:c>
      <x:c r="K95" s="8"/>
    </x:row>
    <x:row r="96">
      <x:c r="A96" s="8" t="str">
        <x:v>permission</x:v>
      </x:c>
      <x:c r="B96" s="8" t="str">
        <x:v>callback arrives on UI thread</x:v>
      </x:c>
      <x:c r="C96" s="8" t="str">
        <x:v>CoreWebView2.AddHostObjectToScript(name, value)</x:v>
      </x:c>
      <x:c r="D96" s="8" t="str">
        <x:v>UI</x:v>
      </x:c>
      <x:c r="E96" s="8" t="str">
        <x:v>investigating</x:v>
      </x:c>
      <x:c r="F96" s="8" t="str">
        <x:v>Asha</x:v>
      </x:c>
      <x:c r="G96" s="8" t="str">
        <x:v>evergreen</x:v>
      </x:c>
      <x:c r="H96" s="8" t="str">
        <x:v>C:\apps\WebViewHost\Cache</x:v>
      </x:c>
      <x:c r="I96" s="8" t="n">
        <x:v>282</x:v>
      </x:c>
      <x:c r="J96" s="8" t="str">
        <x:v>A blank cell here is intentional. The source workbook has notes placed away from the nearest table.</x:v>
      </x:c>
      <x:c r="K96" s="8"/>
    </x:row>
    <x:row r="97">
      <x:c r="A97" s="8" t="str">
        <x:v>message</x:v>
      </x:c>
      <x:c r="B97" s="8" t="str">
        <x:v>callback arrives on UI thread</x:v>
      </x:c>
      <x:c r="C97" s="8" t="str">
        <x:v>CoreWebView2.PostWebMessageAsString(payload)</x:v>
      </x:c>
      <x:c r="D97" s="8" t="str">
        <x:v>unknown</x:v>
      </x:c>
      <x:c r="E97" s="8" t="str">
        <x:v>needs reproduction</x:v>
      </x:c>
      <x:c r="F97" s="8" t="str">
        <x:v>Diego</x:v>
      </x:c>
      <x:c r="G97" s="8" t="str">
        <x:v>1.0.2210</x:v>
      </x:c>
      <x:c r="H97" s="8" t="str">
        <x:v>C:\apps\WebViewHost\Profiles</x:v>
      </x:c>
      <x:c r="I97" s="8" t="n">
        <x:v>782</x:v>
      </x:c>
      <x:c r="J97" s="8" t="str">
        <x:v>Potential duplicate: this paragraph is repeated in another section to test deduplication and chunk metadata.</x:v>
      </x:c>
      <x:c r="K97" s="8"/>
    </x:row>
    <x:row r="98">
      <x:c r="A98" s="8" t="str">
        <x:v>download</x:v>
      </x:c>
      <x:c r="B98" s="8" t="str">
        <x:v>callback arrives on UI thread</x:v>
      </x:c>
      <x:c r="C98" s="8" t="str">
        <x:v>CoreWebView2.PostWebMessageAsString(payload)</x:v>
      </x:c>
      <x:c r="D98" s="8" t="str">
        <x:v>background</x:v>
      </x:c>
      <x:c r="E98" s="8" t="str">
        <x:v>needs reproduction</x:v>
      </x:c>
      <x:c r="F98" s="8" t="str">
        <x:v>No owner</x:v>
      </x:c>
      <x:c r="G98" s="8" t="str">
        <x:v>1.0.2478</x:v>
      </x:c>
      <x:c r="H98" s="8" t="str">
        <x:v>C:\apps\WebViewHost\Cache</x:v>
      </x:c>
      <x:c r="I98" s="8"/>
      <x:c r="J98" s="8"/>
      <x:c r="K98" s="8"/>
    </x:row>
    <x:row r="99">
      <x:c r="A99" s="8" t="str">
        <x:v>permission</x:v>
      </x:c>
      <x:c r="B99" s="8" t="str">
        <x:v>callback arrives on UI thread</x:v>
      </x:c>
      <x:c r="C99" s="8" t="str">
        <x:v>await CoreWebView2.ExecuteScriptAsync(js)</x:v>
      </x:c>
      <x:c r="D99" s="8" t="str">
        <x:v>background</x:v>
      </x:c>
      <x:c r="E99" s="8" t="str">
        <x:v>blocked</x:v>
      </x:c>
      <x:c r="F99" s="8" t="str">
        <x:v>Diego</x:v>
      </x:c>
      <x:c r="G99" s="8" t="str">
        <x:v>evergreen</x:v>
      </x:c>
      <x:c r="H99" s="8"/>
      <x:c r="I99" s="8" t="n">
        <x:v>269</x:v>
      </x:c>
      <x:c r="J99" s="8" t="str">
        <x:v>Follow-up: compare the result when the network security policy is relaxed versus when it is enforced.</x:v>
      </x:c>
      <x:c r="K99" s="8"/>
    </x:row>
    <x:row r="100">
      <x:c r="A100" s="8" t="str">
        <x:v>script</x:v>
      </x:c>
      <x:c r="B100" s="8" t="str">
        <x:v>works only after first navigation</x:v>
      </x:c>
      <x:c r="C100" s="8" t="str">
        <x:v>await CoreWebView2.ExecuteScriptAsync(js)</x:v>
      </x:c>
      <x:c r="D100" s="8" t="str">
        <x:v>background</x:v>
      </x:c>
      <x:c r="E100" s="8" t="str">
        <x:v>open</x:v>
      </x:c>
      <x:c r="F100" s="8" t="str">
        <x:v>Carla</x:v>
      </x:c>
      <x:c r="G100" s="8" t="str">
        <x:v>1.0.1901</x:v>
      </x:c>
      <x:c r="H100" s="8"/>
      <x:c r="I100" s="8" t="n">
        <x:v>609</x:v>
      </x:c>
      <x:c r="J100" s="8" t="str">
        <x:v>The bridge callback is stable for small payloads, but large JSON messages show visible delay during navigation.</x:v>
      </x:c>
      <x:c r="K100" s="8"/>
    </x:row>
    <x:row r="101">
      <x:c r="A101" s="8" t="str">
        <x:v>message</x:v>
      </x:c>
      <x:c r="B101" s="8" t="str">
        <x:v>script returns a quoted JSON string</x:v>
      </x:c>
      <x:c r="C101" s="8" t="str">
        <x:v>CoreWebView2.PostWebMessageAsString(payload)</x:v>
      </x:c>
      <x:c r="D101" s="8" t="str">
        <x:v>UI</x:v>
      </x:c>
      <x:c r="E101" s="8" t="str">
        <x:v>investigating</x:v>
      </x:c>
      <x:c r="F101" s="8" t="str">
        <x:v>No owner</x:v>
      </x:c>
      <x:c r="G101" s="8" t="str">
        <x:v>1.0.2478</x:v>
      </x:c>
      <x:c r="H101" s="8"/>
      <x:c r="I101" s="8" t="n">
        <x:v>219</x:v>
      </x:c>
      <x:c r="J101" s="8"/>
      <x:c r="K101" s="8"/>
    </x:row>
    <x:row r="102">
      <x:c r="A102" s="8" t="str">
        <x:v>permission</x:v>
      </x:c>
      <x:c r="B102" s="8" t="str">
        <x:v>handler is registered too late</x:v>
      </x:c>
      <x:c r="C102" s="8" t="str">
        <x:v>CoreWebView2.NavigationCompleted += OnDone</x:v>
      </x:c>
      <x:c r="D102" s="8" t="str">
        <x:v>UI</x:v>
      </x:c>
      <x:c r="E102" s="8" t="str">
        <x:v>needs reproduction</x:v>
      </x:c>
      <x:c r="F102" s="8" t="str">
        <x:v>Ben</x:v>
      </x:c>
      <x:c r="G102" s="8" t="str">
        <x:v>1.0.1901</x:v>
      </x:c>
      <x:c r="H102" s="8"/>
      <x:c r="I102" s="8" t="n">
        <x:v>515</x:v>
      </x:c>
      <x:c r="J102" s="8"/>
      <x:c r="K102" s="8"/>
    </x:row>
    <x:row r="103">
      <x:c r="A103" s="8" t="str">
        <x:v>permission</x:v>
      </x:c>
      <x:c r="B103" s="8" t="str">
        <x:v>message is dropped after reload</x:v>
      </x:c>
      <x:c r="C103" s="8" t="str">
        <x:v>CoreWebView2.PostWebMessageAsString(payload)</x:v>
      </x:c>
      <x:c r="D103" s="8" t="str">
        <x:v>UI</x:v>
      </x:c>
      <x:c r="E103" s="8" t="str">
        <x:v>blocked</x:v>
      </x:c>
      <x:c r="F103" s="8" t="str">
        <x:v>Ben</x:v>
      </x:c>
      <x:c r="G103" s="8" t="str">
        <x:v>1.0.2210</x:v>
      </x:c>
      <x:c r="H103" s="8"/>
      <x:c r="I103" s="8" t="n">
        <x:v>196</x:v>
      </x:c>
      <x:c r="J103" s="8"/>
      <x:c r="K103" s="8"/>
    </x:row>
    <x:row r="104">
      <x:c r="A104" s="8" t="str">
        <x:v>cookie</x:v>
      </x:c>
      <x:c r="B104" s="8" t="str">
        <x:v>works only after first navigation</x:v>
      </x:c>
      <x:c r="C104" s="8" t="str">
        <x:v>CoreWebView2.PostWebMessageAsString(payload)</x:v>
      </x:c>
      <x:c r="D104" s="8" t="str">
        <x:v>unknown</x:v>
      </x:c>
      <x:c r="E104" s="8" t="str">
        <x:v>resolved</x:v>
      </x:c>
      <x:c r="F104" s="8" t="str">
        <x:v>Carla</x:v>
      </x:c>
      <x:c r="G104" s="8" t="str">
        <x:v>1.0.2478</x:v>
      </x:c>
      <x:c r="H104" s="8"/>
      <x:c r="I104" s="8" t="n">
        <x:v>366</x:v>
      </x:c>
      <x:c r="J104" s="8" t="str">
        <x:v>The owner field was not captured in the original notes, so classification should remain conservative.</x:v>
      </x:c>
      <x:c r="K104" s="8"/>
    </x:row>
    <x:row r="105">
      <x:c r="A105" s="8" t="str">
        <x:v>download</x:v>
      </x:c>
      <x:c r="B105" s="8" t="str">
        <x:v>handler is registered too late</x:v>
      </x:c>
      <x:c r="C105" s="8" t="str">
        <x:v>CoreWebView2.PostWebMessageAsString(payload)</x:v>
      </x:c>
      <x:c r="D105" s="8" t="str">
        <x:v>background</x:v>
      </x:c>
      <x:c r="E105" s="8" t="str">
        <x:v>investigating</x:v>
      </x:c>
      <x:c r="F105" s="8" t="str">
        <x:v>Ben</x:v>
      </x:c>
      <x:c r="G105" s="8" t="str">
        <x:v>evergreen</x:v>
      </x:c>
      <x:c r="H105" s="8" t="str">
        <x:v>C:\apps\WebViewHost\Cache</x:v>
      </x:c>
      <x:c r="I105" s="8" t="n">
        <x:v>578</x:v>
      </x:c>
      <x:c r="J105" s="8"/>
      <x:c r="K105" s="8" t="str">
        <x:v>https://developer.apple.com/documentation/webkit/wkwebview</x:v>
      </x:c>
    </x:row>
    <x:row r="106">
      <x:c r="A106" s="8"/>
      <x:c r="B106" s="8"/>
      <x:c r="C106" s="8"/>
      <x:c r="D106" s="8"/>
      <x:c r="E106" s="8"/>
      <x:c r="F106" s="8"/>
      <x:c r="G106" s="8"/>
      <x:c r="H106" s="8"/>
      <x:c r="I106" s="8"/>
      <x:c r="J106" s="8"/>
      <x:c r="K106" s="8"/>
    </x:row>
    <x:row r="107">
      <x:c r="A107" s="8" t="str">
        <x:v>navigation</x:v>
      </x:c>
      <x:c r="B107" s="8" t="str">
        <x:v>message is dropped after reload</x:v>
      </x:c>
      <x:c r="C107" s="8" t="str">
        <x:v>await CoreWebView2.ExecuteScriptAsync(js)</x:v>
      </x:c>
      <x:c r="D107" s="8" t="str">
        <x:v>unknown</x:v>
      </x:c>
      <x:c r="E107" s="8" t="str">
        <x:v>needs reproduction</x:v>
      </x:c>
      <x:c r="F107" s="8" t="str">
        <x:v>Carla</x:v>
      </x:c>
      <x:c r="G107" s="8" t="str">
        <x:v>evergreen</x:v>
      </x:c>
      <x:c r="H107" s="8"/>
      <x:c r="I107" s="8"/>
      <x:c r="J107" s="8"/>
      <x:c r="K107" s="8"/>
    </x:row>
    <x:row r="108">
      <x:c r="A108" s="8" t="str">
        <x:v>host object</x:v>
      </x:c>
      <x:c r="B108" s="8" t="str">
        <x:v>handler is registered too late</x:v>
      </x:c>
      <x:c r="C108" s="8" t="str">
        <x:v>CoreWebView2.AddHostObjectToScript(name, value)</x:v>
      </x:c>
      <x:c r="D108" s="8" t="str">
        <x:v>background</x:v>
      </x:c>
      <x:c r="E108" s="8" t="str">
        <x:v>needs reproduction</x:v>
      </x:c>
      <x:c r="F108" s="8" t="str">
        <x:v>Ben</x:v>
      </x:c>
      <x:c r="G108" s="8" t="str">
        <x:v>1.0.1901</x:v>
      </x:c>
      <x:c r="H108" s="8"/>
      <x:c r="I108" s="8" t="n">
        <x:v>228</x:v>
      </x:c>
      <x:c r="J108" s="8"/>
      <x:c r="K108" s="8"/>
    </x:row>
    <x:row r="109">
      <x:c r="A109" s="8" t="str">
        <x:v>host object</x:v>
      </x:c>
      <x:c r="B109" s="8" t="str">
        <x:v>script returns a quoted JSON string</x:v>
      </x:c>
      <x:c r="C109" s="8" t="str">
        <x:v>CoreWebView2.AddHostObjectToScript(name, value)</x:v>
      </x:c>
      <x:c r="D109" s="8" t="str">
        <x:v>background</x:v>
      </x:c>
      <x:c r="E109" s="8" t="str">
        <x:v>blocked</x:v>
      </x:c>
      <x:c r="F109" s="8" t="str">
        <x:v>Ben</x:v>
      </x:c>
      <x:c r="G109" s="8" t="str">
        <x:v>evergreen</x:v>
      </x:c>
      <x:c r="H109" s="8"/>
      <x:c r="I109" s="8" t="n">
        <x:v>677</x:v>
      </x:c>
      <x:c r="J109" s="8"/>
      <x:c r="K109" s="8"/>
    </x:row>
    <x:row r="110">
      <x:c r="A110" s="8" t="str">
        <x:v>download</x:v>
      </x:c>
      <x:c r="B110" s="8" t="str">
        <x:v>handler is registered too late</x:v>
      </x:c>
      <x:c r="C110" s="8" t="str">
        <x:v>await CoreWebView2.ExecuteScriptAsync(js)</x:v>
      </x:c>
      <x:c r="D110" s="8" t="str">
        <x:v>unknown</x:v>
      </x:c>
      <x:c r="E110" s="8" t="str">
        <x:v>resolved</x:v>
      </x:c>
      <x:c r="F110" s="8" t="str">
        <x:v>Diego</x:v>
      </x:c>
      <x:c r="G110" s="8" t="str">
        <x:v>evergreen</x:v>
      </x:c>
      <x:c r="H110" s="8"/>
      <x:c r="I110" s="8" t="n">
        <x:v>836</x:v>
      </x:c>
      <x:c r="J110" s="8"/>
      <x:c r="K110" s="8"/>
    </x:row>
    <x:row r="111">
      <x:c r="A111" s="8" t="str">
        <x:v>script</x:v>
      </x:c>
      <x:c r="B111" s="8" t="str">
        <x:v>handler is registered too late</x:v>
      </x:c>
      <x:c r="C111" s="8" t="str">
        <x:v>CoreWebView2.NavigationCompleted += OnDone</x:v>
      </x:c>
      <x:c r="D111" s="8" t="str">
        <x:v>UI</x:v>
      </x:c>
      <x:c r="E111" s="8" t="str">
        <x:v>blocked</x:v>
      </x:c>
      <x:c r="F111" s="8" t="str">
        <x:v>Diego</x:v>
      </x:c>
      <x:c r="G111" s="8" t="str">
        <x:v>1.0.2478</x:v>
      </x:c>
      <x:c r="H111" s="8"/>
      <x:c r="I111" s="8" t="n">
        <x:v>321</x:v>
      </x:c>
      <x:c r="J111" s="8" t="str">
        <x:v>Follow-up: compare the result when the network security policy is relaxed versus when it is enforced.</x:v>
      </x:c>
      <x:c r="K111" s="8"/>
    </x:row>
    <x:row r="112">
      <x:c r="A112" s="8" t="str">
        <x:v>cookie</x:v>
      </x:c>
      <x:c r="B112" s="8" t="str">
        <x:v>works only after first navigation</x:v>
      </x:c>
      <x:c r="C112" s="8" t="str">
        <x:v>await CoreWebView2.ExecuteScriptAsync(js)</x:v>
      </x:c>
      <x:c r="D112" s="8" t="str">
        <x:v>unknown</x:v>
      </x:c>
      <x:c r="E112" s="8" t="str">
        <x:v>resolved</x:v>
      </x:c>
      <x:c r="F112" s="8" t="str">
        <x:v>Diego</x:v>
      </x:c>
      <x:c r="G112" s="8" t="str">
        <x:v>1.0.2478</x:v>
      </x:c>
      <x:c r="H112" s="8" t="str">
        <x:v>C:\apps\WebViewHost\Profiles</x:v>
      </x:c>
      <x:c r="I112" s="8"/>
      <x:c r="J112" s="8" t="str">
        <x:v>A blank cell here is intentional. The source workbook has notes placed away from the nearest table.</x:v>
      </x:c>
      <x:c r="K112" s="8"/>
    </x:row>
    <x:row r="113">
      <x:c r="A113" s="8" t="str">
        <x:v>permission</x:v>
      </x:c>
      <x:c r="B113" s="8" t="str">
        <x:v>script returns a quoted JSON string</x:v>
      </x:c>
      <x:c r="C113" s="8" t="str">
        <x:v>CoreWebView2.AddHostObjectToScript(name, value)</x:v>
      </x:c>
      <x:c r="D113" s="8" t="str">
        <x:v>UI</x:v>
      </x:c>
      <x:c r="E113" s="8" t="str">
        <x:v>investigating</x:v>
      </x:c>
      <x:c r="F113" s="8" t="str">
        <x:v>Mei</x:v>
      </x:c>
      <x:c r="G113" s="8" t="str">
        <x:v>1.0.2478</x:v>
      </x:c>
      <x:c r="H113" s="8"/>
      <x:c r="I113" s="8" t="n">
        <x:v>731</x:v>
      </x:c>
      <x:c r="J113" s="8" t="str">
        <x:v>Follow-up: compare the result when the network security policy is relaxed versus when it is enforced.</x:v>
      </x:c>
      <x:c r="K113" s="8"/>
    </x:row>
    <x:row r="114">
      <x:c r="A114" s="8" t="str">
        <x:v>download</x:v>
      </x:c>
      <x:c r="B114" s="8" t="str">
        <x:v>script returns a quoted JSON string</x:v>
      </x:c>
      <x:c r="C114" s="8" t="str">
        <x:v>CoreWebView2.NavigationCompleted += OnDone</x:v>
      </x:c>
      <x:c r="D114" s="8" t="str">
        <x:v>UI</x:v>
      </x:c>
      <x:c r="E114" s="8" t="str">
        <x:v>investigating</x:v>
      </x:c>
      <x:c r="F114" s="8" t="str">
        <x:v>Diego</x:v>
      </x:c>
      <x:c r="G114" s="8" t="str">
        <x:v>1.0.1901</x:v>
      </x:c>
      <x:c r="H114" s="8"/>
      <x:c r="I114" s="8" t="n">
        <x:v>387</x:v>
      </x:c>
      <x:c r="J114" s="8" t="str">
        <x:v>Observed in a local test run: the content rendered, but the console warning appeared twice.</x:v>
      </x:c>
      <x:c r="K114" s="8" t="str">
        <x:v>https://developer.microsoft.com/en-us/microsoft-edge/webview2/</x:v>
      </x:c>
    </x:row>
    <x:row r="115">
      <x:c r="A115" s="8" t="str">
        <x:v>navigation</x:v>
      </x:c>
      <x:c r="B115" s="8" t="str">
        <x:v>script returns a quoted JSON string</x:v>
      </x:c>
      <x:c r="C115" s="8" t="str">
        <x:v>await CoreWebView2.ExecuteScriptAsync(js)</x:v>
      </x:c>
      <x:c r="D115" s="8" t="str">
        <x:v>background</x:v>
      </x:c>
      <x:c r="E115" s="8" t="str">
        <x:v>resolved</x:v>
      </x:c>
      <x:c r="F115" s="8" t="str">
        <x:v>Asha</x:v>
      </x:c>
      <x:c r="G115" s="8" t="str">
        <x:v>1.0.2210</x:v>
      </x:c>
      <x:c r="H115" s="8"/>
      <x:c r="I115" s="8" t="n">
        <x:v>808</x:v>
      </x:c>
      <x:c r="J115" s="8" t="str">
        <x:v>The owner field was not captured in the original notes, so classification should remain conservative.</x:v>
      </x:c>
      <x:c r="K115" s="8"/>
    </x:row>
    <x:row r="116">
      <x:c r="A116" s="8" t="str">
        <x:v>message</x:v>
      </x:c>
      <x:c r="B116" s="8" t="str">
        <x:v>callback arrives on UI thread</x:v>
      </x:c>
      <x:c r="C116" s="8" t="str">
        <x:v>await CoreWebView2.ExecuteScriptAsync(js)</x:v>
      </x:c>
      <x:c r="D116" s="8" t="str">
        <x:v>UI</x:v>
      </x:c>
      <x:c r="E116" s="8" t="str">
        <x:v>open</x:v>
      </x:c>
      <x:c r="F116" s="8" t="str">
        <x:v>Carla</x:v>
      </x:c>
      <x:c r="G116" s="8" t="str">
        <x:v>1.0.1901</x:v>
      </x:c>
      <x:c r="H116" s="8"/>
      <x:c r="I116" s="8" t="n">
        <x:v>138</x:v>
      </x:c>
      <x:c r="J116" s="8" t="str">
        <x:v>Verify behavior on a cold start and after the page reloads without destroying the native view.</x:v>
      </x:c>
      <x:c r="K116" s="8"/>
    </x:row>
    <x:row r="117">
      <x:c r="A117" s="8" t="str">
        <x:v>cookie</x:v>
      </x:c>
      <x:c r="B117" s="8" t="str">
        <x:v>handler is registered too late</x:v>
      </x:c>
      <x:c r="C117" s="8" t="str">
        <x:v>await CoreWebView2.ExecuteScriptAsync(js)</x:v>
      </x:c>
      <x:c r="D117" s="8" t="str">
        <x:v>unknown</x:v>
      </x:c>
      <x:c r="E117" s="8" t="str">
        <x:v>blocked</x:v>
      </x:c>
      <x:c r="F117" s="8" t="str">
        <x:v>No owner</x:v>
      </x:c>
      <x:c r="G117" s="8" t="str">
        <x:v>1.0.2478</x:v>
      </x:c>
      <x:c r="H117" s="8"/>
      <x:c r="I117" s="8" t="n">
        <x:v>314</x:v>
      </x:c>
      <x:c r="J117" s="8"/>
      <x:c r="K117" s="8"/>
    </x:row>
    <x:row r="118">
      <x:c r="A118" s="8" t="str">
        <x:v>host object</x:v>
      </x:c>
      <x:c r="B118" s="8" t="str">
        <x:v>script returns a quoted JSON string</x:v>
      </x:c>
      <x:c r="C118" s="8" t="str">
        <x:v>await CoreWebView2.ExecuteScriptAsync(js)</x:v>
      </x:c>
      <x:c r="D118" s="8" t="str">
        <x:v>background</x:v>
      </x:c>
      <x:c r="E118" s="8" t="str">
        <x:v>investigating</x:v>
      </x:c>
      <x:c r="F118" s="8" t="str">
        <x:v>No owner</x:v>
      </x:c>
      <x:c r="G118" s="8" t="str">
        <x:v>1.0.2210</x:v>
      </x:c>
      <x:c r="H118" s="8"/>
      <x:c r="I118" s="8" t="n">
        <x:v>800</x:v>
      </x:c>
      <x:c r="J118" s="8"/>
      <x:c r="K118" s="8"/>
    </x:row>
    <x:row r="119">
      <x:c r="A119" s="8" t="str">
        <x:v>script</x:v>
      </x:c>
      <x:c r="B119" s="8" t="str">
        <x:v>message is dropped after reload</x:v>
      </x:c>
      <x:c r="C119" s="8" t="str">
        <x:v>CoreWebView2.AddHostObjectToScript(name, value)</x:v>
      </x:c>
      <x:c r="D119" s="8" t="str">
        <x:v>background</x:v>
      </x:c>
      <x:c r="E119" s="8" t="str">
        <x:v>needs reproduction</x:v>
      </x:c>
      <x:c r="F119" s="8" t="str">
        <x:v>Ben</x:v>
      </x:c>
      <x:c r="G119" s="8" t="str">
        <x:v>1.0.2210</x:v>
      </x:c>
      <x:c r="H119" s="8"/>
      <x:c r="I119" s="8"/>
      <x:c r="J119" s="8"/>
      <x:c r="K119" s="8" t="str">
        <x:v>https://learn.microsoft.com/en-us/microsoft-edge/webview2/concepts/security</x:v>
      </x:c>
    </x:row>
    <x:row r="120">
      <x:c r="A120" s="8" t="str">
        <x:v>script</x:v>
      </x:c>
      <x:c r="B120" s="8" t="str">
        <x:v>handler is registered too late</x:v>
      </x:c>
      <x:c r="C120" s="8" t="str">
        <x:v>CoreWebView2.PostWebMessageAsString(payload)</x:v>
      </x:c>
      <x:c r="D120" s="8" t="str">
        <x:v>unknown</x:v>
      </x:c>
      <x:c r="E120" s="8" t="str">
        <x:v>needs reproduction</x:v>
      </x:c>
      <x:c r="F120" s="8" t="str">
        <x:v>Ben</x:v>
      </x:c>
      <x:c r="G120" s="8" t="str">
        <x:v>evergreen</x:v>
      </x:c>
      <x:c r="H120" s="8" t="str">
        <x:v>C:\apps\WebViewHost\Profiles</x:v>
      </x:c>
      <x:c r="I120" s="8" t="n">
        <x:v>636</x:v>
      </x:c>
      <x:c r="J120" s="8" t="str">
        <x:v>A blank cell here is intentional. The source workbook has notes placed away from the nearest table.</x:v>
      </x:c>
      <x:c r="K120" s="8" t="str">
        <x:v>https://learn.microsoft.com/en-us/microsoft-edge/webview2/concepts/security</x:v>
      </x:c>
    </x:row>
    <x:row r="121">
      <x:c r="A121" s="8" t="str">
        <x:v>download</x:v>
      </x:c>
      <x:c r="B121" s="8" t="str">
        <x:v>script returns a quoted JSON string</x:v>
      </x:c>
      <x:c r="C121" s="8" t="str">
        <x:v>CoreWebView2.NavigationCompleted += OnDone</x:v>
      </x:c>
      <x:c r="D121" s="8" t="str">
        <x:v>unknown</x:v>
      </x:c>
      <x:c r="E121" s="8" t="str">
        <x:v>blocked</x:v>
      </x:c>
      <x:c r="F121" s="8" t="str">
        <x:v>No owner</x:v>
      </x:c>
      <x:c r="G121" s="8" t="str">
        <x:v>1.0.2478</x:v>
      </x:c>
      <x:c r="H121" s="8"/>
      <x:c r="I121" s="8"/>
      <x:c r="J121" s="8"/>
      <x:c r="K121" s="8" t="str">
        <x:v>https://developer.android.com/reference/android/webkit/WebView</x:v>
      </x:c>
    </x:row>
    <x:row r="122">
      <x:c r="A122" s="8" t="str">
        <x:v>host object</x:v>
      </x:c>
      <x:c r="B122" s="8" t="str">
        <x:v>script returns a quoted JSON string</x:v>
      </x:c>
      <x:c r="C122" s="8" t="str">
        <x:v>await CoreWebView2.ExecuteScriptAsync(js)</x:v>
      </x:c>
      <x:c r="D122" s="8" t="str">
        <x:v>UI</x:v>
      </x:c>
      <x:c r="E122" s="8" t="str">
        <x:v>resolved</x:v>
      </x:c>
      <x:c r="F122" s="8" t="str">
        <x:v>Asha</x:v>
      </x:c>
      <x:c r="G122" s="8" t="str">
        <x:v>evergreen</x:v>
      </x:c>
      <x:c r="H122" s="8" t="str">
        <x:v>C:\apps\WebViewHost\Cache</x:v>
      </x:c>
      <x:c r="I122" s="8"/>
      <x:c r="J122" s="8"/>
      <x:c r="K122" s="8"/>
    </x:row>
    <x:row r="123">
      <x:c r="A123" s="8" t="str">
        <x:v>navigation</x:v>
      </x:c>
      <x:c r="B123" s="8" t="str">
        <x:v>works only after first navigation</x:v>
      </x:c>
      <x:c r="C123" s="8" t="str">
        <x:v>CoreWebView2.PostWebMessageAsString(payload)</x:v>
      </x:c>
      <x:c r="D123" s="8" t="str">
        <x:v>unknown</x:v>
      </x:c>
      <x:c r="E123" s="8" t="str">
        <x:v>investigating</x:v>
      </x:c>
      <x:c r="F123" s="8" t="str">
        <x:v>Mei</x:v>
      </x:c>
      <x:c r="G123" s="8" t="str">
        <x:v>evergreen</x:v>
      </x:c>
      <x:c r="H123" s="8" t="str">
        <x:v>C:\apps\WebViewHost\Assets</x:v>
      </x:c>
      <x:c r="I123" s="8"/>
      <x:c r="J123" s="8" t="str">
        <x:v>Follow-up: compare the result when the network security policy is relaxed versus when it is enforced.</x:v>
      </x:c>
      <x:c r="K123" s="8"/>
    </x:row>
    <x:row r="124">
      <x:c r="A124" s="8" t="str">
        <x:v>permission</x:v>
      </x:c>
      <x:c r="B124" s="8" t="str">
        <x:v>script returns a quoted JSON string</x:v>
      </x:c>
      <x:c r="C124" s="8" t="str">
        <x:v>await CoreWebView2.ExecuteScriptAsync(js)</x:v>
      </x:c>
      <x:c r="D124" s="8" t="str">
        <x:v>unknown</x:v>
      </x:c>
      <x:c r="E124" s="8" t="str">
        <x:v>investigating</x:v>
      </x:c>
      <x:c r="F124" s="8" t="str">
        <x:v>Ben</x:v>
      </x:c>
      <x:c r="G124" s="8" t="str">
        <x:v>1.0.2478</x:v>
      </x:c>
      <x:c r="H124" s="8" t="str">
        <x:v>C:\apps\WebViewHost\Cache</x:v>
      </x:c>
      <x:c r="I124" s="8" t="n">
        <x:v>872</x:v>
      </x:c>
      <x:c r="J124" s="8" t="str">
        <x:v>Observed in a local test run: the content rendered, but the console warning appeared twice.</x:v>
      </x:c>
      <x:c r="K124" s="8"/>
    </x:row>
    <x:row r="125">
      <x:c r="A125" s="8" t="str">
        <x:v>cookie</x:v>
      </x:c>
      <x:c r="B125" s="8" t="str">
        <x:v>script returns a quoted JSON string</x:v>
      </x:c>
      <x:c r="C125" s="8" t="str">
        <x:v>CoreWebView2.AddHostObjectToScript(name, value)</x:v>
      </x:c>
      <x:c r="D125" s="8" t="str">
        <x:v>background</x:v>
      </x:c>
      <x:c r="E125" s="8" t="str">
        <x:v>investigating</x:v>
      </x:c>
      <x:c r="F125" s="8" t="str">
        <x:v>Asha</x:v>
      </x:c>
      <x:c r="G125" s="8" t="str">
        <x:v>1.0.2210</x:v>
      </x:c>
      <x:c r="H125" s="8" t="str">
        <x:v>C:\apps\WebViewHost\Profiles</x:v>
      </x:c>
      <x:c r="I125" s="8"/>
      <x:c r="J125" s="8" t="str">
        <x:v>A blank cell here is intentional. The source workbook has notes placed away from the nearest table.</x:v>
      </x:c>
      <x:c r="K125" s="8" t="str">
        <x:v>https://learn.microsoft.com/en-us/microsoft-edge/webview2/concepts/security</x:v>
      </x:c>
    </x:row>
    <x:row r="126">
      <x:c r="A126" s="8" t="str">
        <x:v>navigation</x:v>
      </x:c>
      <x:c r="B126" s="8" t="str">
        <x:v>handler is registered too late</x:v>
      </x:c>
      <x:c r="C126" s="8" t="str">
        <x:v>CoreWebView2.NavigationCompleted += OnDone</x:v>
      </x:c>
      <x:c r="D126" s="8" t="str">
        <x:v>background</x:v>
      </x:c>
      <x:c r="E126" s="8" t="str">
        <x:v>resolved</x:v>
      </x:c>
      <x:c r="F126" s="8" t="str">
        <x:v>Asha</x:v>
      </x:c>
      <x:c r="G126" s="8" t="str">
        <x:v>1.0.2478</x:v>
      </x:c>
      <x:c r="H126" s="8" t="str">
        <x:v>C:\apps\WebViewHost\Assets</x:v>
      </x:c>
      <x:c r="I126" s="8" t="n">
        <x:v>555</x:v>
      </x:c>
      <x:c r="J126" s="8"/>
      <x:c r="K126" s="8"/>
    </x:row>
    <x:row r="127">
      <x:c r="A127" s="8" t="str">
        <x:v>message</x:v>
      </x:c>
      <x:c r="B127" s="8" t="str">
        <x:v>message is dropped after reload</x:v>
      </x:c>
      <x:c r="C127" s="8" t="str">
        <x:v>CoreWebView2.PostWebMessageAsString(payload)</x:v>
      </x:c>
      <x:c r="D127" s="8" t="str">
        <x:v>background</x:v>
      </x:c>
      <x:c r="E127" s="8" t="str">
        <x:v>open</x:v>
      </x:c>
      <x:c r="F127" s="8" t="str">
        <x:v>No owner</x:v>
      </x:c>
      <x:c r="G127" s="8" t="str">
        <x:v>evergreen</x:v>
      </x:c>
      <x:c r="H127" s="8"/>
      <x:c r="I127" s="8" t="n">
        <x:v>888</x:v>
      </x:c>
      <x:c r="J127" s="8" t="str">
        <x:v>The owner field was not captured in the original notes, so classification should remain conservative.</x:v>
      </x:c>
      <x:c r="K127" s="8"/>
    </x:row>
    <x:row r="128">
      <x:c r="A128" s="8" t="str">
        <x:v>host object</x:v>
      </x:c>
      <x:c r="B128" s="8" t="str">
        <x:v>handler is registered too late</x:v>
      </x:c>
      <x:c r="C128" s="8" t="str">
        <x:v>await CoreWebView2.ExecuteScriptAsync(js)</x:v>
      </x:c>
      <x:c r="D128" s="8" t="str">
        <x:v>unknown</x:v>
      </x:c>
      <x:c r="E128" s="8" t="str">
        <x:v>resolved</x:v>
      </x:c>
      <x:c r="F128" s="8" t="str">
        <x:v>Diego</x:v>
      </x:c>
      <x:c r="G128" s="8" t="str">
        <x:v>evergreen</x:v>
      </x:c>
      <x:c r="H128" s="8"/>
      <x:c r="I128" s="8" t="n">
        <x:v>357</x:v>
      </x:c>
      <x:c r="J128" s="8"/>
      <x:c r="K128" s="8" t="str">
        <x:v>https://learn.microsoft.com/en-us/microsoft-edge/webview2/concepts/security</x:v>
      </x:c>
    </x:row>
    <x:row r="129">
      <x:c r="A129" s="8" t="str">
        <x:v>download</x:v>
      </x:c>
      <x:c r="B129" s="8" t="str">
        <x:v>callback arrives on UI thread</x:v>
      </x:c>
      <x:c r="C129" s="8" t="str">
        <x:v>CoreWebView2.PostWebMessageAsString(payload)</x:v>
      </x:c>
      <x:c r="D129" s="8" t="str">
        <x:v>background</x:v>
      </x:c>
      <x:c r="E129" s="8" t="str">
        <x:v>resolved</x:v>
      </x:c>
      <x:c r="F129" s="8" t="str">
        <x:v>Carla</x:v>
      </x:c>
      <x:c r="G129" s="8" t="str">
        <x:v>1.0.2210</x:v>
      </x:c>
      <x:c r="H129" s="8"/>
      <x:c r="I129" s="8" t="n">
        <x:v>204</x:v>
      </x:c>
      <x:c r="J129" s="8" t="str">
        <x:v>The bridge callback is stable for small payloads, but large JSON messages show visible delay during navigation.</x:v>
      </x:c>
      <x:c r="K129" s="8" t="str">
        <x:v>https://github.com/react-native-webview/react-native-webview</x:v>
      </x:c>
    </x:row>
    <x:row r="130">
      <x:c r="A130" s="8"/>
      <x:c r="B130" s="8"/>
      <x:c r="C130" s="8"/>
      <x:c r="D130" s="8"/>
      <x:c r="E130" s="8"/>
      <x:c r="F130" s="8"/>
      <x:c r="G130" s="8"/>
      <x:c r="H130" s="8"/>
      <x:c r="I130" s="8"/>
      <x:c r="J130" s="8"/>
      <x:c r="K130" s="8"/>
    </x:row>
    <x:row r="131">
      <x:c r="A131" s="8" t="str">
        <x:v>navigation</x:v>
      </x:c>
      <x:c r="B131" s="8" t="str">
        <x:v>script returns a quoted JSON string</x:v>
      </x:c>
      <x:c r="C131" s="8" t="str">
        <x:v>CoreWebView2.AddHostObjectToScript(name, value)</x:v>
      </x:c>
      <x:c r="D131" s="8" t="str">
        <x:v>background</x:v>
      </x:c>
      <x:c r="E131" s="8" t="str">
        <x:v>needs reproduction</x:v>
      </x:c>
      <x:c r="F131" s="8" t="str">
        <x:v>Mei</x:v>
      </x:c>
      <x:c r="G131" s="8" t="str">
        <x:v>evergreen</x:v>
      </x:c>
      <x:c r="H131" s="8" t="str">
        <x:v>C:\apps\WebViewHost\Assets</x:v>
      </x:c>
      <x:c r="I131" s="8" t="n">
        <x:v>835</x:v>
      </x:c>
      <x:c r="J131" s="8"/>
      <x:c r="K131" s="8"/>
    </x:row>
    <x:row r="132">
      <x:c r="A132" s="8" t="str">
        <x:v>message</x:v>
      </x:c>
      <x:c r="B132" s="8" t="str">
        <x:v>script returns a quoted JSON string</x:v>
      </x:c>
      <x:c r="C132" s="8" t="str">
        <x:v>await CoreWebView2.ExecuteScriptAsync(js)</x:v>
      </x:c>
      <x:c r="D132" s="8" t="str">
        <x:v>UI</x:v>
      </x:c>
      <x:c r="E132" s="8" t="str">
        <x:v>open</x:v>
      </x:c>
      <x:c r="F132" s="8" t="str">
        <x:v>Diego</x:v>
      </x:c>
      <x:c r="G132" s="8" t="str">
        <x:v>evergreen</x:v>
      </x:c>
      <x:c r="H132" s="8"/>
      <x:c r="I132" s="8" t="n">
        <x:v>457</x:v>
      </x:c>
      <x:c r="J132" s="8" t="str">
        <x:v>A blank cell here is intentional. The source workbook has notes placed away from the nearest table.</x:v>
      </x:c>
      <x:c r="K132" s="8" t="str">
        <x:v>https://developer.microsoft.com/en-us/microsoft-edge/webview2/</x:v>
      </x:c>
    </x:row>
    <x:row r="133">
      <x:c r="A133" s="8" t="str">
        <x:v>cookie</x:v>
      </x:c>
      <x:c r="B133" s="8" t="str">
        <x:v>callback arrives on UI thread</x:v>
      </x:c>
      <x:c r="C133" s="8" t="str">
        <x:v>CoreWebView2.AddHostObjectToScript(name, value)</x:v>
      </x:c>
      <x:c r="D133" s="8" t="str">
        <x:v>UI</x:v>
      </x:c>
      <x:c r="E133" s="8" t="str">
        <x:v>open</x:v>
      </x:c>
      <x:c r="F133" s="8" t="str">
        <x:v>Ben</x:v>
      </x:c>
      <x:c r="G133" s="8" t="str">
        <x:v>1.0.1901</x:v>
      </x:c>
      <x:c r="H133" s="8"/>
      <x:c r="I133" s="8" t="n">
        <x:v>116</x:v>
      </x:c>
      <x:c r="J133" s="8" t="str">
        <x:v>The bridge callback is stable for small payloads, but large JSON messages show visible delay during navigation.</x:v>
      </x:c>
      <x:c r="K133" s="8"/>
    </x:row>
    <x:row r="134">
      <x:c r="A134" s="8" t="str">
        <x:v>navigation</x:v>
      </x:c>
      <x:c r="B134" s="8" t="str">
        <x:v>callback arrives on UI thread</x:v>
      </x:c>
      <x:c r="C134" s="8" t="str">
        <x:v>CoreWebView2.NavigationCompleted += OnDone</x:v>
      </x:c>
      <x:c r="D134" s="8" t="str">
        <x:v>unknown</x:v>
      </x:c>
      <x:c r="E134" s="8" t="str">
        <x:v>open</x:v>
      </x:c>
      <x:c r="F134" s="8" t="str">
        <x:v>Asha</x:v>
      </x:c>
      <x:c r="G134" s="8" t="str">
        <x:v>evergreen</x:v>
      </x:c>
      <x:c r="H134" s="8" t="str">
        <x:v>C:\apps\WebViewHost\Profiles</x:v>
      </x:c>
      <x:c r="I134" s="8" t="n">
        <x:v>599</x:v>
      </x:c>
      <x:c r="J134" s="8"/>
      <x:c r="K134" s="8"/>
    </x:row>
    <x:row r="135">
      <x:c r="A135" s="8" t="str">
        <x:v>host object</x:v>
      </x:c>
      <x:c r="B135" s="8" t="str">
        <x:v>message is dropped after reload</x:v>
      </x:c>
      <x:c r="C135" s="8" t="str">
        <x:v>CoreWebView2.NavigationCompleted += OnDone</x:v>
      </x:c>
      <x:c r="D135" s="8" t="str">
        <x:v>background</x:v>
      </x:c>
      <x:c r="E135" s="8" t="str">
        <x:v>resolved</x:v>
      </x:c>
      <x:c r="F135" s="8" t="str">
        <x:v>Mei</x:v>
      </x:c>
      <x:c r="G135" s="8" t="str">
        <x:v>evergreen</x:v>
      </x:c>
      <x:c r="H135" s="8"/>
      <x:c r="I135" s="8" t="n">
        <x:v>667</x:v>
      </x:c>
      <x:c r="J135" s="8" t="str">
        <x:v>The owner field was not captured in the original notes, so classification should remain conservative.</x:v>
      </x:c>
      <x:c r="K135" s="8"/>
    </x:row>
    <x:row r="136">
      <x:c r="A136" s="8" t="str">
        <x:v>permission</x:v>
      </x:c>
      <x:c r="B136" s="8" t="str">
        <x:v>works only after first navigation</x:v>
      </x:c>
      <x:c r="C136" s="8" t="str">
        <x:v>CoreWebView2.AddHostObjectToScript(name, value)</x:v>
      </x:c>
      <x:c r="D136" s="8" t="str">
        <x:v>background</x:v>
      </x:c>
      <x:c r="E136" s="8" t="str">
        <x:v>open</x:v>
      </x:c>
      <x:c r="F136" s="8" t="str">
        <x:v>Ben</x:v>
      </x:c>
      <x:c r="G136" s="8" t="str">
        <x:v>evergreen</x:v>
      </x:c>
      <x:c r="H136" s="8" t="str">
        <x:v>C:\apps\WebViewHost\Cache</x:v>
      </x:c>
      <x:c r="I136" s="8" t="n">
        <x:v>625</x:v>
      </x:c>
      <x:c r="J136" s="8"/>
      <x:c r="K136" s="8" t="str">
        <x:v>https://developer.android.com/reference/android/webkit/WebView</x:v>
      </x:c>
    </x:row>
    <x:row r="137">
      <x:c r="A137" s="8" t="str">
        <x:v>navigation</x:v>
      </x:c>
      <x:c r="B137" s="8" t="str">
        <x:v>script returns a quoted JSON string</x:v>
      </x:c>
      <x:c r="C137" s="8" t="str">
        <x:v>CoreWebView2.PostWebMessageAsString(payload)</x:v>
      </x:c>
      <x:c r="D137" s="8" t="str">
        <x:v>background</x:v>
      </x:c>
      <x:c r="E137" s="8" t="str">
        <x:v>blocked</x:v>
      </x:c>
      <x:c r="F137" s="8" t="str">
        <x:v>Mei</x:v>
      </x:c>
      <x:c r="G137" s="8" t="str">
        <x:v>1.0.2210</x:v>
      </x:c>
      <x:c r="H137" s="8" t="str">
        <x:v>C:\apps\WebViewHost\Cache</x:v>
      </x:c>
      <x:c r="I137" s="8" t="n">
        <x:v>529</x:v>
      </x:c>
      <x:c r="J137" s="8"/>
      <x:c r="K137" s="8" t="str">
        <x:v>https://developer.apple.com/documentation/webkit/wkwebview</x:v>
      </x:c>
    </x:row>
    <x:row r="138">
      <x:c r="A138" s="8" t="str">
        <x:v>permission</x:v>
      </x:c>
      <x:c r="B138" s="8" t="str">
        <x:v>handler is registered too late</x:v>
      </x:c>
      <x:c r="C138" s="8" t="str">
        <x:v>await CoreWebView2.ExecuteScriptAsync(js)</x:v>
      </x:c>
      <x:c r="D138" s="8" t="str">
        <x:v>UI</x:v>
      </x:c>
      <x:c r="E138" s="8" t="str">
        <x:v>blocked</x:v>
      </x:c>
      <x:c r="F138" s="8" t="str">
        <x:v>Mei</x:v>
      </x:c>
      <x:c r="G138" s="8" t="str">
        <x:v>1.0.1901</x:v>
      </x:c>
      <x:c r="H138" s="8"/>
      <x:c r="I138" s="8" t="n">
        <x:v>203</x:v>
      </x:c>
      <x:c r="J138" s="8"/>
      <x:c r="K138" s="8" t="str">
        <x:v>https://learn.microsoft.com/en-us/microsoft-edge/webview2/concepts/security</x:v>
      </x:c>
    </x:row>
    <x:row r="139">
      <x:c r="A139" s="8" t="str">
        <x:v>download</x:v>
      </x:c>
      <x:c r="B139" s="8" t="str">
        <x:v>works only after first navigation</x:v>
      </x:c>
      <x:c r="C139" s="8" t="str">
        <x:v>CoreWebView2.NavigationCompleted += OnDone</x:v>
      </x:c>
      <x:c r="D139" s="8" t="str">
        <x:v>background</x:v>
      </x:c>
      <x:c r="E139" s="8" t="str">
        <x:v>investigating</x:v>
      </x:c>
      <x:c r="F139" s="8" t="str">
        <x:v>Mei</x:v>
      </x:c>
      <x:c r="G139" s="8" t="str">
        <x:v>1.0.1901</x:v>
      </x:c>
      <x:c r="H139" s="8"/>
      <x:c r="I139" s="8" t="n">
        <x:v>250</x:v>
      </x:c>
      <x:c r="J139" s="8"/>
      <x:c r="K139" s="8"/>
    </x:row>
    <x:row r="140">
      <x:c r="A140" s="8" t="str">
        <x:v>cookie</x:v>
      </x:c>
      <x:c r="B140" s="8" t="str">
        <x:v>callback arrives on UI thread</x:v>
      </x:c>
      <x:c r="C140" s="8" t="str">
        <x:v>await CoreWebView2.ExecuteScriptAsync(js)</x:v>
      </x:c>
      <x:c r="D140" s="8" t="str">
        <x:v>background</x:v>
      </x:c>
      <x:c r="E140" s="8" t="str">
        <x:v>blocked</x:v>
      </x:c>
      <x:c r="F140" s="8" t="str">
        <x:v>Carla</x:v>
      </x:c>
      <x:c r="G140" s="8" t="str">
        <x:v>1.0.2478</x:v>
      </x:c>
      <x:c r="H140" s="8" t="str">
        <x:v>C:\apps\WebViewHost\Profiles</x:v>
      </x:c>
      <x:c r="I140" s="8" t="n">
        <x:v>594</x:v>
      </x:c>
      <x:c r="J140" s="8"/>
      <x:c r="K140" s="8" t="str">
        <x:v>https://developer.microsoft.com/en-us/microsoft-edge/webview2/</x:v>
      </x:c>
    </x:row>
    <x:row r="141">
      <x:c r="A141" s="8" t="str">
        <x:v>download</x:v>
      </x:c>
      <x:c r="B141" s="8" t="str">
        <x:v>script returns a quoted JSON string</x:v>
      </x:c>
      <x:c r="C141" s="8" t="str">
        <x:v>CoreWebView2.PostWebMessageAsString(payload)</x:v>
      </x:c>
      <x:c r="D141" s="8" t="str">
        <x:v>UI</x:v>
      </x:c>
      <x:c r="E141" s="8" t="str">
        <x:v>blocked</x:v>
      </x:c>
      <x:c r="F141" s="8" t="str">
        <x:v>No owner</x:v>
      </x:c>
      <x:c r="G141" s="8" t="str">
        <x:v>1.0.1901</x:v>
      </x:c>
      <x:c r="H141" s="8"/>
      <x:c r="I141" s="8" t="n">
        <x:v>294</x:v>
      </x:c>
      <x:c r="J141" s="8"/>
      <x:c r="K141" s="8" t="str">
        <x:v>https://developer.android.com/reference/android/webkit/WebView</x:v>
      </x:c>
    </x:row>
    <x:row r="142">
      <x:c r="A142" s="8" t="str">
        <x:v>download</x:v>
      </x:c>
      <x:c r="B142" s="8" t="str">
        <x:v>callback arrives on UI thread</x:v>
      </x:c>
      <x:c r="C142" s="8" t="str">
        <x:v>CoreWebView2.AddHostObjectToScript(name, value)</x:v>
      </x:c>
      <x:c r="D142" s="8" t="str">
        <x:v>unknown</x:v>
      </x:c>
      <x:c r="E142" s="8" t="str">
        <x:v>resolved</x:v>
      </x:c>
      <x:c r="F142" s="8" t="str">
        <x:v>Carla</x:v>
      </x:c>
      <x:c r="G142" s="8" t="str">
        <x:v>evergreen</x:v>
      </x:c>
      <x:c r="H142" s="8"/>
      <x:c r="I142" s="8"/>
      <x:c r="J142" s="8" t="str">
        <x:v>A blank cell here is intentional. The source workbook has notes placed away from the nearest table.</x:v>
      </x:c>
      <x:c r="K142" s="8"/>
    </x:row>
    <x:row r="143">
      <x:c r="A143" s="8" t="str">
        <x:v>script</x:v>
      </x:c>
      <x:c r="B143" s="8" t="str">
        <x:v>works only after first navigation</x:v>
      </x:c>
      <x:c r="C143" s="8" t="str">
        <x:v>CoreWebView2.PostWebMessageAsString(payload)</x:v>
      </x:c>
      <x:c r="D143" s="8" t="str">
        <x:v>background</x:v>
      </x:c>
      <x:c r="E143" s="8" t="str">
        <x:v>investigating</x:v>
      </x:c>
      <x:c r="F143" s="8" t="str">
        <x:v>No owner</x:v>
      </x:c>
      <x:c r="G143" s="8" t="str">
        <x:v>1.0.2210</x:v>
      </x:c>
      <x:c r="H143" s="8" t="str">
        <x:v>C:\apps\WebViewHost\Assets</x:v>
      </x:c>
      <x:c r="I143" s="8"/>
      <x:c r="J143" s="8"/>
      <x:c r="K143" s="8"/>
    </x:row>
    <x:row r="144">
      <x:c r="A144" s="8" t="str">
        <x:v>message</x:v>
      </x:c>
      <x:c r="B144" s="8" t="str">
        <x:v>callback arrives on UI thread</x:v>
      </x:c>
      <x:c r="C144" s="8" t="str">
        <x:v>CoreWebView2.NavigationCompleted += OnDone</x:v>
      </x:c>
      <x:c r="D144" s="8" t="str">
        <x:v>background</x:v>
      </x:c>
      <x:c r="E144" s="8" t="str">
        <x:v>resolved</x:v>
      </x:c>
      <x:c r="F144" s="8" t="str">
        <x:v>Mei</x:v>
      </x:c>
      <x:c r="G144" s="8" t="str">
        <x:v>1.0.2478</x:v>
      </x:c>
      <x:c r="H144" s="8"/>
      <x:c r="I144" s="8"/>
      <x:c r="J144" s="8" t="str">
        <x:v>Follow-up: compare the result when the network security policy is relaxed versus when it is enforced.</x:v>
      </x:c>
      <x:c r="K144" s="8"/>
    </x:row>
    <x:row r="145">
      <x:c r="A145" s="8" t="str">
        <x:v>navigation</x:v>
      </x:c>
      <x:c r="B145" s="8" t="str">
        <x:v>works only after first navigation</x:v>
      </x:c>
      <x:c r="C145" s="8" t="str">
        <x:v>CoreWebView2.AddHostObjectToScript(name, value)</x:v>
      </x:c>
      <x:c r="D145" s="8" t="str">
        <x:v>unknown</x:v>
      </x:c>
      <x:c r="E145" s="8" t="str">
        <x:v>investigating</x:v>
      </x:c>
      <x:c r="F145" s="8" t="str">
        <x:v>Asha</x:v>
      </x:c>
      <x:c r="G145" s="8" t="str">
        <x:v>1.0.2478</x:v>
      </x:c>
      <x:c r="H145" s="8"/>
      <x:c r="I145" s="8" t="n">
        <x:v>750</x:v>
      </x:c>
      <x:c r="J145" s="8"/>
      <x:c r="K145" s="8"/>
    </x:row>
    <x:row r="146">
      <x:c r="A146" s="8" t="str">
        <x:v>permission</x:v>
      </x:c>
      <x:c r="B146" s="8" t="str">
        <x:v>works only after first navigation</x:v>
      </x:c>
      <x:c r="C146" s="8" t="str">
        <x:v>await CoreWebView2.ExecuteScriptAsync(js)</x:v>
      </x:c>
      <x:c r="D146" s="8" t="str">
        <x:v>unknown</x:v>
      </x:c>
      <x:c r="E146" s="8" t="str">
        <x:v>resolved</x:v>
      </x:c>
      <x:c r="F146" s="8" t="str">
        <x:v>No owner</x:v>
      </x:c>
      <x:c r="G146" s="8" t="str">
        <x:v>1.0.1901</x:v>
      </x:c>
      <x:c r="H146" s="8"/>
      <x:c r="I146" s="8" t="n">
        <x:v>213</x:v>
      </x:c>
      <x:c r="J146" s="8"/>
      <x:c r="K146" s="8"/>
    </x:row>
    <x:row r="147">
      <x:c r="A147" s="8" t="str">
        <x:v>permission</x:v>
      </x:c>
      <x:c r="B147" s="8" t="str">
        <x:v>works only after first navigation</x:v>
      </x:c>
      <x:c r="C147" s="8" t="str">
        <x:v>CoreWebView2.NavigationCompleted += OnDone</x:v>
      </x:c>
      <x:c r="D147" s="8" t="str">
        <x:v>unknown</x:v>
      </x:c>
      <x:c r="E147" s="8" t="str">
        <x:v>investigating</x:v>
      </x:c>
      <x:c r="F147" s="8" t="str">
        <x:v>Carla</x:v>
      </x:c>
      <x:c r="G147" s="8" t="str">
        <x:v>1.0.2478</x:v>
      </x:c>
      <x:c r="H147" s="8" t="str">
        <x:v>C:\apps\WebViewHost\Cache</x:v>
      </x:c>
      <x:c r="I147" s="8" t="n">
        <x:v>255</x:v>
      </x:c>
      <x:c r="J147" s="8"/>
      <x:c r="K147" s="8"/>
    </x:row>
    <x:row r="148">
      <x:c r="A148" s="8" t="str">
        <x:v>navigation</x:v>
      </x:c>
      <x:c r="B148" s="8" t="str">
        <x:v>script returns a quoted JSON string</x:v>
      </x:c>
      <x:c r="C148" s="8" t="str">
        <x:v>await CoreWebView2.ExecuteScriptAsync(js)</x:v>
      </x:c>
      <x:c r="D148" s="8" t="str">
        <x:v>UI</x:v>
      </x:c>
      <x:c r="E148" s="8" t="str">
        <x:v>investigating</x:v>
      </x:c>
      <x:c r="F148" s="8" t="str">
        <x:v>Asha</x:v>
      </x:c>
      <x:c r="G148" s="8" t="str">
        <x:v>1.0.1901</x:v>
      </x:c>
      <x:c r="H148" s="8" t="str">
        <x:v>C:\apps\WebViewHost\Cache</x:v>
      </x:c>
      <x:c r="I148" s="8" t="n">
        <x:v>899</x:v>
      </x:c>
      <x:c r="J148" s="8"/>
      <x:c r="K148" s="8"/>
    </x:row>
    <x:row r="149">
      <x:c r="A149" s="8" t="str">
        <x:v>download</x:v>
      </x:c>
      <x:c r="B149" s="8" t="str">
        <x:v>works only after first navigation</x:v>
      </x:c>
      <x:c r="C149" s="8" t="str">
        <x:v>CoreWebView2.PostWebMessageAsString(payload)</x:v>
      </x:c>
      <x:c r="D149" s="8" t="str">
        <x:v>UI</x:v>
      </x:c>
      <x:c r="E149" s="8" t="str">
        <x:v>blocked</x:v>
      </x:c>
      <x:c r="F149" s="8" t="str">
        <x:v>Asha</x:v>
      </x:c>
      <x:c r="G149" s="8" t="str">
        <x:v>1.0.2210</x:v>
      </x:c>
      <x:c r="H149" s="8"/>
      <x:c r="I149" s="8" t="n">
        <x:v>847</x:v>
      </x:c>
      <x:c r="J149" s="8"/>
      <x:c r="K149" s="8" t="str">
        <x:v>https://github.com/react-native-webview/react-native-webview</x:v>
      </x:c>
    </x:row>
    <x:row r="150">
      <x:c r="A150" s="8" t="str">
        <x:v>navigation</x:v>
      </x:c>
      <x:c r="B150" s="8" t="str">
        <x:v>works only after first navigation</x:v>
      </x:c>
      <x:c r="C150" s="8" t="str">
        <x:v>CoreWebView2.NavigationCompleted += OnDone</x:v>
      </x:c>
      <x:c r="D150" s="8" t="str">
        <x:v>unknown</x:v>
      </x:c>
      <x:c r="E150" s="8" t="str">
        <x:v>blocked</x:v>
      </x:c>
      <x:c r="F150" s="8" t="str">
        <x:v>Diego</x:v>
      </x:c>
      <x:c r="G150" s="8" t="str">
        <x:v>evergreen</x:v>
      </x:c>
      <x:c r="H150" s="8"/>
      <x:c r="I150" s="8" t="n">
        <x:v>807</x:v>
      </x:c>
      <x:c r="J150" s="8"/>
      <x:c r="K150" s="8"/>
    </x:row>
    <x:row r="151">
      <x:c r="A151" s="8" t="str">
        <x:v>script</x:v>
      </x:c>
      <x:c r="B151" s="8" t="str">
        <x:v>handler is registered too late</x:v>
      </x:c>
      <x:c r="C151" s="8" t="str">
        <x:v>CoreWebView2.AddHostObjectToScript(name, value)</x:v>
      </x:c>
      <x:c r="D151" s="8" t="str">
        <x:v>background</x:v>
      </x:c>
      <x:c r="E151" s="8" t="str">
        <x:v>blocked</x:v>
      </x:c>
      <x:c r="F151" s="8" t="str">
        <x:v>Asha</x:v>
      </x:c>
      <x:c r="G151" s="8" t="str">
        <x:v>1.0.2210</x:v>
      </x:c>
      <x:c r="H151" s="8"/>
      <x:c r="I151" s="8" t="n">
        <x:v>909</x:v>
      </x:c>
      <x:c r="J151" s="8" t="str">
        <x:v>Potential duplicate: this paragraph is repeated in another section to test deduplication and chunk metadata.</x:v>
      </x:c>
      <x:c r="K151" s="8"/>
    </x:row>
    <x:row r="152">
      <x:c r="A152" s="8" t="str">
        <x:v>download</x:v>
      </x:c>
      <x:c r="B152" s="8" t="str">
        <x:v>script returns a quoted JSON string</x:v>
      </x:c>
      <x:c r="C152" s="8" t="str">
        <x:v>await CoreWebView2.ExecuteScriptAsync(js)</x:v>
      </x:c>
      <x:c r="D152" s="8" t="str">
        <x:v>unknown</x:v>
      </x:c>
      <x:c r="E152" s="8" t="str">
        <x:v>open</x:v>
      </x:c>
      <x:c r="F152" s="8" t="str">
        <x:v>Carla</x:v>
      </x:c>
      <x:c r="G152" s="8" t="str">
        <x:v>1.0.2210</x:v>
      </x:c>
      <x:c r="H152" s="8"/>
      <x:c r="I152" s="8" t="n">
        <x:v>589</x:v>
      </x:c>
      <x:c r="J152" s="8" t="str">
        <x:v>Follow-up: compare the result when the network security policy is relaxed versus when it is enforced.</x:v>
      </x:c>
      <x:c r="K152" s="8"/>
    </x:row>
    <x:row r="153">
      <x:c r="A153" s="8" t="str">
        <x:v>host object</x:v>
      </x:c>
      <x:c r="B153" s="8" t="str">
        <x:v>works only after first navigation</x:v>
      </x:c>
      <x:c r="C153" s="8" t="str">
        <x:v>CoreWebView2.NavigationCompleted += OnDone</x:v>
      </x:c>
      <x:c r="D153" s="8" t="str">
        <x:v>unknown</x:v>
      </x:c>
      <x:c r="E153" s="8" t="str">
        <x:v>investigating</x:v>
      </x:c>
      <x:c r="F153" s="8" t="str">
        <x:v>No owner</x:v>
      </x:c>
      <x:c r="G153" s="8" t="str">
        <x:v>1.0.2478</x:v>
      </x:c>
      <x:c r="H153" s="8" t="str">
        <x:v>C:\apps\WebViewHost\Cache</x:v>
      </x:c>
      <x:c r="I153" s="8" t="n">
        <x:v>136</x:v>
      </x:c>
      <x:c r="J153" s="8"/>
      <x:c r="K153" s="8"/>
    </x:row>
    <x:row r="154">
      <x:c r="A154" s="8"/>
      <x:c r="B154" s="8"/>
      <x:c r="C154" s="8"/>
      <x:c r="D154" s="8"/>
      <x:c r="E154" s="8"/>
      <x:c r="F154" s="8"/>
      <x:c r="G154" s="8"/>
      <x:c r="H154" s="8"/>
      <x:c r="I154" s="8"/>
      <x:c r="J154" s="8"/>
      <x:c r="K154" s="8"/>
    </x:row>
    <x:row r="155">
      <x:c r="A155" s="8" t="str">
        <x:v>script</x:v>
      </x:c>
      <x:c r="B155" s="8" t="str">
        <x:v>message is dropped after reload</x:v>
      </x:c>
      <x:c r="C155" s="8" t="str">
        <x:v>await CoreWebView2.ExecuteScriptAsync(js)</x:v>
      </x:c>
      <x:c r="D155" s="8" t="str">
        <x:v>unknown</x:v>
      </x:c>
      <x:c r="E155" s="8" t="str">
        <x:v>open</x:v>
      </x:c>
      <x:c r="F155" s="8" t="str">
        <x:v>Carla</x:v>
      </x:c>
      <x:c r="G155" s="8" t="str">
        <x:v>1.0.1901</x:v>
      </x:c>
      <x:c r="H155" s="8"/>
      <x:c r="I155" s="8" t="n">
        <x:v>326</x:v>
      </x:c>
      <x:c r="J155" s="8" t="str">
        <x:v>Potential duplicate: this paragraph is repeated in another section to test deduplication and chunk metadata.</x:v>
      </x:c>
      <x:c r="K155" s="8" t="str">
        <x:v>https://learn.microsoft.com/en-us/microsoft-edge/webview2/concepts/security</x:v>
      </x:c>
    </x:row>
    <x:row r="156">
      <x:c r="A156" s="8" t="str">
        <x:v>script</x:v>
      </x:c>
      <x:c r="B156" s="8" t="str">
        <x:v>callback arrives on UI thread</x:v>
      </x:c>
      <x:c r="C156" s="8" t="str">
        <x:v>CoreWebView2.NavigationCompleted += OnDone</x:v>
      </x:c>
      <x:c r="D156" s="8" t="str">
        <x:v>unknown</x:v>
      </x:c>
      <x:c r="E156" s="8" t="str">
        <x:v>investigating</x:v>
      </x:c>
      <x:c r="F156" s="8" t="str">
        <x:v>Carla</x:v>
      </x:c>
      <x:c r="G156" s="8" t="str">
        <x:v>1.0.2210</x:v>
      </x:c>
      <x:c r="H156" s="8" t="str">
        <x:v>C:\apps\WebViewHost\Profiles</x:v>
      </x:c>
      <x:c r="I156" s="8" t="n">
        <x:v>645</x:v>
      </x:c>
      <x:c r="J156" s="8"/>
      <x:c r="K156" s="8"/>
    </x:row>
    <x:row r="157">
      <x:c r="A157" s="8" t="str">
        <x:v>navigation</x:v>
      </x:c>
      <x:c r="B157" s="8" t="str">
        <x:v>message is dropped after reload</x:v>
      </x:c>
      <x:c r="C157" s="8" t="str">
        <x:v>CoreWebView2.AddHostObjectToScript(name, value)</x:v>
      </x:c>
      <x:c r="D157" s="8" t="str">
        <x:v>unknown</x:v>
      </x:c>
      <x:c r="E157" s="8" t="str">
        <x:v>blocked</x:v>
      </x:c>
      <x:c r="F157" s="8" t="str">
        <x:v>Mei</x:v>
      </x:c>
      <x:c r="G157" s="8" t="str">
        <x:v>1.0.2478</x:v>
      </x:c>
      <x:c r="H157" s="8"/>
      <x:c r="I157" s="8" t="n">
        <x:v>164</x:v>
      </x:c>
      <x:c r="J157" s="8" t="str">
        <x:v>Follow-up: compare the result when the network security policy is relaxed versus when it is enforced.</x:v>
      </x:c>
      <x:c r="K157" s="8"/>
    </x:row>
    <x:row r="158">
      <x:c r="A158" s="8" t="str">
        <x:v>message</x:v>
      </x:c>
      <x:c r="B158" s="8" t="str">
        <x:v>message is dropped after reload</x:v>
      </x:c>
      <x:c r="C158" s="8" t="str">
        <x:v>CoreWebView2.AddHostObjectToScript(name, value)</x:v>
      </x:c>
      <x:c r="D158" s="8" t="str">
        <x:v>background</x:v>
      </x:c>
      <x:c r="E158" s="8" t="str">
        <x:v>needs reproduction</x:v>
      </x:c>
      <x:c r="F158" s="8" t="str">
        <x:v>Asha</x:v>
      </x:c>
      <x:c r="G158" s="8" t="str">
        <x:v>1.0.1901</x:v>
      </x:c>
      <x:c r="H158" s="8"/>
      <x:c r="I158" s="8" t="n">
        <x:v>660</x:v>
      </x:c>
      <x:c r="J158" s="8"/>
      <x:c r="K158" s="8"/>
    </x:row>
    <x:row r="159">
      <x:c r="A159" s="8" t="str">
        <x:v>message</x:v>
      </x:c>
      <x:c r="B159" s="8" t="str">
        <x:v>callback arrives on UI thread</x:v>
      </x:c>
      <x:c r="C159" s="8" t="str">
        <x:v>CoreWebView2.AddHostObjectToScript(name, value)</x:v>
      </x:c>
      <x:c r="D159" s="8" t="str">
        <x:v>background</x:v>
      </x:c>
      <x:c r="E159" s="8" t="str">
        <x:v>needs reproduction</x:v>
      </x:c>
      <x:c r="F159" s="8" t="str">
        <x:v>Asha</x:v>
      </x:c>
      <x:c r="G159" s="8" t="str">
        <x:v>evergreen</x:v>
      </x:c>
      <x:c r="H159" s="8" t="str">
        <x:v>C:\apps\WebViewHost\Profiles</x:v>
      </x:c>
      <x:c r="I159" s="8"/>
      <x:c r="J159" s="8" t="str">
        <x:v>Verify behavior on a cold start and after the page reloads without destroying the native view.</x:v>
      </x:c>
      <x:c r="K159" s="8"/>
    </x:row>
    <x:row r="160">
      <x:c r="A160" s="8" t="str">
        <x:v>host object</x:v>
      </x:c>
      <x:c r="B160" s="8" t="str">
        <x:v>works only after first navigation</x:v>
      </x:c>
      <x:c r="C160" s="8" t="str">
        <x:v>await CoreWebView2.ExecuteScriptAsync(js)</x:v>
      </x:c>
      <x:c r="D160" s="8" t="str">
        <x:v>UI</x:v>
      </x:c>
      <x:c r="E160" s="8" t="str">
        <x:v>resolved</x:v>
      </x:c>
      <x:c r="F160" s="8" t="str">
        <x:v>Diego</x:v>
      </x:c>
      <x:c r="G160" s="8" t="str">
        <x:v>1.0.1901</x:v>
      </x:c>
      <x:c r="H160" s="8"/>
      <x:c r="I160" s="8"/>
      <x:c r="J160" s="8"/>
      <x:c r="K160" s="8"/>
    </x:row>
    <x:row r="161">
      <x:c r="A161" s="8" t="str">
        <x:v>cookie</x:v>
      </x:c>
      <x:c r="B161" s="8" t="str">
        <x:v>callback arrives on UI thread</x:v>
      </x:c>
      <x:c r="C161" s="8" t="str">
        <x:v>CoreWebView2.NavigationCompleted += OnDone</x:v>
      </x:c>
      <x:c r="D161" s="8" t="str">
        <x:v>UI</x:v>
      </x:c>
      <x:c r="E161" s="8" t="str">
        <x:v>investigating</x:v>
      </x:c>
      <x:c r="F161" s="8" t="str">
        <x:v>Carla</x:v>
      </x:c>
      <x:c r="G161" s="8" t="str">
        <x:v>evergreen</x:v>
      </x:c>
      <x:c r="H161" s="8" t="str">
        <x:v>C:\apps\WebViewHost\Assets</x:v>
      </x:c>
      <x:c r="I161" s="8" t="n">
        <x:v>180</x:v>
      </x:c>
      <x:c r="J161" s="8"/>
      <x:c r="K161" s="8"/>
    </x:row>
    <x:row r="162">
      <x:c r="A162" s="8" t="str">
        <x:v>permission</x:v>
      </x:c>
      <x:c r="B162" s="8" t="str">
        <x:v>message is dropped after reload</x:v>
      </x:c>
      <x:c r="C162" s="8" t="str">
        <x:v>CoreWebView2.PostWebMessageAsString(payload)</x:v>
      </x:c>
      <x:c r="D162" s="8" t="str">
        <x:v>UI</x:v>
      </x:c>
      <x:c r="E162" s="8" t="str">
        <x:v>investigating</x:v>
      </x:c>
      <x:c r="F162" s="8" t="str">
        <x:v>No owner</x:v>
      </x:c>
      <x:c r="G162" s="8" t="str">
        <x:v>1.0.2210</x:v>
      </x:c>
      <x:c r="H162" s="8"/>
      <x:c r="I162" s="8" t="n">
        <x:v>601</x:v>
      </x:c>
      <x:c r="J162" s="8"/>
      <x:c r="K162" s="8"/>
    </x:row>
    <x:row r="163">
      <x:c r="A163" s="8" t="str">
        <x:v>navigation</x:v>
      </x:c>
      <x:c r="B163" s="8" t="str">
        <x:v>script returns a quoted JSON string</x:v>
      </x:c>
      <x:c r="C163" s="8" t="str">
        <x:v>CoreWebView2.AddHostObjectToScript(name, value)</x:v>
      </x:c>
      <x:c r="D163" s="8" t="str">
        <x:v>UI</x:v>
      </x:c>
      <x:c r="E163" s="8" t="str">
        <x:v>open</x:v>
      </x:c>
      <x:c r="F163" s="8" t="str">
        <x:v>Ben</x:v>
      </x:c>
      <x:c r="G163" s="8" t="str">
        <x:v>1.0.2210</x:v>
      </x:c>
      <x:c r="H163" s="8"/>
      <x:c r="I163" s="8"/>
      <x:c r="J163" s="8" t="str">
        <x:v>The owner field was not captured in the original notes, so classification should remain conservative.</x:v>
      </x:c>
      <x:c r="K163" s="8"/>
    </x:row>
    <x:row r="164">
      <x:c r="A164" s="8" t="str">
        <x:v>script</x:v>
      </x:c>
      <x:c r="B164" s="8" t="str">
        <x:v>works only after first navigation</x:v>
      </x:c>
      <x:c r="C164" s="8" t="str">
        <x:v>CoreWebView2.NavigationCompleted += OnDone</x:v>
      </x:c>
      <x:c r="D164" s="8" t="str">
        <x:v>unknown</x:v>
      </x:c>
      <x:c r="E164" s="8" t="str">
        <x:v>investigating</x:v>
      </x:c>
      <x:c r="F164" s="8" t="str">
        <x:v>Asha</x:v>
      </x:c>
      <x:c r="G164" s="8" t="str">
        <x:v>1.0.2478</x:v>
      </x:c>
      <x:c r="H164" s="8"/>
      <x:c r="I164" s="8" t="n">
        <x:v>775</x:v>
      </x:c>
      <x:c r="J164" s="8" t="str">
        <x:v>The bridge callback is stable for small payloads, but large JSON messages show visible delay during navigation.</x:v>
      </x:c>
      <x:c r="K164" s="8" t="str">
        <x:v>https://developer.android.com/reference/android/webkit/WebView</x:v>
      </x:c>
    </x:row>
    <x:row r="165">
      <x:c r="A165" s="8" t="str">
        <x:v>navigation</x:v>
      </x:c>
      <x:c r="B165" s="8" t="str">
        <x:v>script returns a quoted JSON string</x:v>
      </x:c>
      <x:c r="C165" s="8" t="str">
        <x:v>CoreWebView2.AddHostObjectToScript(name, value)</x:v>
      </x:c>
      <x:c r="D165" s="8" t="str">
        <x:v>background</x:v>
      </x:c>
      <x:c r="E165" s="8" t="str">
        <x:v>investigating</x:v>
      </x:c>
      <x:c r="F165" s="8" t="str">
        <x:v>Mei</x:v>
      </x:c>
      <x:c r="G165" s="8" t="str">
        <x:v>1.0.2478</x:v>
      </x:c>
      <x:c r="H165" s="8" t="str">
        <x:v>C:\apps\WebViewHost\Cache</x:v>
      </x:c>
      <x:c r="I165" s="8"/>
      <x:c r="J165" s="8" t="str">
        <x:v>Verify behavior on a cold start and after the page reloads without destroying the native view.</x:v>
      </x:c>
      <x:c r="K165" s="8"/>
    </x:row>
    <x:row r="166">
      <x:c r="A166" s="8" t="str">
        <x:v>navigation</x:v>
      </x:c>
      <x:c r="B166" s="8" t="str">
        <x:v>works only after first navigation</x:v>
      </x:c>
      <x:c r="C166" s="8" t="str">
        <x:v>CoreWebView2.AddHostObjectToScript(name, value)</x:v>
      </x:c>
      <x:c r="D166" s="8" t="str">
        <x:v>background</x:v>
      </x:c>
      <x:c r="E166" s="8" t="str">
        <x:v>open</x:v>
      </x:c>
      <x:c r="F166" s="8" t="str">
        <x:v>Mei</x:v>
      </x:c>
      <x:c r="G166" s="8" t="str">
        <x:v>1.0.1901</x:v>
      </x:c>
      <x:c r="H166" s="8" t="str">
        <x:v>C:\apps\WebViewHost\Profiles</x:v>
      </x:c>
      <x:c r="I166" s="8"/>
      <x:c r="J166" s="8" t="str">
        <x:v>Observed in a local test run: the content rendered, but the console warning appeared twice.</x:v>
      </x:c>
      <x:c r="K166" s="8"/>
    </x:row>
    <x:row r="167">
      <x:c r="A167" s="8" t="str">
        <x:v>download</x:v>
      </x:c>
      <x:c r="B167" s="8" t="str">
        <x:v>message is dropped after reload</x:v>
      </x:c>
      <x:c r="C167" s="8" t="str">
        <x:v>await CoreWebView2.ExecuteScriptAsync(js)</x:v>
      </x:c>
      <x:c r="D167" s="8" t="str">
        <x:v>unknown</x:v>
      </x:c>
      <x:c r="E167" s="8" t="str">
        <x:v>open</x:v>
      </x:c>
      <x:c r="F167" s="8" t="str">
        <x:v>No owner</x:v>
      </x:c>
      <x:c r="G167" s="8" t="str">
        <x:v>1.0.2478</x:v>
      </x:c>
      <x:c r="H167" s="8" t="str">
        <x:v>C:\apps\WebViewHost\Assets</x:v>
      </x:c>
      <x:c r="I167" s="8"/>
      <x:c r="J167" s="8"/>
      <x:c r="K167" s="8" t="str">
        <x:v>https://github.com/react-native-webview/react-native-webview</x:v>
      </x:c>
    </x:row>
    <x:row r="168">
      <x:c r="A168" s="8" t="str">
        <x:v>permission</x:v>
      </x:c>
      <x:c r="B168" s="8" t="str">
        <x:v>script returns a quoted JSON string</x:v>
      </x:c>
      <x:c r="C168" s="8" t="str">
        <x:v>await CoreWebView2.ExecuteScriptAsync(js)</x:v>
      </x:c>
      <x:c r="D168" s="8" t="str">
        <x:v>unknown</x:v>
      </x:c>
      <x:c r="E168" s="8" t="str">
        <x:v>needs reproduction</x:v>
      </x:c>
      <x:c r="F168" s="8" t="str">
        <x:v>Carla</x:v>
      </x:c>
      <x:c r="G168" s="8" t="str">
        <x:v>1.0.2478</x:v>
      </x:c>
      <x:c r="H168" s="8"/>
      <x:c r="I168" s="8" t="n">
        <x:v>244</x:v>
      </x:c>
      <x:c r="J168" s="8" t="str">
        <x:v>Observed in a local test run: the content rendered, but the console warning appeared twice.</x:v>
      </x:c>
      <x:c r="K168" s="8"/>
    </x:row>
    <x:row r="169">
      <x:c r="A169" s="8" t="str">
        <x:v>host object</x:v>
      </x:c>
      <x:c r="B169" s="8" t="str">
        <x:v>handler is registered too late</x:v>
      </x:c>
      <x:c r="C169" s="8" t="str">
        <x:v>CoreWebView2.NavigationCompleted += OnDone</x:v>
      </x:c>
      <x:c r="D169" s="8" t="str">
        <x:v>unknown</x:v>
      </x:c>
      <x:c r="E169" s="8" t="str">
        <x:v>resolved</x:v>
      </x:c>
      <x:c r="F169" s="8" t="str">
        <x:v>Asha</x:v>
      </x:c>
      <x:c r="G169" s="8" t="str">
        <x:v>1.0.2210</x:v>
      </x:c>
      <x:c r="H169" s="8" t="str">
        <x:v>C:\apps\WebViewHost\Profiles</x:v>
      </x:c>
      <x:c r="I169" s="8" t="n">
        <x:v>273</x:v>
      </x:c>
      <x:c r="J169" s="8" t="str">
        <x:v>A blank cell here is intentional. The source workbook has notes placed away from the nearest table.</x:v>
      </x:c>
      <x:c r="K169" s="8"/>
    </x:row>
    <x:row r="170">
      <x:c r="A170" s="8" t="str">
        <x:v>download</x:v>
      </x:c>
      <x:c r="B170" s="8" t="str">
        <x:v>script returns a quoted JSON string</x:v>
      </x:c>
      <x:c r="C170" s="8" t="str">
        <x:v>CoreWebView2.AddHostObjectToScript(name, value)</x:v>
      </x:c>
      <x:c r="D170" s="8" t="str">
        <x:v>unknown</x:v>
      </x:c>
      <x:c r="E170" s="8" t="str">
        <x:v>investigating</x:v>
      </x:c>
      <x:c r="F170" s="8" t="str">
        <x:v>Ben</x:v>
      </x:c>
      <x:c r="G170" s="8" t="str">
        <x:v>1.0.2210</x:v>
      </x:c>
      <x:c r="H170" s="8"/>
      <x:c r="I170" s="8"/>
      <x:c r="J170" s="8"/>
      <x:c r="K170" s="8"/>
    </x:row>
    <x:row r="171">
      <x:c r="A171" s="8" t="str">
        <x:v>download</x:v>
      </x:c>
      <x:c r="B171" s="8" t="str">
        <x:v>script returns a quoted JSON string</x:v>
      </x:c>
      <x:c r="C171" s="8" t="str">
        <x:v>CoreWebView2.AddHostObjectToScript(name, value)</x:v>
      </x:c>
      <x:c r="D171" s="8" t="str">
        <x:v>unknown</x:v>
      </x:c>
      <x:c r="E171" s="8" t="str">
        <x:v>blocked</x:v>
      </x:c>
      <x:c r="F171" s="8" t="str">
        <x:v>Ben</x:v>
      </x:c>
      <x:c r="G171" s="8" t="str">
        <x:v>1.0.1901</x:v>
      </x:c>
      <x:c r="H171" s="8"/>
      <x:c r="I171" s="8" t="n">
        <x:v>386</x:v>
      </x:c>
      <x:c r="J171" s="8" t="str">
        <x:v>Potential duplicate: this paragraph is repeated in another section to test deduplication and chunk metadata.</x:v>
      </x:c>
      <x:c r="K171" s="8"/>
    </x:row>
    <x:row r="172">
      <x:c r="A172" s="8" t="str">
        <x:v>host object</x:v>
      </x:c>
      <x:c r="B172" s="8" t="str">
        <x:v>callback arrives on UI thread</x:v>
      </x:c>
      <x:c r="C172" s="8" t="str">
        <x:v>CoreWebView2.NavigationCompleted += OnDone</x:v>
      </x:c>
      <x:c r="D172" s="8" t="str">
        <x:v>UI</x:v>
      </x:c>
      <x:c r="E172" s="8" t="str">
        <x:v>investigating</x:v>
      </x:c>
      <x:c r="F172" s="8" t="str">
        <x:v>Ben</x:v>
      </x:c>
      <x:c r="G172" s="8" t="str">
        <x:v>1.0.1901</x:v>
      </x:c>
      <x:c r="H172" s="8"/>
      <x:c r="I172" s="8" t="n">
        <x:v>221</x:v>
      </x:c>
      <x:c r="J172" s="8"/>
      <x:c r="K172" s="8"/>
    </x:row>
    <x:row r="173">
      <x:c r="A173" s="8" t="str">
        <x:v>cookie</x:v>
      </x:c>
      <x:c r="B173" s="8" t="str">
        <x:v>works only after first navigation</x:v>
      </x:c>
      <x:c r="C173" s="8" t="str">
        <x:v>await CoreWebView2.ExecuteScriptAsync(js)</x:v>
      </x:c>
      <x:c r="D173" s="8" t="str">
        <x:v>UI</x:v>
      </x:c>
      <x:c r="E173" s="8" t="str">
        <x:v>blocked</x:v>
      </x:c>
      <x:c r="F173" s="8" t="str">
        <x:v>Mei</x:v>
      </x:c>
      <x:c r="G173" s="8" t="str">
        <x:v>evergreen</x:v>
      </x:c>
      <x:c r="H173" s="8" t="str">
        <x:v>C:\apps\WebViewHost\Cache</x:v>
      </x:c>
      <x:c r="I173" s="8" t="n">
        <x:v>672</x:v>
      </x:c>
      <x:c r="J173" s="8"/>
      <x:c r="K173" s="8"/>
    </x:row>
    <x:row r="174">
      <x:c r="A174" s="8" t="str">
        <x:v>script</x:v>
      </x:c>
      <x:c r="B174" s="8" t="str">
        <x:v>script returns a quoted JSON string</x:v>
      </x:c>
      <x:c r="C174" s="8" t="str">
        <x:v>CoreWebView2.NavigationCompleted += OnDone</x:v>
      </x:c>
      <x:c r="D174" s="8" t="str">
        <x:v>unknown</x:v>
      </x:c>
      <x:c r="E174" s="8" t="str">
        <x:v>investigating</x:v>
      </x:c>
      <x:c r="F174" s="8" t="str">
        <x:v>Mei</x:v>
      </x:c>
      <x:c r="G174" s="8" t="str">
        <x:v>1.0.2478</x:v>
      </x:c>
      <x:c r="H174" s="8"/>
      <x:c r="I174" s="8" t="n">
        <x:v>79</x:v>
      </x:c>
      <x:c r="J174" s="8" t="str">
        <x:v>Follow-up: compare the result when the network security policy is relaxed versus when it is enforced.</x:v>
      </x:c>
      <x:c r="K174" s="8" t="str">
        <x:v>https://developer.apple.com/documentation/webkit/wkwebview</x:v>
      </x:c>
    </x:row>
    <x:row r="175">
      <x:c r="A175" s="8" t="str">
        <x:v>host object</x:v>
      </x:c>
      <x:c r="B175" s="8" t="str">
        <x:v>handler is registered too late</x:v>
      </x:c>
      <x:c r="C175" s="8" t="str">
        <x:v>CoreWebView2.PostWebMessageAsString(payload)</x:v>
      </x:c>
      <x:c r="D175" s="8" t="str">
        <x:v>UI</x:v>
      </x:c>
      <x:c r="E175" s="8" t="str">
        <x:v>resolved</x:v>
      </x:c>
      <x:c r="F175" s="8" t="str">
        <x:v>Carla</x:v>
      </x:c>
      <x:c r="G175" s="8" t="str">
        <x:v>1.0.1901</x:v>
      </x:c>
      <x:c r="H175" s="8" t="str">
        <x:v>C:\apps\WebViewHost\Assets</x:v>
      </x:c>
      <x:c r="I175" s="8" t="n">
        <x:v>831</x:v>
      </x:c>
      <x:c r="J175" s="8"/>
      <x:c r="K175" s="8"/>
    </x:row>
    <x:row r="176">
      <x:c r="A176" s="8" t="str">
        <x:v>host object</x:v>
      </x:c>
      <x:c r="B176" s="8" t="str">
        <x:v>handler is registered too late</x:v>
      </x:c>
      <x:c r="C176" s="8" t="str">
        <x:v>CoreWebView2.AddHostObjectToScript(name, value)</x:v>
      </x:c>
      <x:c r="D176" s="8" t="str">
        <x:v>UI</x:v>
      </x:c>
      <x:c r="E176" s="8" t="str">
        <x:v>open</x:v>
      </x:c>
      <x:c r="F176" s="8" t="str">
        <x:v>Asha</x:v>
      </x:c>
      <x:c r="G176" s="8" t="str">
        <x:v>evergreen</x:v>
      </x:c>
      <x:c r="H176" s="8"/>
      <x:c r="I176" s="8" t="n">
        <x:v>878</x:v>
      </x:c>
      <x:c r="J176" s="8"/>
      <x:c r="K176" s="8"/>
    </x:row>
    <x:row r="177">
      <x:c r="A177" s="8" t="str">
        <x:v>host object</x:v>
      </x:c>
      <x:c r="B177" s="8" t="str">
        <x:v>callback arrives on UI thread</x:v>
      </x:c>
      <x:c r="C177" s="8" t="str">
        <x:v>CoreWebView2.AddHostObjectToScript(name, value)</x:v>
      </x:c>
      <x:c r="D177" s="8" t="str">
        <x:v>background</x:v>
      </x:c>
      <x:c r="E177" s="8" t="str">
        <x:v>blocked</x:v>
      </x:c>
      <x:c r="F177" s="8" t="str">
        <x:v>Asha</x:v>
      </x:c>
      <x:c r="G177" s="8" t="str">
        <x:v>1.0.1901</x:v>
      </x:c>
      <x:c r="H177" s="8" t="str">
        <x:v>C:\apps\WebViewHost\Profiles</x:v>
      </x:c>
      <x:c r="I177" s="8" t="n">
        <x:v>830</x:v>
      </x:c>
      <x:c r="J177" s="8" t="str">
        <x:v>Observed in a local test run: the content rendered, but the console warning appeared twice.</x:v>
      </x:c>
      <x:c r="K177" s="8" t="str">
        <x:v>https://developer.apple.com/documentation/webkit/wkwebview</x:v>
      </x:c>
    </x:row>
    <x:row r="178">
      <x:c r="A178" s="8"/>
      <x:c r="B178" s="8"/>
      <x:c r="C178" s="8"/>
      <x:c r="D178" s="8"/>
      <x:c r="E178" s="8"/>
      <x:c r="F178" s="8"/>
      <x:c r="G178" s="8"/>
      <x:c r="H178" s="8"/>
      <x:c r="I178" s="8"/>
      <x:c r="J178" s="8"/>
      <x:c r="K178" s="8"/>
    </x:row>
    <x:row r="179">
      <x:c r="A179" s="8" t="str">
        <x:v>script</x:v>
      </x:c>
      <x:c r="B179" s="8" t="str">
        <x:v>works only after first navigation</x:v>
      </x:c>
      <x:c r="C179" s="8" t="str">
        <x:v>CoreWebView2.NavigationCompleted += OnDone</x:v>
      </x:c>
      <x:c r="D179" s="8" t="str">
        <x:v>UI</x:v>
      </x:c>
      <x:c r="E179" s="8" t="str">
        <x:v>resolved</x:v>
      </x:c>
      <x:c r="F179" s="8" t="str">
        <x:v>Diego</x:v>
      </x:c>
      <x:c r="G179" s="8" t="str">
        <x:v>1.0.2478</x:v>
      </x:c>
      <x:c r="H179" s="8" t="str">
        <x:v>C:\apps\WebViewHost\Profiles</x:v>
      </x:c>
      <x:c r="I179" s="8"/>
      <x:c r="J179" s="8" t="str">
        <x:v>Observed in a local test run: the content rendered, but the console warning appeared twice.</x:v>
      </x:c>
      <x:c r="K179" s="8" t="str">
        <x:v>https://github.com/react-native-webview/react-native-webview</x:v>
      </x:c>
    </x:row>
    <x:row r="180">
      <x:c r="A180" s="8" t="str">
        <x:v>permission</x:v>
      </x:c>
      <x:c r="B180" s="8" t="str">
        <x:v>handler is registered too late</x:v>
      </x:c>
      <x:c r="C180" s="8" t="str">
        <x:v>CoreWebView2.AddHostObjectToScript(name, value)</x:v>
      </x:c>
      <x:c r="D180" s="8" t="str">
        <x:v>UI</x:v>
      </x:c>
      <x:c r="E180" s="8" t="str">
        <x:v>blocked</x:v>
      </x:c>
      <x:c r="F180" s="8" t="str">
        <x:v>Carla</x:v>
      </x:c>
      <x:c r="G180" s="8" t="str">
        <x:v>1.0.2210</x:v>
      </x:c>
      <x:c r="H180" s="8"/>
      <x:c r="I180" s="8" t="n">
        <x:v>523</x:v>
      </x:c>
      <x:c r="J180" s="8" t="str">
        <x:v>The owner field was not captured in the original notes, so classification should remain conservative.</x:v>
      </x:c>
      <x:c r="K180" s="8"/>
    </x:row>
    <x:row r="181">
      <x:c r="A181" s="8" t="str">
        <x:v>download</x:v>
      </x:c>
      <x:c r="B181" s="8" t="str">
        <x:v>callback arrives on UI thread</x:v>
      </x:c>
      <x:c r="C181" s="8" t="str">
        <x:v>CoreWebView2.PostWebMessageAsString(payload)</x:v>
      </x:c>
      <x:c r="D181" s="8" t="str">
        <x:v>UI</x:v>
      </x:c>
      <x:c r="E181" s="8" t="str">
        <x:v>resolved</x:v>
      </x:c>
      <x:c r="F181" s="8" t="str">
        <x:v>Mei</x:v>
      </x:c>
      <x:c r="G181" s="8" t="str">
        <x:v>1.0.2210</x:v>
      </x:c>
      <x:c r="H181" s="8"/>
      <x:c r="I181" s="8" t="n">
        <x:v>370</x:v>
      </x:c>
      <x:c r="J181" s="8" t="str">
        <x:v>Verify behavior on a cold start and after the page reloads without destroying the native view.</x:v>
      </x:c>
      <x:c r="K181" s="8"/>
    </x:row>
    <x:row r="182">
      <x:c r="A182" s="8" t="str">
        <x:v>message</x:v>
      </x:c>
      <x:c r="B182" s="8" t="str">
        <x:v>callback arrives on UI thread</x:v>
      </x:c>
      <x:c r="C182" s="8" t="str">
        <x:v>CoreWebView2.PostWebMessageAsString(payload)</x:v>
      </x:c>
      <x:c r="D182" s="8" t="str">
        <x:v>UI</x:v>
      </x:c>
      <x:c r="E182" s="8" t="str">
        <x:v>blocked</x:v>
      </x:c>
      <x:c r="F182" s="8" t="str">
        <x:v>Diego</x:v>
      </x:c>
      <x:c r="G182" s="8" t="str">
        <x:v>evergreen</x:v>
      </x:c>
      <x:c r="H182" s="8"/>
      <x:c r="I182" s="8" t="n">
        <x:v>259</x:v>
      </x:c>
      <x:c r="J182" s="8"/>
      <x:c r="K182" s="8"/>
    </x:row>
    <x:row r="183">
      <x:c r="A183" s="8" t="str">
        <x:v>script</x:v>
      </x:c>
      <x:c r="B183" s="8" t="str">
        <x:v>script returns a quoted JSON string</x:v>
      </x:c>
      <x:c r="C183" s="8" t="str">
        <x:v>CoreWebView2.PostWebMessageAsString(payload)</x:v>
      </x:c>
      <x:c r="D183" s="8" t="str">
        <x:v>background</x:v>
      </x:c>
      <x:c r="E183" s="8" t="str">
        <x:v>investigating</x:v>
      </x:c>
      <x:c r="F183" s="8" t="str">
        <x:v>Ben</x:v>
      </x:c>
      <x:c r="G183" s="8" t="str">
        <x:v>1.0.1901</x:v>
      </x:c>
      <x:c r="H183" s="8"/>
      <x:c r="I183" s="8" t="n">
        <x:v>649</x:v>
      </x:c>
      <x:c r="J183" s="8" t="str">
        <x:v>Verify behavior on a cold start and after the page reloads without destroying the native view.</x:v>
      </x:c>
      <x:c r="K183" s="8"/>
    </x:row>
    <x:row r="184">
      <x:c r="A184" s="8" t="str">
        <x:v>navigation</x:v>
      </x:c>
      <x:c r="B184" s="8" t="str">
        <x:v>message is dropped after reload</x:v>
      </x:c>
      <x:c r="C184" s="8" t="str">
        <x:v>CoreWebView2.PostWebMessageAsString(payload)</x:v>
      </x:c>
      <x:c r="D184" s="8" t="str">
        <x:v>UI</x:v>
      </x:c>
      <x:c r="E184" s="8" t="str">
        <x:v>blocked</x:v>
      </x:c>
      <x:c r="F184" s="8" t="str">
        <x:v>Carla</x:v>
      </x:c>
      <x:c r="G184" s="8" t="str">
        <x:v>1.0.2210</x:v>
      </x:c>
      <x:c r="H184" s="8"/>
      <x:c r="I184" s="8" t="n">
        <x:v>262</x:v>
      </x:c>
      <x:c r="J184" s="8" t="str">
        <x:v>Verify behavior on a cold start and after the page reloads without destroying the native view.</x:v>
      </x:c>
      <x:c r="K184" s="8"/>
    </x:row>
    <x:row r="185">
      <x:c r="A185" s="8" t="str">
        <x:v>script</x:v>
      </x:c>
      <x:c r="B185" s="8" t="str">
        <x:v>works only after first navigation</x:v>
      </x:c>
      <x:c r="C185" s="8" t="str">
        <x:v>CoreWebView2.AddHostObjectToScript(name, value)</x:v>
      </x:c>
      <x:c r="D185" s="8" t="str">
        <x:v>UI</x:v>
      </x:c>
      <x:c r="E185" s="8" t="str">
        <x:v>needs reproduction</x:v>
      </x:c>
      <x:c r="F185" s="8" t="str">
        <x:v>No owner</x:v>
      </x:c>
      <x:c r="G185" s="8" t="str">
        <x:v>1.0.1901</x:v>
      </x:c>
      <x:c r="H185" s="8"/>
      <x:c r="I185" s="8" t="n">
        <x:v>887</x:v>
      </x:c>
      <x:c r="J185" s="8" t="str">
        <x:v>Observed in a local test run: the content rendered, but the console warning appeared twice.</x:v>
      </x:c>
      <x:c r="K185" s="8"/>
    </x:row>
    <x:row r="186">
      <x:c r="A186" s="8" t="str">
        <x:v>cookie</x:v>
      </x:c>
      <x:c r="B186" s="8" t="str">
        <x:v>works only after first navigation</x:v>
      </x:c>
      <x:c r="C186" s="8" t="str">
        <x:v>CoreWebView2.PostWebMessageAsString(payload)</x:v>
      </x:c>
      <x:c r="D186" s="8" t="str">
        <x:v>background</x:v>
      </x:c>
      <x:c r="E186" s="8" t="str">
        <x:v>open</x:v>
      </x:c>
      <x:c r="F186" s="8" t="str">
        <x:v>Asha</x:v>
      </x:c>
      <x:c r="G186" s="8" t="str">
        <x:v>1.0.2210</x:v>
      </x:c>
      <x:c r="H186" s="8"/>
      <x:c r="I186" s="8" t="n">
        <x:v>131</x:v>
      </x:c>
      <x:c r="J186" s="8" t="str">
        <x:v>Follow-up: compare the result when the network security policy is relaxed versus when it is enforced.</x:v>
      </x:c>
      <x:c r="K186" s="8"/>
    </x:row>
    <x:row r="187">
      <x:c r="A187" s="8" t="str">
        <x:v>cookie</x:v>
      </x:c>
      <x:c r="B187" s="8" t="str">
        <x:v>works only after first navigation</x:v>
      </x:c>
      <x:c r="C187" s="8" t="str">
        <x:v>CoreWebView2.NavigationCompleted += OnDone</x:v>
      </x:c>
      <x:c r="D187" s="8" t="str">
        <x:v>UI</x:v>
      </x:c>
      <x:c r="E187" s="8" t="str">
        <x:v>needs reproduction</x:v>
      </x:c>
      <x:c r="F187" s="8" t="str">
        <x:v>Asha</x:v>
      </x:c>
      <x:c r="G187" s="8" t="str">
        <x:v>evergreen</x:v>
      </x:c>
      <x:c r="H187" s="8" t="str">
        <x:v>C:\apps\WebViewHost\Cache</x:v>
      </x:c>
      <x:c r="I187" s="8" t="n">
        <x:v>180</x:v>
      </x:c>
      <x:c r="J187" s="8"/>
      <x:c r="K187" s="8"/>
    </x:row>
    <x:row r="188">
      <x:c r="A188" s="8" t="str">
        <x:v>permission</x:v>
      </x:c>
      <x:c r="B188" s="8" t="str">
        <x:v>handler is registered too late</x:v>
      </x:c>
      <x:c r="C188" s="8" t="str">
        <x:v>CoreWebView2.NavigationCompleted += OnDone</x:v>
      </x:c>
      <x:c r="D188" s="8" t="str">
        <x:v>background</x:v>
      </x:c>
      <x:c r="E188" s="8" t="str">
        <x:v>needs reproduction</x:v>
      </x:c>
      <x:c r="F188" s="8" t="str">
        <x:v>No owner</x:v>
      </x:c>
      <x:c r="G188" s="8" t="str">
        <x:v>1.0.1901</x:v>
      </x:c>
      <x:c r="H188" s="8"/>
      <x:c r="I188" s="8" t="n">
        <x:v>425</x:v>
      </x:c>
      <x:c r="J188" s="8"/>
      <x:c r="K188" s="8"/>
    </x:row>
    <x:row r="189">
      <x:c r="A189" s="8" t="str">
        <x:v>navigation</x:v>
      </x:c>
      <x:c r="B189" s="8" t="str">
        <x:v>message is dropped after reload</x:v>
      </x:c>
      <x:c r="C189" s="8" t="str">
        <x:v>CoreWebView2.AddHostObjectToScript(name, value)</x:v>
      </x:c>
      <x:c r="D189" s="8" t="str">
        <x:v>unknown</x:v>
      </x:c>
      <x:c r="E189" s="8" t="str">
        <x:v>blocked</x:v>
      </x:c>
      <x:c r="F189" s="8" t="str">
        <x:v>No owner</x:v>
      </x:c>
      <x:c r="G189" s="8" t="str">
        <x:v>1.0.2210</x:v>
      </x:c>
      <x:c r="H189" s="8" t="str">
        <x:v>C:\apps\WebViewHost\Assets</x:v>
      </x:c>
      <x:c r="I189" s="8" t="n">
        <x:v>804</x:v>
      </x:c>
      <x:c r="J189" s="8" t="str">
        <x:v>A blank cell here is intentional. The source workbook has notes placed away from the nearest table.</x:v>
      </x:c>
      <x:c r="K189" s="8"/>
    </x:row>
    <x:row r="190">
      <x:c r="A190" s="8" t="str">
        <x:v>download</x:v>
      </x:c>
      <x:c r="B190" s="8" t="str">
        <x:v>callback arrives on UI thread</x:v>
      </x:c>
      <x:c r="C190" s="8" t="str">
        <x:v>CoreWebView2.PostWebMessageAsString(payload)</x:v>
      </x:c>
      <x:c r="D190" s="8" t="str">
        <x:v>unknown</x:v>
      </x:c>
      <x:c r="E190" s="8" t="str">
        <x:v>open</x:v>
      </x:c>
      <x:c r="F190" s="8" t="str">
        <x:v>Diego</x:v>
      </x:c>
      <x:c r="G190" s="8" t="str">
        <x:v>1.0.1901</x:v>
      </x:c>
      <x:c r="H190" s="8"/>
      <x:c r="I190" s="8"/>
      <x:c r="J190" s="8" t="str">
        <x:v>Observed in a local test run: the content rendered, but the console warning appeared twice.</x:v>
      </x:c>
      <x:c r="K190" s="8"/>
    </x:row>
    <x:row r="191">
      <x:c r="A191" s="8" t="str">
        <x:v>script</x:v>
      </x:c>
      <x:c r="B191" s="8" t="str">
        <x:v>message is dropped after reload</x:v>
      </x:c>
      <x:c r="C191" s="8" t="str">
        <x:v>await CoreWebView2.ExecuteScriptAsync(js)</x:v>
      </x:c>
      <x:c r="D191" s="8" t="str">
        <x:v>unknown</x:v>
      </x:c>
      <x:c r="E191" s="8" t="str">
        <x:v>needs reproduction</x:v>
      </x:c>
      <x:c r="F191" s="8" t="str">
        <x:v>Asha</x:v>
      </x:c>
      <x:c r="G191" s="8" t="str">
        <x:v>1.0.2210</x:v>
      </x:c>
      <x:c r="H191" s="8"/>
      <x:c r="I191" s="8"/>
      <x:c r="J191" s="8" t="str">
        <x:v>The owner field was not captured in the original notes, so classification should remain conservative.</x:v>
      </x:c>
      <x:c r="K191" s="8"/>
    </x:row>
    <x:row r="192">
      <x:c r="A192" s="8" t="str">
        <x:v>host object</x:v>
      </x:c>
      <x:c r="B192" s="8" t="str">
        <x:v>callback arrives on UI thread</x:v>
      </x:c>
      <x:c r="C192" s="8" t="str">
        <x:v>CoreWebView2.NavigationCompleted += OnDone</x:v>
      </x:c>
      <x:c r="D192" s="8" t="str">
        <x:v>background</x:v>
      </x:c>
      <x:c r="E192" s="8" t="str">
        <x:v>resolved</x:v>
      </x:c>
      <x:c r="F192" s="8" t="str">
        <x:v>Carla</x:v>
      </x:c>
      <x:c r="G192" s="8" t="str">
        <x:v>1.0.1901</x:v>
      </x:c>
      <x:c r="H192" s="8" t="str">
        <x:v>C:\apps\WebViewHost\Assets</x:v>
      </x:c>
      <x:c r="I192" s="8" t="n">
        <x:v>774</x:v>
      </x:c>
      <x:c r="J192" s="8"/>
      <x:c r="K192" s="8"/>
    </x:row>
    <x:row r="193">
      <x:c r="A193" s="8" t="str">
        <x:v>message</x:v>
      </x:c>
      <x:c r="B193" s="8" t="str">
        <x:v>handler is registered too late</x:v>
      </x:c>
      <x:c r="C193" s="8" t="str">
        <x:v>CoreWebView2.AddHostObjectToScript(name, value)</x:v>
      </x:c>
      <x:c r="D193" s="8" t="str">
        <x:v>UI</x:v>
      </x:c>
      <x:c r="E193" s="8" t="str">
        <x:v>resolved</x:v>
      </x:c>
      <x:c r="F193" s="8" t="str">
        <x:v>Mei</x:v>
      </x:c>
      <x:c r="G193" s="8" t="str">
        <x:v>1.0.2478</x:v>
      </x:c>
      <x:c r="H193" s="8" t="str">
        <x:v>C:\apps\WebViewHost\Assets</x:v>
      </x:c>
      <x:c r="I193" s="8" t="n">
        <x:v>682</x:v>
      </x:c>
      <x:c r="J193" s="8"/>
      <x:c r="K193" s="8" t="str">
        <x:v>https://learn.microsoft.com/en-us/microsoft-edge/webview2/concepts/security</x:v>
      </x:c>
    </x:row>
    <x:row r="194">
      <x:c r="A194" s="8" t="str">
        <x:v>cookie</x:v>
      </x:c>
      <x:c r="B194" s="8" t="str">
        <x:v>callback arrives on UI thread</x:v>
      </x:c>
      <x:c r="C194" s="8" t="str">
        <x:v>CoreWebView2.NavigationCompleted += OnDone</x:v>
      </x:c>
      <x:c r="D194" s="8" t="str">
        <x:v>unknown</x:v>
      </x:c>
      <x:c r="E194" s="8" t="str">
        <x:v>resolved</x:v>
      </x:c>
      <x:c r="F194" s="8" t="str">
        <x:v>Carla</x:v>
      </x:c>
      <x:c r="G194" s="8" t="str">
        <x:v>evergreen</x:v>
      </x:c>
      <x:c r="H194" s="8"/>
      <x:c r="I194" s="8" t="n">
        <x:v>886</x:v>
      </x:c>
      <x:c r="J194" s="8"/>
      <x:c r="K194" s="8"/>
    </x:row>
    <x:row r="195">
      <x:c r="A195" s="8" t="str">
        <x:v>host object</x:v>
      </x:c>
      <x:c r="B195" s="8" t="str">
        <x:v>message is dropped after reload</x:v>
      </x:c>
      <x:c r="C195" s="8" t="str">
        <x:v>await CoreWebView2.ExecuteScriptAsync(js)</x:v>
      </x:c>
      <x:c r="D195" s="8" t="str">
        <x:v>unknown</x:v>
      </x:c>
      <x:c r="E195" s="8" t="str">
        <x:v>blocked</x:v>
      </x:c>
      <x:c r="F195" s="8" t="str">
        <x:v>No owner</x:v>
      </x:c>
      <x:c r="G195" s="8" t="str">
        <x:v>1.0.2210</x:v>
      </x:c>
      <x:c r="H195" s="8"/>
      <x:c r="I195" s="8" t="n">
        <x:v>242</x:v>
      </x:c>
      <x:c r="J195" s="8"/>
      <x:c r="K195" s="8"/>
    </x:row>
    <x:row r="196">
      <x:c r="A196" s="8" t="str">
        <x:v>host object</x:v>
      </x:c>
      <x:c r="B196" s="8" t="str">
        <x:v>message is dropped after reload</x:v>
      </x:c>
      <x:c r="C196" s="8" t="str">
        <x:v>CoreWebView2.AddHostObjectToScript(name, value)</x:v>
      </x:c>
      <x:c r="D196" s="8" t="str">
        <x:v>unknown</x:v>
      </x:c>
      <x:c r="E196" s="8" t="str">
        <x:v>blocked</x:v>
      </x:c>
      <x:c r="F196" s="8" t="str">
        <x:v>Mei</x:v>
      </x:c>
      <x:c r="G196" s="8" t="str">
        <x:v>1.0.1901</x:v>
      </x:c>
      <x:c r="H196" s="8" t="str">
        <x:v>C:\apps\WebViewHost\Assets</x:v>
      </x:c>
      <x:c r="I196" s="8" t="n">
        <x:v>129</x:v>
      </x:c>
      <x:c r="J196" s="8"/>
      <x:c r="K196" s="8" t="str">
        <x:v>https://developer.apple.com/documentation/webkit/wkwebview</x:v>
      </x:c>
    </x:row>
    <x:row r="197">
      <x:c r="A197" s="8" t="str">
        <x:v>host object</x:v>
      </x:c>
      <x:c r="B197" s="8" t="str">
        <x:v>message is dropped after reload</x:v>
      </x:c>
      <x:c r="C197" s="8" t="str">
        <x:v>CoreWebView2.PostWebMessageAsString(payload)</x:v>
      </x:c>
      <x:c r="D197" s="8" t="str">
        <x:v>background</x:v>
      </x:c>
      <x:c r="E197" s="8" t="str">
        <x:v>needs reproduction</x:v>
      </x:c>
      <x:c r="F197" s="8" t="str">
        <x:v>Carla</x:v>
      </x:c>
      <x:c r="G197" s="8" t="str">
        <x:v>1.0.1901</x:v>
      </x:c>
      <x:c r="H197" s="8"/>
      <x:c r="I197" s="8" t="n">
        <x:v>846</x:v>
      </x:c>
      <x:c r="J197" s="8" t="str">
        <x:v>Observed in a local test run: the content rendered, but the console warning appeared twice.</x:v>
      </x:c>
      <x:c r="K197" s="8"/>
    </x:row>
    <x:row r="198">
      <x:c r="A198" s="8" t="str">
        <x:v>message</x:v>
      </x:c>
      <x:c r="B198" s="8" t="str">
        <x:v>callback arrives on UI thread</x:v>
      </x:c>
      <x:c r="C198" s="8" t="str">
        <x:v>CoreWebView2.NavigationCompleted += OnDone</x:v>
      </x:c>
      <x:c r="D198" s="8" t="str">
        <x:v>unknown</x:v>
      </x:c>
      <x:c r="E198" s="8" t="str">
        <x:v>blocked</x:v>
      </x:c>
      <x:c r="F198" s="8" t="str">
        <x:v>Diego</x:v>
      </x:c>
      <x:c r="G198" s="8" t="str">
        <x:v>1.0.2478</x:v>
      </x:c>
      <x:c r="H198" s="8"/>
      <x:c r="I198" s="8" t="n">
        <x:v>256</x:v>
      </x:c>
      <x:c r="J198" s="8"/>
      <x:c r="K198" s="8"/>
    </x:row>
    <x:row r="199">
      <x:c r="A199" s="8" t="str">
        <x:v>navigation</x:v>
      </x:c>
      <x:c r="B199" s="8" t="str">
        <x:v>handler is registered too late</x:v>
      </x:c>
      <x:c r="C199" s="8" t="str">
        <x:v>CoreWebView2.AddHostObjectToScript(name, value)</x:v>
      </x:c>
      <x:c r="D199" s="8" t="str">
        <x:v>UI</x:v>
      </x:c>
      <x:c r="E199" s="8" t="str">
        <x:v>investigating</x:v>
      </x:c>
      <x:c r="F199" s="8" t="str">
        <x:v>Asha</x:v>
      </x:c>
      <x:c r="G199" s="8" t="str">
        <x:v>1.0.2478</x:v>
      </x:c>
      <x:c r="H199" s="8" t="str">
        <x:v>C:\apps\WebViewHost\Profiles</x:v>
      </x:c>
      <x:c r="I199" s="8" t="n">
        <x:v>733</x:v>
      </x:c>
      <x:c r="J199" s="8"/>
      <x:c r="K199" s="8" t="str">
        <x:v>https://learn.microsoft.com/en-us/microsoft-edge/webview2/concepts/security</x:v>
      </x:c>
    </x:row>
    <x:row r="200">
      <x:c r="A200" s="8" t="str">
        <x:v>navigation</x:v>
      </x:c>
      <x:c r="B200" s="8" t="str">
        <x:v>handler is registered too late</x:v>
      </x:c>
      <x:c r="C200" s="8" t="str">
        <x:v>CoreWebView2.PostWebMessageAsString(payload)</x:v>
      </x:c>
      <x:c r="D200" s="8" t="str">
        <x:v>background</x:v>
      </x:c>
      <x:c r="E200" s="8" t="str">
        <x:v>open</x:v>
      </x:c>
      <x:c r="F200" s="8" t="str">
        <x:v>Asha</x:v>
      </x:c>
      <x:c r="G200" s="8" t="str">
        <x:v>1.0.1901</x:v>
      </x:c>
      <x:c r="H200" s="8"/>
      <x:c r="I200" s="8" t="n">
        <x:v>891</x:v>
      </x:c>
      <x:c r="J200" s="8" t="str">
        <x:v>Observed in a local test run: the content rendered, but the console warning appeared twice.</x:v>
      </x:c>
      <x:c r="K200" s="8" t="str">
        <x:v>https://developer.microsoft.com/en-us/microsoft-edge/webview2/</x:v>
      </x:c>
    </x:row>
    <x:row r="201">
      <x:c r="A201" s="8" t="str">
        <x:v>script</x:v>
      </x:c>
      <x:c r="B201" s="8" t="str">
        <x:v>handler is registered too late</x:v>
      </x:c>
      <x:c r="C201" s="8" t="str">
        <x:v>await CoreWebView2.ExecuteScriptAsync(js)</x:v>
      </x:c>
      <x:c r="D201" s="8" t="str">
        <x:v>UI</x:v>
      </x:c>
      <x:c r="E201" s="8" t="str">
        <x:v>needs reproduction</x:v>
      </x:c>
      <x:c r="F201" s="8" t="str">
        <x:v>Asha</x:v>
      </x:c>
      <x:c r="G201" s="8" t="str">
        <x:v>evergreen</x:v>
      </x:c>
      <x:c r="H201" s="8"/>
      <x:c r="I201" s="8" t="n">
        <x:v>915</x:v>
      </x:c>
      <x:c r="J201" s="8" t="str">
        <x:v>The bridge callback is stable for small payloads, but large JSON messages show visible delay during navigation.</x:v>
      </x:c>
      <x:c r="K201" s="8"/>
    </x:row>
    <x:row r="202">
      <x:c r="A202" s="8"/>
      <x:c r="B202" s="8"/>
      <x:c r="C202" s="8"/>
      <x:c r="D202" s="8"/>
      <x:c r="E202" s="8"/>
      <x:c r="F202" s="8"/>
      <x:c r="G202" s="8"/>
      <x:c r="H202" s="8"/>
      <x:c r="I202" s="8"/>
      <x:c r="J202" s="8"/>
      <x:c r="K202" s="8"/>
    </x:row>
    <x:row r="203">
      <x:c r="A203" s="8" t="str">
        <x:v>script</x:v>
      </x:c>
      <x:c r="B203" s="8" t="str">
        <x:v>callback arrives on UI thread</x:v>
      </x:c>
      <x:c r="C203" s="8" t="str">
        <x:v>await CoreWebView2.ExecuteScriptAsync(js)</x:v>
      </x:c>
      <x:c r="D203" s="8" t="str">
        <x:v>unknown</x:v>
      </x:c>
      <x:c r="E203" s="8" t="str">
        <x:v>needs reproduction</x:v>
      </x:c>
      <x:c r="F203" s="8" t="str">
        <x:v>Diego</x:v>
      </x:c>
      <x:c r="G203" s="8" t="str">
        <x:v>evergreen</x:v>
      </x:c>
      <x:c r="H203" s="8"/>
      <x:c r="I203" s="8" t="n">
        <x:v>799</x:v>
      </x:c>
      <x:c r="J203" s="8" t="str">
        <x:v>This sentence is long enough to exercise wrapping and downstream chunk boundaries in Markdown output.</x:v>
      </x:c>
      <x:c r="K203" s="8"/>
    </x:row>
    <x:row r="204">
      <x:c r="A204" s="8" t="str">
        <x:v>cookie</x:v>
      </x:c>
      <x:c r="B204" s="8" t="str">
        <x:v>script returns a quoted JSON string</x:v>
      </x:c>
      <x:c r="C204" s="8" t="str">
        <x:v>CoreWebView2.PostWebMessageAsString(payload)</x:v>
      </x:c>
      <x:c r="D204" s="8" t="str">
        <x:v>UI</x:v>
      </x:c>
      <x:c r="E204" s="8" t="str">
        <x:v>blocked</x:v>
      </x:c>
      <x:c r="F204" s="8" t="str">
        <x:v>Carla</x:v>
      </x:c>
      <x:c r="G204" s="8" t="str">
        <x:v>1.0.2478</x:v>
      </x:c>
      <x:c r="H204" s="8" t="str">
        <x:v>C:\apps\WebViewHost\Cache</x:v>
      </x:c>
      <x:c r="I204" s="8" t="n">
        <x:v>60</x:v>
      </x:c>
      <x:c r="J204" s="8"/>
      <x:c r="K204" s="8" t="str">
        <x:v>https://developer.apple.com/documentation/webkit/wkwebview</x:v>
      </x:c>
    </x:row>
    <x:row r="205">
      <x:c r="A205" s="8" t="str">
        <x:v>permission</x:v>
      </x:c>
      <x:c r="B205" s="8" t="str">
        <x:v>callback arrives on UI thread</x:v>
      </x:c>
      <x:c r="C205" s="8" t="str">
        <x:v>CoreWebView2.NavigationCompleted += OnDone</x:v>
      </x:c>
      <x:c r="D205" s="8" t="str">
        <x:v>UI</x:v>
      </x:c>
      <x:c r="E205" s="8" t="str">
        <x:v>blocked</x:v>
      </x:c>
      <x:c r="F205" s="8" t="str">
        <x:v>Ben</x:v>
      </x:c>
      <x:c r="G205" s="8" t="str">
        <x:v>evergreen</x:v>
      </x:c>
      <x:c r="H205" s="8"/>
      <x:c r="I205" s="8" t="n">
        <x:v>462</x:v>
      </x:c>
      <x:c r="J205" s="8"/>
      <x:c r="K205" s="8"/>
    </x:row>
    <x:row r="206">
      <x:c r="A206" s="8" t="str">
        <x:v>permission</x:v>
      </x:c>
      <x:c r="B206" s="8" t="str">
        <x:v>handler is registered too late</x:v>
      </x:c>
      <x:c r="C206" s="8" t="str">
        <x:v>CoreWebView2.PostWebMessageAsString(payload)</x:v>
      </x:c>
      <x:c r="D206" s="8" t="str">
        <x:v>unknown</x:v>
      </x:c>
      <x:c r="E206" s="8" t="str">
        <x:v>open</x:v>
      </x:c>
      <x:c r="F206" s="8" t="str">
        <x:v>Carla</x:v>
      </x:c>
      <x:c r="G206" s="8" t="str">
        <x:v>1.0.2478</x:v>
      </x:c>
      <x:c r="H206" s="8" t="str">
        <x:v>C:\apps\WebViewHost\Profiles</x:v>
      </x:c>
      <x:c r="I206" s="8"/>
      <x:c r="J206" s="8"/>
      <x:c r="K206" s="8"/>
    </x:row>
    <x:row r="207">
      <x:c r="A207" s="8" t="str">
        <x:v>host object</x:v>
      </x:c>
      <x:c r="B207" s="8" t="str">
        <x:v>script returns a quoted JSON string</x:v>
      </x:c>
      <x:c r="C207" s="8" t="str">
        <x:v>CoreWebView2.AddHostObjectToScript(name, value)</x:v>
      </x:c>
      <x:c r="D207" s="8" t="str">
        <x:v>UI</x:v>
      </x:c>
      <x:c r="E207" s="8" t="str">
        <x:v>blocked</x:v>
      </x:c>
      <x:c r="F207" s="8" t="str">
        <x:v>Carla</x:v>
      </x:c>
      <x:c r="G207" s="8" t="str">
        <x:v>1.0.2478</x:v>
      </x:c>
      <x:c r="H207" s="8" t="str">
        <x:v>C:\apps\WebViewHost\Cache</x:v>
      </x:c>
      <x:c r="I207" s="8" t="n">
        <x:v>261</x:v>
      </x:c>
      <x:c r="J207" s="8"/>
      <x:c r="K207" s="8"/>
    </x:row>
    <x:row r="208">
      <x:c r="A208" s="8" t="str">
        <x:v>permission</x:v>
      </x:c>
      <x:c r="B208" s="8" t="str">
        <x:v>callback arrives on UI thread</x:v>
      </x:c>
      <x:c r="C208" s="8" t="str">
        <x:v>CoreWebView2.AddHostObjectToScript(name, value)</x:v>
      </x:c>
      <x:c r="D208" s="8" t="str">
        <x:v>UI</x:v>
      </x:c>
      <x:c r="E208" s="8" t="str">
        <x:v>investigating</x:v>
      </x:c>
      <x:c r="F208" s="8" t="str">
        <x:v>Ben</x:v>
      </x:c>
      <x:c r="G208" s="8" t="str">
        <x:v>1.0.1901</x:v>
      </x:c>
      <x:c r="H208" s="8" t="str">
        <x:v>C:\apps\WebViewHost\Cache</x:v>
      </x:c>
      <x:c r="I208" s="8" t="n">
        <x:v>822</x:v>
      </x:c>
      <x:c r="J208" s="8"/>
      <x:c r="K208" s="8"/>
    </x:row>
    <x:row r="209">
      <x:c r="A209" s="8" t="str">
        <x:v>permission</x:v>
      </x:c>
      <x:c r="B209" s="8" t="str">
        <x:v>works only after first navigation</x:v>
      </x:c>
      <x:c r="C209" s="8" t="str">
        <x:v>await CoreWebView2.ExecuteScriptAsync(js)</x:v>
      </x:c>
      <x:c r="D209" s="8" t="str">
        <x:v>background</x:v>
      </x:c>
      <x:c r="E209" s="8" t="str">
        <x:v>blocked</x:v>
      </x:c>
      <x:c r="F209" s="8" t="str">
        <x:v>No owner</x:v>
      </x:c>
      <x:c r="G209" s="8" t="str">
        <x:v>evergreen</x:v>
      </x:c>
      <x:c r="H209" s="8" t="str">
        <x:v>C:\apps\WebViewHost\Cache</x:v>
      </x:c>
      <x:c r="I209" s="8" t="n">
        <x:v>615</x:v>
      </x:c>
      <x:c r="J209" s="8"/>
      <x:c r="K209" s="8" t="str">
        <x:v>https://developer.microsoft.com/en-us/microsoft-edge/webview2/</x:v>
      </x:c>
    </x:row>
    <x:row r="210">
      <x:c r="A210" s="8" t="str">
        <x:v>navigation</x:v>
      </x:c>
      <x:c r="B210" s="8" t="str">
        <x:v>callback arrives on UI thread</x:v>
      </x:c>
      <x:c r="C210" s="8" t="str">
        <x:v>CoreWebView2.PostWebMessageAsString(payload)</x:v>
      </x:c>
      <x:c r="D210" s="8" t="str">
        <x:v>UI</x:v>
      </x:c>
      <x:c r="E210" s="8" t="str">
        <x:v>resolved</x:v>
      </x:c>
      <x:c r="F210" s="8" t="str">
        <x:v>Diego</x:v>
      </x:c>
      <x:c r="G210" s="8" t="str">
        <x:v>1.0.2478</x:v>
      </x:c>
      <x:c r="H210" s="8"/>
      <x:c r="I210" s="8" t="n">
        <x:v>218</x:v>
      </x:c>
      <x:c r="J210" s="8"/>
      <x:c r="K210" s="8"/>
    </x:row>
    <x:row r="211">
      <x:c r="A211" s="8" t="str">
        <x:v>navigation</x:v>
      </x:c>
      <x:c r="B211" s="8" t="str">
        <x:v>message is dropped after reload</x:v>
      </x:c>
      <x:c r="C211" s="8" t="str">
        <x:v>CoreWebView2.PostWebMessageAsString(payload)</x:v>
      </x:c>
      <x:c r="D211" s="8" t="str">
        <x:v>background</x:v>
      </x:c>
      <x:c r="E211" s="8" t="str">
        <x:v>needs reproduction</x:v>
      </x:c>
      <x:c r="F211" s="8" t="str">
        <x:v>No owner</x:v>
      </x:c>
      <x:c r="G211" s="8" t="str">
        <x:v>1.0.1901</x:v>
      </x:c>
      <x:c r="H211" s="8"/>
      <x:c r="I211" s="8" t="n">
        <x:v>597</x:v>
      </x:c>
      <x:c r="J211" s="8" t="str">
        <x:v>Potential duplicate: this paragraph is repeated in another section to test deduplication and chunk metadata.</x:v>
      </x:c>
      <x:c r="K211" s="8"/>
    </x:row>
    <x:row r="212">
      <x:c r="A212" s="8" t="str">
        <x:v>message</x:v>
      </x:c>
      <x:c r="B212" s="8" t="str">
        <x:v>callback arrives on UI thread</x:v>
      </x:c>
      <x:c r="C212" s="8" t="str">
        <x:v>CoreWebView2.PostWebMessageAsString(payload)</x:v>
      </x:c>
      <x:c r="D212" s="8" t="str">
        <x:v>UI</x:v>
      </x:c>
      <x:c r="E212" s="8" t="str">
        <x:v>resolved</x:v>
      </x:c>
      <x:c r="F212" s="8" t="str">
        <x:v>Asha</x:v>
      </x:c>
      <x:c r="G212" s="8" t="str">
        <x:v>1.0.1901</x:v>
      </x:c>
      <x:c r="H212" s="8"/>
      <x:c r="I212" s="8" t="n">
        <x:v>198</x:v>
      </x:c>
      <x:c r="J212" s="8" t="str">
        <x:v>The bridge callback is stable for small payloads, but large JSON messages show visible delay during navigation.</x:v>
      </x:c>
      <x:c r="K212" s="8"/>
    </x:row>
    <x:row r="213">
      <x:c r="A213" s="8" t="str">
        <x:v>message</x:v>
      </x:c>
      <x:c r="B213" s="8" t="str">
        <x:v>works only after first navigation</x:v>
      </x:c>
      <x:c r="C213" s="8" t="str">
        <x:v>CoreWebView2.NavigationCompleted += OnDone</x:v>
      </x:c>
      <x:c r="D213" s="8" t="str">
        <x:v>background</x:v>
      </x:c>
      <x:c r="E213" s="8" t="str">
        <x:v>needs reproduction</x:v>
      </x:c>
      <x:c r="F213" s="8" t="str">
        <x:v>Asha</x:v>
      </x:c>
      <x:c r="G213" s="8" t="str">
        <x:v>1.0.2210</x:v>
      </x:c>
      <x:c r="H213" s="8" t="str">
        <x:v>C:\apps\WebViewHost\Profiles</x:v>
      </x:c>
      <x:c r="I213" s="8" t="n">
        <x:v>110</x:v>
      </x:c>
      <x:c r="J213" s="8" t="str">
        <x:v>This sentence is long enough to exercise wrapping and downstream chunk boundaries in Markdown output.</x:v>
      </x:c>
      <x:c r="K213" s="8"/>
    </x:row>
    <x:row r="214">
      <x:c r="A214" s="8" t="str">
        <x:v>message</x:v>
      </x:c>
      <x:c r="B214" s="8" t="str">
        <x:v>script returns a quoted JSON string</x:v>
      </x:c>
      <x:c r="C214" s="8" t="str">
        <x:v>CoreWebView2.NavigationCompleted += OnDone</x:v>
      </x:c>
      <x:c r="D214" s="8" t="str">
        <x:v>unknown</x:v>
      </x:c>
      <x:c r="E214" s="8" t="str">
        <x:v>resolved</x:v>
      </x:c>
      <x:c r="F214" s="8" t="str">
        <x:v>Carla</x:v>
      </x:c>
      <x:c r="G214" s="8" t="str">
        <x:v>1.0.2210</x:v>
      </x:c>
      <x:c r="H214" s="8" t="str">
        <x:v>C:\apps\WebViewHost\Cache</x:v>
      </x:c>
      <x:c r="I214" s="8" t="n">
        <x:v>795</x:v>
      </x:c>
      <x:c r="J214" s="8" t="str">
        <x:v>Observed in a local test run: the content rendered, but the console warning appeared twice.</x:v>
      </x:c>
      <x:c r="K214" s="8"/>
    </x:row>
    <x:row r="215">
      <x:c r="A215" s="8" t="str">
        <x:v>download</x:v>
      </x:c>
      <x:c r="B215" s="8" t="str">
        <x:v>handler is registered too late</x:v>
      </x:c>
      <x:c r="C215" s="8" t="str">
        <x:v>CoreWebView2.NavigationCompleted += OnDone</x:v>
      </x:c>
      <x:c r="D215" s="8" t="str">
        <x:v>unknown</x:v>
      </x:c>
      <x:c r="E215" s="8" t="str">
        <x:v>investigating</x:v>
      </x:c>
      <x:c r="F215" s="8" t="str">
        <x:v>Carla</x:v>
      </x:c>
      <x:c r="G215" s="8" t="str">
        <x:v>1.0.2210</x:v>
      </x:c>
      <x:c r="H215" s="8"/>
      <x:c r="I215" s="8" t="n">
        <x:v>796</x:v>
      </x:c>
      <x:c r="J215" s="8" t="str">
        <x:v>Potential duplicate: this paragraph is repeated in another section to test deduplication and chunk metadata.</x:v>
      </x:c>
      <x:c r="K215" s="8"/>
    </x:row>
    <x:row r="216">
      <x:c r="A216" s="8" t="str">
        <x:v>host object</x:v>
      </x:c>
      <x:c r="B216" s="8" t="str">
        <x:v>script returns a quoted JSON string</x:v>
      </x:c>
      <x:c r="C216" s="8" t="str">
        <x:v>CoreWebView2.NavigationCompleted += OnDone</x:v>
      </x:c>
      <x:c r="D216" s="8" t="str">
        <x:v>UI</x:v>
      </x:c>
      <x:c r="E216" s="8" t="str">
        <x:v>investigating</x:v>
      </x:c>
      <x:c r="F216" s="8" t="str">
        <x:v>Asha</x:v>
      </x:c>
      <x:c r="G216" s="8" t="str">
        <x:v>1.0.2478</x:v>
      </x:c>
      <x:c r="H216" s="8" t="str">
        <x:v>C:\apps\WebViewHost\Profiles</x:v>
      </x:c>
      <x:c r="I216" s="8" t="n">
        <x:v>186</x:v>
      </x:c>
      <x:c r="J216" s="8"/>
      <x:c r="K216" s="8" t="str">
        <x:v>https://learn.microsoft.com/en-us/microsoft-edge/webview2/concepts/security</x:v>
      </x:c>
    </x:row>
    <x:row r="217">
      <x:c r="A217" s="8" t="str">
        <x:v>navigation</x:v>
      </x:c>
      <x:c r="B217" s="8" t="str">
        <x:v>callback arrives on UI thread</x:v>
      </x:c>
      <x:c r="C217" s="8" t="str">
        <x:v>CoreWebView2.NavigationCompleted += OnDone</x:v>
      </x:c>
      <x:c r="D217" s="8" t="str">
        <x:v>background</x:v>
      </x:c>
      <x:c r="E217" s="8" t="str">
        <x:v>open</x:v>
      </x:c>
      <x:c r="F217" s="8" t="str">
        <x:v>Diego</x:v>
      </x:c>
      <x:c r="G217" s="8" t="str">
        <x:v>evergreen</x:v>
      </x:c>
      <x:c r="H217" s="8"/>
      <x:c r="I217" s="8" t="n">
        <x:v>569</x:v>
      </x:c>
      <x:c r="J217" s="8"/>
      <x:c r="K217" s="8"/>
    </x:row>
    <x:row r="218">
      <x:c r="A218" s="8" t="str">
        <x:v>download</x:v>
      </x:c>
      <x:c r="B218" s="8" t="str">
        <x:v>callback arrives on UI thread</x:v>
      </x:c>
      <x:c r="C218" s="8" t="str">
        <x:v>await CoreWebView2.ExecuteScriptAsync(js)</x:v>
      </x:c>
      <x:c r="D218" s="8" t="str">
        <x:v>unknown</x:v>
      </x:c>
      <x:c r="E218" s="8" t="str">
        <x:v>resolved</x:v>
      </x:c>
      <x:c r="F218" s="8" t="str">
        <x:v>Carla</x:v>
      </x:c>
      <x:c r="G218" s="8" t="str">
        <x:v>1.0.2210</x:v>
      </x:c>
      <x:c r="H218" s="8"/>
      <x:c r="I218" s="8"/>
      <x:c r="J218" s="8"/>
      <x:c r="K218" s="8"/>
    </x:row>
    <x:row r="219">
      <x:c r="A219" s="8" t="str">
        <x:v>permission</x:v>
      </x:c>
      <x:c r="B219" s="8" t="str">
        <x:v>callback arrives on UI thread</x:v>
      </x:c>
      <x:c r="C219" s="8" t="str">
        <x:v>CoreWebView2.AddHostObjectToScript(name, value)</x:v>
      </x:c>
      <x:c r="D219" s="8" t="str">
        <x:v>background</x:v>
      </x:c>
      <x:c r="E219" s="8" t="str">
        <x:v>open</x:v>
      </x:c>
      <x:c r="F219" s="8" t="str">
        <x:v>Ben</x:v>
      </x:c>
      <x:c r="G219" s="8" t="str">
        <x:v>evergreen</x:v>
      </x:c>
      <x:c r="H219" s="8"/>
      <x:c r="I219" s="8" t="n">
        <x:v>791</x:v>
      </x:c>
      <x:c r="J219" s="8" t="str">
        <x:v>Potential duplicate: this paragraph is repeated in another section to test deduplication and chunk metadata.</x:v>
      </x:c>
      <x:c r="K219" s="8"/>
    </x:row>
    <x:row r="220">
      <x:c r="A220" s="8" t="str">
        <x:v>permission</x:v>
      </x:c>
      <x:c r="B220" s="8" t="str">
        <x:v>works only after first navigation</x:v>
      </x:c>
      <x:c r="C220" s="8" t="str">
        <x:v>CoreWebView2.NavigationCompleted += OnDone</x:v>
      </x:c>
      <x:c r="D220" s="8" t="str">
        <x:v>unknown</x:v>
      </x:c>
      <x:c r="E220" s="8" t="str">
        <x:v>needs reproduction</x:v>
      </x:c>
      <x:c r="F220" s="8" t="str">
        <x:v>No owner</x:v>
      </x:c>
      <x:c r="G220" s="8" t="str">
        <x:v>1.0.2210</x:v>
      </x:c>
      <x:c r="H220" s="8"/>
      <x:c r="I220" s="8" t="n">
        <x:v>444</x:v>
      </x:c>
      <x:c r="J220" s="8"/>
      <x:c r="K220" s="8" t="str">
        <x:v>https://learn.microsoft.com/en-us/microsoft-edge/webview2/concepts/security</x:v>
      </x:c>
    </x:row>
    <x:row r="221">
      <x:c r="A221" s="8" t="str">
        <x:v>script</x:v>
      </x:c>
      <x:c r="B221" s="8" t="str">
        <x:v>script returns a quoted JSON string</x:v>
      </x:c>
      <x:c r="C221" s="8" t="str">
        <x:v>CoreWebView2.AddHostObjectToScript(name, value)</x:v>
      </x:c>
      <x:c r="D221" s="8" t="str">
        <x:v>unknown</x:v>
      </x:c>
      <x:c r="E221" s="8" t="str">
        <x:v>blocked</x:v>
      </x:c>
      <x:c r="F221" s="8" t="str">
        <x:v>Diego</x:v>
      </x:c>
      <x:c r="G221" s="8" t="str">
        <x:v>1.0.1901</x:v>
      </x:c>
      <x:c r="H221" s="8" t="str">
        <x:v>C:\apps\WebViewHost\Assets</x:v>
      </x:c>
      <x:c r="I221" s="8"/>
      <x:c r="J221" s="8" t="str">
        <x:v>The bridge callback is stable for small payloads, but large JSON messages show visible delay during navigation.</x:v>
      </x:c>
      <x:c r="K221" s="8"/>
    </x:row>
    <x:row r="222">
      <x:c r="A222" s="8" t="str">
        <x:v>navigation</x:v>
      </x:c>
      <x:c r="B222" s="8" t="str">
        <x:v>handler is registered too late</x:v>
      </x:c>
      <x:c r="C222" s="8" t="str">
        <x:v>CoreWebView2.NavigationCompleted += OnDone</x:v>
      </x:c>
      <x:c r="D222" s="8" t="str">
        <x:v>UI</x:v>
      </x:c>
      <x:c r="E222" s="8" t="str">
        <x:v>blocked</x:v>
      </x:c>
      <x:c r="F222" s="8" t="str">
        <x:v>Carla</x:v>
      </x:c>
      <x:c r="G222" s="8" t="str">
        <x:v>evergreen</x:v>
      </x:c>
      <x:c r="H222" s="8" t="str">
        <x:v>C:\apps\WebViewHost\Cache</x:v>
      </x:c>
      <x:c r="I222" s="8" t="n">
        <x:v>279</x:v>
      </x:c>
      <x:c r="J222" s="8"/>
      <x:c r="K222" s="8" t="str">
        <x:v>https://developer.android.com/reference/android/webkit/WebView</x:v>
      </x:c>
    </x:row>
    <x:row r="223">
      <x:c r="A223" s="8" t="str">
        <x:v>host object</x:v>
      </x:c>
      <x:c r="B223" s="8" t="str">
        <x:v>callback arrives on UI thread</x:v>
      </x:c>
      <x:c r="C223" s="8" t="str">
        <x:v>CoreWebView2.PostWebMessageAsString(payload)</x:v>
      </x:c>
      <x:c r="D223" s="8" t="str">
        <x:v>background</x:v>
      </x:c>
      <x:c r="E223" s="8" t="str">
        <x:v>resolved</x:v>
      </x:c>
      <x:c r="F223" s="8" t="str">
        <x:v>Carla</x:v>
      </x:c>
      <x:c r="G223" s="8" t="str">
        <x:v>1.0.2478</x:v>
      </x:c>
      <x:c r="H223" s="8"/>
      <x:c r="I223" s="8" t="n">
        <x:v>888</x:v>
      </x:c>
      <x:c r="J223" s="8"/>
      <x:c r="K223" s="8" t="str">
        <x:v>https://developer.apple.com/documentation/webkit/wkwebview</x:v>
      </x:c>
    </x:row>
    <x:row r="224">
      <x:c r="A224" s="8" t="str">
        <x:v>download</x:v>
      </x:c>
      <x:c r="B224" s="8" t="str">
        <x:v>script returns a quoted JSON string</x:v>
      </x:c>
      <x:c r="C224" s="8" t="str">
        <x:v>await CoreWebView2.ExecuteScriptAsync(js)</x:v>
      </x:c>
      <x:c r="D224" s="8" t="str">
        <x:v>unknown</x:v>
      </x:c>
      <x:c r="E224" s="8" t="str">
        <x:v>blocked</x:v>
      </x:c>
      <x:c r="F224" s="8" t="str">
        <x:v>Diego</x:v>
      </x:c>
      <x:c r="G224" s="8" t="str">
        <x:v>1.0.2478</x:v>
      </x:c>
      <x:c r="H224" s="8" t="str">
        <x:v>C:\apps\WebViewHost\Profiles</x:v>
      </x:c>
      <x:c r="I224" s="8" t="n">
        <x:v>638</x:v>
      </x:c>
      <x:c r="J224" s="8" t="str">
        <x:v>This sentence is long enough to exercise wrapping and downstream chunk boundaries in Markdown output.</x:v>
      </x:c>
      <x:c r="K224" s="8"/>
    </x:row>
    <x:row r="225">
      <x:c r="A225" s="8" t="str">
        <x:v>cookie</x:v>
      </x:c>
      <x:c r="B225" s="8" t="str">
        <x:v>works only after first navigation</x:v>
      </x:c>
      <x:c r="C225" s="8" t="str">
        <x:v>CoreWebView2.NavigationCompleted += OnDone</x:v>
      </x:c>
      <x:c r="D225" s="8" t="str">
        <x:v>background</x:v>
      </x:c>
      <x:c r="E225" s="8" t="str">
        <x:v>investigating</x:v>
      </x:c>
      <x:c r="F225" s="8" t="str">
        <x:v>Asha</x:v>
      </x:c>
      <x:c r="G225" s="8" t="str">
        <x:v>evergreen</x:v>
      </x:c>
      <x:c r="H225" s="8"/>
      <x:c r="I225" s="8" t="n">
        <x:v>824</x:v>
      </x:c>
      <x:c r="J225" s="8"/>
      <x:c r="K225" s="8" t="str">
        <x:v>https://github.com/react-native-webview/react-native-webview</x:v>
      </x:c>
    </x:row>
    <x:row r="226">
      <x:c r="A226" s="8"/>
      <x:c r="B226" s="8"/>
      <x:c r="C226" s="8"/>
      <x:c r="D226" s="8"/>
      <x:c r="E226" s="8"/>
      <x:c r="F226" s="8"/>
      <x:c r="G226" s="8"/>
      <x:c r="H226" s="8"/>
      <x:c r="I226" s="8"/>
      <x:c r="J226" s="8"/>
      <x:c r="K226" s="8"/>
    </x:row>
    <x:row r="227">
      <x:c r="A227" s="8" t="str">
        <x:v>permission</x:v>
      </x:c>
      <x:c r="B227" s="8" t="str">
        <x:v>script returns a quoted JSON string</x:v>
      </x:c>
      <x:c r="C227" s="8" t="str">
        <x:v>await CoreWebView2.ExecuteScriptAsync(js)</x:v>
      </x:c>
      <x:c r="D227" s="8" t="str">
        <x:v>background</x:v>
      </x:c>
      <x:c r="E227" s="8" t="str">
        <x:v>needs reproduction</x:v>
      </x:c>
      <x:c r="F227" s="8" t="str">
        <x:v>Asha</x:v>
      </x:c>
      <x:c r="G227" s="8" t="str">
        <x:v>evergreen</x:v>
      </x:c>
      <x:c r="H227" s="8"/>
      <x:c r="I227" s="8" t="n">
        <x:v>731</x:v>
      </x:c>
      <x:c r="J227" s="8" t="str">
        <x:v>Potential duplicate: this paragraph is repeated in another section to test deduplication and chunk metadata.</x:v>
      </x:c>
      <x:c r="K227" s="8"/>
    </x:row>
    <x:row r="228">
      <x:c r="A228" s="8" t="str">
        <x:v>permission</x:v>
      </x:c>
      <x:c r="B228" s="8" t="str">
        <x:v>message is dropped after reload</x:v>
      </x:c>
      <x:c r="C228" s="8" t="str">
        <x:v>await CoreWebView2.ExecuteScriptAsync(js)</x:v>
      </x:c>
      <x:c r="D228" s="8" t="str">
        <x:v>UI</x:v>
      </x:c>
      <x:c r="E228" s="8" t="str">
        <x:v>open</x:v>
      </x:c>
      <x:c r="F228" s="8" t="str">
        <x:v>Ben</x:v>
      </x:c>
      <x:c r="G228" s="8" t="str">
        <x:v>1.0.2478</x:v>
      </x:c>
      <x:c r="H228" s="8" t="str">
        <x:v>C:\apps\WebViewHost\Profiles</x:v>
      </x:c>
      <x:c r="I228" s="8" t="n">
        <x:v>540</x:v>
      </x:c>
      <x:c r="J228" s="8"/>
      <x:c r="K228" s="8" t="str">
        <x:v>https://developer.microsoft.com/en-us/microsoft-edge/webview2/</x:v>
      </x:c>
    </x:row>
    <x:row r="229">
      <x:c r="A229" s="8" t="str">
        <x:v>message</x:v>
      </x:c>
      <x:c r="B229" s="8" t="str">
        <x:v>script returns a quoted JSON string</x:v>
      </x:c>
      <x:c r="C229" s="8" t="str">
        <x:v>CoreWebView2.AddHostObjectToScript(name, value)</x:v>
      </x:c>
      <x:c r="D229" s="8" t="str">
        <x:v>unknown</x:v>
      </x:c>
      <x:c r="E229" s="8" t="str">
        <x:v>blocked</x:v>
      </x:c>
      <x:c r="F229" s="8" t="str">
        <x:v>No owner</x:v>
      </x:c>
      <x:c r="G229" s="8" t="str">
        <x:v>evergreen</x:v>
      </x:c>
      <x:c r="H229" s="8" t="str">
        <x:v>C:\apps\WebViewHost\Assets</x:v>
      </x:c>
      <x:c r="I229" s="8" t="n">
        <x:v>110</x:v>
      </x:c>
      <x:c r="J229" s="8"/>
      <x:c r="K229" s="8"/>
    </x:row>
    <x:row r="230">
      <x:c r="A230" s="9"/>
      <x:c r="B230" s="9"/>
      <x:c r="C230" s="9"/>
      <x:c r="D230" s="9"/>
      <x:c r="E230" s="9"/>
      <x:c r="F230" s="9"/>
      <x:c r="G230" s="9"/>
      <x:c r="H230" s="9"/>
      <x:c r="I230" s="9"/>
      <x:c r="J230" s="9"/>
      <x:c r="K230" s="9"/>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34" hidden="0" customWidth="1"/>
    <x:col min="3" max="3" width="42" hidden="0" customWidth="1"/>
    <x:col min="4" max="4" width="30" hidden="0" customWidth="1"/>
    <x:col min="5" max="5" width="32" hidden="0" customWidth="1"/>
    <x:col min="6" max="6" width="30" hidden="0" customWidth="1"/>
    <x:col min="7" max="7" width="30" hidden="0" customWidth="1"/>
    <x:col min="8" max="8" width="34" hidden="0" customWidth="1"/>
    <x:col min="9" max="9" width="42" hidden="0" customWidth="1"/>
    <x:col min="10" max="10" width="28" hidden="0" customWidth="1"/>
  </x:cols>
  <x:sheetData>
    <x:row r="1">
      <x:c r="A1" s="8" t="str">
        <x:v>Performance comparisons</x:v>
      </x:c>
      <x:c r="B1" s="8"/>
      <x:c r="C1" s="8"/>
      <x:c r="D1" s="8"/>
      <x:c r="E1" s="8"/>
      <x:c r="F1" s="8"/>
      <x:c r="G1" s="8"/>
      <x:c r="H1" s="8"/>
      <x:c r="I1" s="8"/>
      <x:c r="J1" s="8"/>
    </x:row>
    <x:row r="2">
      <x:c r="A2" s="8"/>
      <x:c r="B2" s="8"/>
      <x:c r="C2" s="8"/>
      <x:c r="D2" s="8"/>
      <x:c r="E2" s="8"/>
      <x:c r="F2" s="8"/>
      <x:c r="G2" s="8"/>
      <x:c r="H2" s="8"/>
      <x:c r="I2" s="8"/>
      <x:c r="J2" s="8"/>
    </x:row>
    <x:row r="3">
      <x:c r="A3" s="8"/>
      <x:c r="B3" s="8"/>
      <x:c r="C3" s="8"/>
      <x:c r="D3" s="8"/>
      <x:c r="E3" s="8"/>
      <x:c r="F3" s="8"/>
      <x:c r="G3" s="8"/>
      <x:c r="H3" s="8" t="str">
        <x:v>https://developer.microsoft.com/en-us/microsoft-edge/webview2/</x:v>
      </x:c>
      <x:c r="I3" s="8"/>
      <x:c r="J3" s="8" t="str">
        <x:v>Do not infer a missing header from the nearest nonblank row</x:v>
      </x:c>
    </x:row>
    <x:row r="4">
      <x:c r="A4" s="8"/>
      <x:c r="B4" s="8" t="str">
        <x:v>https://developer.microsoft.com/en-us/microsoft-edge/webview2/</x:v>
      </x:c>
      <x:c r="C4" s="8"/>
      <x:c r="D4" s="8" t="str">
        <x:v>WPF is using Chromium (Blink)</x:v>
      </x:c>
      <x:c r="E4" s="8"/>
      <x:c r="F4" s="8"/>
      <x:c r="G4" s="8"/>
      <x:c r="H4" s="8"/>
      <x:c r="I4" s="8"/>
      <x:c r="J4" s="8"/>
    </x:row>
    <x:row r="5">
      <x:c r="A5" s="8"/>
      <x:c r="B5" s="8"/>
      <x:c r="C5" s="8"/>
      <x:c r="D5" s="8" t="str">
        <x:v>TODO: Test MarkItDown parsing on this mess</x:v>
      </x:c>
      <x:c r="E5" s="8"/>
      <x:c r="F5" s="8" t="str">
        <x:v>Could be a duplicate from the mobile handoff notes</x:v>
      </x:c>
      <x:c r="G5" s="8"/>
      <x:c r="H5" s="8"/>
      <x:c r="I5" s="8"/>
      <x:c r="J5" s="8" t="str">
        <x:v>metric_102 = 770</x:v>
      </x:c>
    </x:row>
    <x:row r="6">
      <x:c r="A6" s="8" t="str">
        <x:v>metric_103 = 441</x:v>
      </x:c>
      <x:c r="B6" s="8"/>
      <x:c r="C6" s="8"/>
      <x:c r="D6" s="8" t="str">
        <x:v>metric_103 = 630</x:v>
      </x:c>
      <x:c r="E6" s="8"/>
      <x:c r="F6" s="8" t="str">
        <x:v>Question: does sheet name survive conversion?</x:v>
      </x:c>
      <x:c r="G6" s="8"/>
      <x:c r="H6" s="8"/>
      <x:c r="I6" s="8"/>
      <x:c r="J6" s="8" t="str">
        <x:v>RN uses WebKit on iOS and Chromium on Android</x:v>
      </x:c>
    </x:row>
    <x:row r="7">
      <x:c r="A7" s="8" t="str">
        <x:v>metric_104 = 0</x:v>
      </x:c>
      <x:c r="B7" s="8" t="str">
        <x:v>Inconsistent rendering!!</x:v>
      </x:c>
      <x:c r="C7" s="8"/>
      <x:c r="D7" s="8"/>
      <x:c r="E7" s="8"/>
      <x:c r="F7" s="8"/>
      <x:c r="G7" s="8"/>
      <x:c r="H7" s="8" t="str">
        <x:v>https://developer.android.com/reference/android/webkit/WebView</x:v>
      </x:c>
      <x:c r="I7" s="8"/>
      <x:c r="J7" s="8" t="str">
        <x:v>RN uses WebKit on iOS and Chromium on Android</x:v>
      </x:c>
    </x:row>
    <x:row r="8">
      <x:c r="A8" s="8" t="str">
        <x:v>WPF is using Chromium (Blink)</x:v>
      </x:c>
      <x:c r="B8" s="8" t="str">
        <x:v>TODO: Test MarkItDown parsing on this mess</x:v>
      </x:c>
      <x:c r="C8" s="8"/>
      <x:c r="D8" s="8"/>
      <x:c r="E8" s="8"/>
      <x:c r="F8" s="8" t="str">
        <x:v>TODO: Test MarkItDown parsing on this mess</x:v>
      </x:c>
      <x:c r="G8" s="8"/>
      <x:c r="H8" s="8"/>
      <x:c r="I8" s="8"/>
      <x:c r="J8" s="8" t="str">
        <x:v>TODO: Test MarkItDown parsing on this mess</x:v>
      </x:c>
    </x:row>
    <x:row r="9">
      <x:c r="A9" s="8"/>
      <x:c r="B9" s="8"/>
      <x:c r="C9" s="8" t="str">
        <x:v>WPF is using Chromium (Blink)</x:v>
      </x:c>
      <x:c r="D9" s="8" t="str">
        <x:v>https://developer.android.com/reference/android/webkit/WebView</x:v>
      </x:c>
      <x:c r="E9" s="8"/>
      <x:c r="F9" s="8"/>
      <x:c r="G9" s="8"/>
      <x:c r="H9" s="8"/>
      <x:c r="I9" s="8"/>
      <x:c r="J9" s="8"/>
    </x:row>
    <x:row r="10">
      <x:c r="A10" s="8" t="str">
        <x:v>Question: does sheet name survive conversion?</x:v>
      </x:c>
      <x:c r="B10" s="8" t="str">
        <x:v>Could be a duplicate from the mobile handoff notes</x:v>
      </x:c>
      <x:c r="C10" s="8"/>
      <x:c r="D10" s="8"/>
      <x:c r="E10" s="8"/>
      <x:c r="F10" s="8"/>
      <x:c r="G10" s="8"/>
      <x:c r="H10" s="8" t="str">
        <x:v>Security note: mixed content setting should remain visible</x:v>
      </x:c>
      <x:c r="I10" s="8"/>
      <x:c r="J10" s="8" t="str">
        <x:v>RN uses WebKit on iOS and Chromium on Android</x:v>
      </x:c>
    </x:row>
    <x:row r="11">
      <x:c r="A11" s="8" t="str">
        <x:v>metric_108 = 721</x:v>
      </x:c>
      <x:c r="B11" s="8" t="str">
        <x:v>Follow-up: compare the result when the network security policy is relaxed versus when it is enforced.</x:v>
      </x:c>
      <x:c r="C11" s="8" t="str">
        <x:v>Could be a duplicate from the mobile handoff notes</x:v>
      </x:c>
      <x:c r="D11" s="8"/>
      <x:c r="E11" s="8"/>
      <x:c r="F11" s="8"/>
      <x:c r="G11" s="8"/>
      <x:c r="H11" s="8" t="str">
        <x:v>Could be a duplicate from the mobile handoff notes</x:v>
      </x:c>
      <x:c r="I11" s="8"/>
      <x:c r="J11" s="8"/>
    </x:row>
    <x:row r="12">
      <x:c r="A12" s="8"/>
      <x:c r="B12" s="8"/>
      <x:c r="C12" s="8"/>
      <x:c r="D12" s="8" t="str">
        <x:v>metric_109 = 836</x:v>
      </x:c>
      <x:c r="E12" s="8"/>
      <x:c r="F12" s="8" t="str">
        <x:v>https://learn.microsoft.com/en-us/microsoft-edge/webview2/concepts/security</x:v>
      </x:c>
      <x:c r="G12" s="8"/>
      <x:c r="H12" s="8"/>
      <x:c r="I12" s="8"/>
      <x:c r="J12" s="8" t="str">
        <x:v>https://developer.microsoft.com/en-us/microsoft-edge/webview2/</x:v>
      </x:c>
    </x:row>
    <x:row r="13">
      <x:c r="A13" s="8" t="str">
        <x:v>Could be a duplicate from the mobile handoff notes</x:v>
      </x:c>
      <x:c r="B13" s="8" t="str">
        <x:v>WPF is using Chromium (Blink)</x:v>
      </x:c>
      <x:c r="C13" s="8" t="str">
        <x:v>Question: does sheet name survive conversion?</x:v>
      </x:c>
      <x:c r="D13" s="8"/>
      <x:c r="E13" s="8"/>
      <x:c r="F13" s="8"/>
      <x:c r="G13" s="8"/>
      <x:c r="H13" s="8" t="str">
        <x:v>Security note: mixed content setting should remain visible</x:v>
      </x:c>
      <x:c r="I13" s="8"/>
      <x:c r="J13" s="8"/>
    </x:row>
    <x:row r="14">
      <x:c r="A14" s="8"/>
      <x:c r="B14" s="8"/>
      <x:c r="C14" s="8"/>
      <x:c r="D14" s="8" t="str">
        <x:v>The bridge callback is stable for small payloads, but large JSON messages show visible delay during navigation.</x:v>
      </x:c>
      <x:c r="E14" s="8"/>
      <x:c r="F14" s="8" t="str">
        <x:v>TODO: Test MarkItDown parsing on this mess</x:v>
      </x:c>
      <x:c r="G14" s="8"/>
      <x:c r="H14" s="8"/>
      <x:c r="I14" s="8"/>
      <x:c r="J14" s="8"/>
    </x:row>
    <x:row r="15">
      <x:c r="A15" s="8" t="str">
        <x:v>https://developer.microsoft.com/en-us/microsoft-edge/webview2/</x:v>
      </x:c>
      <x:c r="B15" s="8" t="str">
        <x:v>RN uses WebKit on iOS and Chromium on Android</x:v>
      </x:c>
      <x:c r="C15" s="8"/>
      <x:c r="D15" s="8"/>
      <x:c r="E15" s="8"/>
      <x:c r="F15" s="8" t="str">
        <x:v>Could be a duplicate from the mobile handoff notes</x:v>
      </x:c>
      <x:c r="G15" s="8"/>
      <x:c r="H15" s="8"/>
      <x:c r="I15" s="8"/>
      <x:c r="J15" s="8"/>
    </x:row>
    <x:row r="16">
      <x:c r="A16" s="8"/>
      <x:c r="B16" s="8"/>
      <x:c r="C16" s="8"/>
      <x:c r="D16" s="8"/>
      <x:c r="E16" s="8"/>
      <x:c r="F16" s="8"/>
      <x:c r="G16" s="8"/>
      <x:c r="H16" s="8"/>
      <x:c r="I16" s="8"/>
      <x:c r="J16" s="8"/>
    </x:row>
    <x:row r="17">
      <x:c r="A17" s="8"/>
      <x:c r="B17" s="8"/>
      <x:c r="C17" s="8"/>
      <x:c r="D17" s="8" t="str">
        <x:v>The owner field was not captured in the original notes, so classification should remain conservative.</x:v>
      </x:c>
      <x:c r="E17" s="8"/>
      <x:c r="F17" s="8" t="str">
        <x:v>The owner field was not captured in the original notes, so classification should remain conservative.</x:v>
      </x:c>
      <x:c r="G17" s="8"/>
      <x:c r="H17" s="8" t="str">
        <x:v>RN uses WebKit on iOS and Chromium on Android</x:v>
      </x:c>
      <x:c r="I17" s="8"/>
      <x:c r="J17" s="8"/>
    </x:row>
    <x:row r="18">
      <x:c r="A18" s="8" t="str">
        <x:v>Do not infer a missing header from the nearest nonblank row</x:v>
      </x:c>
      <x:c r="B18" s="8"/>
      <x:c r="C18" s="8"/>
      <x:c r="D18" s="8"/>
      <x:c r="E18" s="8"/>
      <x:c r="F18" s="8" t="str">
        <x:v>Inconsistent rendering!!</x:v>
      </x:c>
      <x:c r="G18" s="8"/>
      <x:c r="H18" s="8"/>
      <x:c r="I18" s="8"/>
      <x:c r="J18" s="8" t="str">
        <x:v>Could be a duplicate from the mobile handoff notes</x:v>
      </x:c>
    </x:row>
    <x:row r="19">
      <x:c r="A19" s="8" t="str">
        <x:v>metric_115 = 109</x:v>
      </x:c>
      <x:c r="B19" s="8" t="str">
        <x:v>https://developer.apple.com/documentation/webkit/wkwebview</x:v>
      </x:c>
      <x:c r="C19" s="8"/>
      <x:c r="D19" s="8"/>
      <x:c r="E19" s="8"/>
      <x:c r="F19" s="8" t="str">
        <x:v>Do not infer a missing header from the nearest nonblank row</x:v>
      </x:c>
      <x:c r="G19" s="8"/>
      <x:c r="H19" s="8"/>
      <x:c r="I19" s="8"/>
      <x:c r="J19" s="8"/>
    </x:row>
    <x:row r="20">
      <x:c r="A20" s="8" t="str">
        <x:v>WPF is using Chromium (Blink)</x:v>
      </x:c>
      <x:c r="B20" s="8" t="str">
        <x:v>WPF is using Chromium (Blink)</x:v>
      </x:c>
      <x:c r="C20" s="8"/>
      <x:c r="D20" s="8" t="str">
        <x:v>RN uses WebKit on iOS and Chromium on Android</x:v>
      </x:c>
      <x:c r="E20" s="8"/>
      <x:c r="F20" s="8" t="str">
        <x:v>metric_116 = 68</x:v>
      </x:c>
      <x:c r="G20" s="8"/>
      <x:c r="H20" s="8"/>
      <x:c r="I20" s="8"/>
      <x:c r="J20" s="8"/>
    </x:row>
    <x:row r="21">
      <x:c r="A21" s="8" t="str">
        <x:v>WPF is using Chromium (Blink)</x:v>
      </x:c>
      <x:c r="B21" s="8" t="str">
        <x:v>Observed in a local test run: the content rendered, but the console warning appeared twice.</x:v>
      </x:c>
      <x:c r="C21" s="8" t="str">
        <x:v>Could be a duplicate from the mobile handoff notes</x:v>
      </x:c>
      <x:c r="D21" s="8"/>
      <x:c r="E21" s="8"/>
      <x:c r="F21" s="8"/>
      <x:c r="G21" s="8"/>
      <x:c r="H21" s="8"/>
      <x:c r="I21" s="8"/>
      <x:c r="J21" s="8"/>
    </x:row>
    <x:row r="22">
      <x:c r="A22" s="8"/>
      <x:c r="B22" s="8"/>
      <x:c r="C22" s="8"/>
      <x:c r="D22" s="8" t="str">
        <x:v>WPF is using Chromium (Blink)</x:v>
      </x:c>
      <x:c r="E22" s="8"/>
      <x:c r="F22" s="8"/>
      <x:c r="G22" s="8"/>
      <x:c r="H22" s="8"/>
      <x:c r="I22" s="8"/>
      <x:c r="J22" s="8" t="str">
        <x:v>https://learn.microsoft.com/en-us/microsoft-edge/webview2/concepts/security</x:v>
      </x:c>
    </x:row>
    <x:row r="23">
      <x:c r="A23" s="8" t="str">
        <x:v>RN uses WebKit on iOS and Chromium on Android</x:v>
      </x:c>
      <x:c r="B23" s="8" t="str">
        <x:v>TODO: Test MarkItDown parsing on this mess</x:v>
      </x:c>
      <x:c r="C23" s="8"/>
      <x:c r="D23" s="8"/>
      <x:c r="E23" s="8"/>
      <x:c r="F23" s="8"/>
      <x:c r="G23" s="8"/>
      <x:c r="H23" s="8"/>
      <x:c r="I23" s="8"/>
      <x:c r="J23" s="8" t="str">
        <x:v>Do not infer a missing header from the nearest nonblank row</x:v>
      </x:c>
    </x:row>
    <x:row r="24">
      <x:c r="A24" s="8"/>
      <x:c r="B24" s="8"/>
      <x:c r="C24" s="8"/>
      <x:c r="D24" s="8"/>
      <x:c r="E24" s="8"/>
      <x:c r="F24" s="8" t="str">
        <x:v>Question: does sheet name survive conversion?</x:v>
      </x:c>
      <x:c r="G24" s="8"/>
      <x:c r="H24" s="8" t="str">
        <x:v>WPF is using Chromium (Blink)</x:v>
      </x:c>
      <x:c r="I24" s="8"/>
      <x:c r="J24" s="8"/>
    </x:row>
    <x:row r="25">
      <x:c r="A25" s="8"/>
      <x:c r="B25" s="8"/>
      <x:c r="C25" s="8"/>
      <x:c r="D25" s="8"/>
      <x:c r="E25" s="8"/>
      <x:c r="F25" s="8"/>
      <x:c r="G25" s="8"/>
      <x:c r="H25" s="8" t="str">
        <x:v>WPF is using Chromium (Blink)</x:v>
      </x:c>
      <x:c r="I25" s="8"/>
      <x:c r="J25" s="8" t="str">
        <x:v>Could be a duplicate from the mobile handoff notes</x:v>
      </x:c>
    </x:row>
    <x:row r="26">
      <x:c r="A26" s="8"/>
      <x:c r="B26" s="8"/>
      <x:c r="C26" s="8"/>
      <x:c r="D26" s="8" t="str">
        <x:v>Question: does sheet name survive conversion?</x:v>
      </x:c>
      <x:c r="E26" s="8"/>
      <x:c r="F26" s="8" t="str">
        <x:v>WPF is using Chromium (Blink)</x:v>
      </x:c>
      <x:c r="G26" s="8"/>
      <x:c r="H26" s="8" t="str">
        <x:v>metric_122 = 62</x:v>
      </x:c>
      <x:c r="I26" s="8"/>
      <x:c r="J26" s="8" t="str">
        <x:v>TODO: Test MarkItDown parsing on this mess</x:v>
      </x:c>
    </x:row>
    <x:row r="27">
      <x:c r="A27" s="8"/>
      <x:c r="B27" s="8" t="str">
        <x:v>Question: does sheet name survive conversion?</x:v>
      </x:c>
      <x:c r="C27" s="8"/>
      <x:c r="D27" s="8" t="str">
        <x:v>RN uses WebKit on iOS and Chromium on Android</x:v>
      </x:c>
      <x:c r="E27" s="8"/>
      <x:c r="F27" s="8" t="str">
        <x:v>WPF is using Chromium (Blink)</x:v>
      </x:c>
      <x:c r="G27" s="8"/>
      <x:c r="H27" s="8" t="str">
        <x:v>https://learn.microsoft.com/en-us/microsoft-edge/webview2/concepts/security</x:v>
      </x:c>
      <x:c r="I27" s="8"/>
      <x:c r="J27" s="8"/>
    </x:row>
    <x:row r="28">
      <x:c r="A28" s="8" t="str">
        <x:v>TODO: Test MarkItDown parsing on this mess</x:v>
      </x:c>
      <x:c r="B28" s="8"/>
      <x:c r="C28" s="8" t="str">
        <x:v>RN uses WebKit on iOS and Chromium on Android</x:v>
      </x:c>
      <x:c r="D28" s="8" t="str">
        <x:v>WPF is using Chromium (Blink)</x:v>
      </x:c>
      <x:c r="E28" s="8"/>
      <x:c r="F28" s="8"/>
      <x:c r="G28" s="8"/>
      <x:c r="H28" s="8"/>
      <x:c r="I28" s="8"/>
      <x:c r="J28" s="8" t="str">
        <x:v>RN uses WebKit on iOS and Chromium on Android</x:v>
      </x:c>
    </x:row>
    <x:row r="29">
      <x:c r="A29" s="8" t="str">
        <x:v>Question: does sheet name survive conversion?</x:v>
      </x:c>
      <x:c r="B29" s="8" t="str">
        <x:v>WPF is using Chromium (Blink)</x:v>
      </x:c>
      <x:c r="C29" s="8"/>
      <x:c r="D29" s="8"/>
      <x:c r="E29" s="8"/>
      <x:c r="F29" s="8" t="str">
        <x:v>metric_125 = 670</x:v>
      </x:c>
      <x:c r="G29" s="8"/>
      <x:c r="H29" s="8"/>
      <x:c r="I29" s="8"/>
      <x:c r="J29" s="8"/>
    </x:row>
    <x:row r="30">
      <x:c r="A30" s="8"/>
      <x:c r="B30" s="8"/>
      <x:c r="C30" s="8"/>
      <x:c r="D30" s="8"/>
      <x:c r="E30" s="8"/>
      <x:c r="F30" s="8"/>
      <x:c r="G30" s="8"/>
      <x:c r="H30" s="8"/>
      <x:c r="I30" s="8"/>
      <x:c r="J30" s="8"/>
    </x:row>
    <x:row r="31">
      <x:c r="A31" s="8" t="str">
        <x:v>Inconsistent rendering!!</x:v>
      </x:c>
      <x:c r="B31" s="8" t="str">
        <x:v>RN uses WebKit on iOS and Chromium on Android</x:v>
      </x:c>
      <x:c r="C31" s="8"/>
      <x:c r="D31" s="8" t="str">
        <x:v>WPF is using Chromium (Blink)</x:v>
      </x:c>
      <x:c r="E31" s="8"/>
      <x:c r="F31" s="8"/>
      <x:c r="G31" s="8"/>
      <x:c r="H31" s="8"/>
      <x:c r="I31" s="8"/>
      <x:c r="J31" s="8"/>
    </x:row>
    <x:row r="32">
      <x:c r="A32" s="8" t="str">
        <x:v>Inconsistent rendering!!</x:v>
      </x:c>
      <x:c r="B32" s="8" t="str">
        <x:v>https://learn.microsoft.com/en-us/microsoft-edge/webview2/concepts/security</x:v>
      </x:c>
      <x:c r="C32" s="8"/>
      <x:c r="D32" s="8"/>
      <x:c r="E32" s="8"/>
      <x:c r="F32" s="8"/>
      <x:c r="G32" s="8"/>
      <x:c r="H32" s="8"/>
      <x:c r="I32" s="8"/>
      <x:c r="J32" s="8"/>
    </x:row>
    <x:row r="33">
      <x:c r="A33" s="8" t="str">
        <x:v>Question: does sheet name survive conversion?</x:v>
      </x:c>
      <x:c r="B33" s="8" t="str">
        <x:v>This sentence is long enough to exercise wrapping and downstream chunk boundaries in Markdown output.</x:v>
      </x:c>
      <x:c r="C33" s="8"/>
      <x:c r="D33" s="8"/>
      <x:c r="E33" s="8"/>
      <x:c r="F33" s="8"/>
      <x:c r="G33" s="8"/>
      <x:c r="H33" s="8"/>
      <x:c r="I33" s="8"/>
      <x:c r="J33" s="8"/>
    </x:row>
    <x:row r="34">
      <x:c r="A34" s="8"/>
      <x:c r="B34" s="8"/>
      <x:c r="C34" s="8"/>
      <x:c r="D34" s="8"/>
      <x:c r="E34" s="8"/>
      <x:c r="F34" s="8" t="str">
        <x:v>metric_129 = 967</x:v>
      </x:c>
      <x:c r="G34" s="8"/>
      <x:c r="H34" s="8" t="str">
        <x:v>Could be a duplicate from the mobile handoff notes</x:v>
      </x:c>
      <x:c r="I34" s="8"/>
      <x:c r="J34" s="8"/>
    </x:row>
    <x:row r="35">
      <x:c r="A35" s="8" t="str">
        <x:v>metric_130 = 189</x:v>
      </x:c>
      <x:c r="B35" s="8"/>
      <x:c r="C35" s="8"/>
      <x:c r="D35" s="8" t="str">
        <x:v>Inconsistent rendering!!</x:v>
      </x:c>
      <x:c r="E35" s="8"/>
      <x:c r="F35" s="8"/>
      <x:c r="G35" s="8"/>
      <x:c r="H35" s="8"/>
      <x:c r="I35" s="8"/>
      <x:c r="J35" s="8"/>
    </x:row>
    <x:row r="36">
      <x:c r="A36" s="8" t="str">
        <x:v>Question: does sheet name survive conversion?</x:v>
      </x:c>
      <x:c r="B36" s="8" t="str">
        <x:v>Potential duplicate: this paragraph is repeated in another section to test deduplication and chunk metadata.</x:v>
      </x:c>
      <x:c r="C36" s="8"/>
      <x:c r="D36" s="8"/>
      <x:c r="E36" s="8"/>
      <x:c r="F36" s="8" t="str">
        <x:v>RN uses WebKit on iOS and Chromium on Android</x:v>
      </x:c>
      <x:c r="G36" s="8"/>
      <x:c r="H36" s="8"/>
      <x:c r="I36" s="8"/>
      <x:c r="J36" s="8"/>
    </x:row>
    <x:row r="37">
      <x:c r="A37" s="8" t="str">
        <x:v>TODO: Test MarkItDown parsing on this mess</x:v>
      </x:c>
      <x:c r="B37" s="8" t="str">
        <x:v>RN uses WebKit on iOS and Chromium on Android</x:v>
      </x:c>
      <x:c r="C37" s="8"/>
      <x:c r="D37" s="8"/>
      <x:c r="E37" s="8"/>
      <x:c r="F37" s="8"/>
      <x:c r="G37" s="8"/>
      <x:c r="H37" s="8"/>
      <x:c r="I37" s="8"/>
      <x:c r="J37" s="8"/>
    </x:row>
    <x:row r="38">
      <x:c r="A38" s="8" t="str">
        <x:v>Do not infer a missing header from the nearest nonblank row</x:v>
      </x:c>
      <x:c r="B38" s="8"/>
      <x:c r="C38" s="8"/>
      <x:c r="D38" s="8"/>
      <x:c r="E38" s="8"/>
      <x:c r="F38" s="8"/>
      <x:c r="G38" s="8"/>
      <x:c r="H38" s="8" t="str">
        <x:v>Follow-up: compare the result when the network security policy is relaxed versus when it is enforced.</x:v>
      </x:c>
      <x:c r="I38" s="8"/>
      <x:c r="J38" s="8" t="str">
        <x:v>The bridge callback is stable for small payloads, but large JSON messages show visible delay during navigation.</x:v>
      </x:c>
    </x:row>
    <x:row r="39">
      <x:c r="A39" s="8" t="str">
        <x:v>WPF is using Chromium (Blink)</x:v>
      </x:c>
      <x:c r="B39" s="8" t="str">
        <x:v>Security note: mixed content setting should remain visible</x:v>
      </x:c>
      <x:c r="C39" s="8" t="str">
        <x:v>Inconsistent rendering!!</x:v>
      </x:c>
      <x:c r="D39" s="8"/>
      <x:c r="E39" s="8"/>
      <x:c r="F39" s="8"/>
      <x:c r="G39" s="8"/>
      <x:c r="H39" s="8"/>
      <x:c r="I39" s="8"/>
      <x:c r="J39" s="8"/>
    </x:row>
    <x:row r="40">
      <x:c r="A40" s="8"/>
      <x:c r="B40" s="8" t="str">
        <x:v>https://learn.microsoft.com/en-us/microsoft-edge/webview2/concepts/security</x:v>
      </x:c>
      <x:c r="C40" s="8" t="str">
        <x:v>https://developer.microsoft.com/en-us/microsoft-edge/webview2/</x:v>
      </x:c>
      <x:c r="D40" s="8"/>
      <x:c r="E40" s="8"/>
      <x:c r="F40" s="8"/>
      <x:c r="G40" s="8"/>
      <x:c r="H40" s="8" t="str">
        <x:v>https://github.com/react-native-webview/react-native-webview</x:v>
      </x:c>
      <x:c r="I40" s="8"/>
      <x:c r="J40" s="8" t="str">
        <x:v>Security note: mixed content setting should remain visible</x:v>
      </x:c>
    </x:row>
    <x:row r="41">
      <x:c r="A41" s="8" t="str">
        <x:v>TODO: Test MarkItDown parsing on this mess</x:v>
      </x:c>
      <x:c r="B41" s="8"/>
      <x:c r="C41" s="8" t="str">
        <x:v>WPF is using Chromium (Blink)</x:v>
      </x:c>
      <x:c r="D41" s="8"/>
      <x:c r="E41" s="8"/>
      <x:c r="F41" s="8"/>
      <x:c r="G41" s="8"/>
      <x:c r="H41" s="8" t="str">
        <x:v>metric_136 = 542</x:v>
      </x:c>
      <x:c r="I41" s="8"/>
      <x:c r="J41" s="8" t="str">
        <x:v>https://github.com/react-native-webview/react-native-webview</x:v>
      </x:c>
    </x:row>
    <x:row r="42">
      <x:c r="A42" s="8" t="str">
        <x:v>Security note: mixed content setting should remain visible</x:v>
      </x:c>
      <x:c r="B42" s="8" t="str">
        <x:v>WPF is using Chromium (Blink)</x:v>
      </x:c>
      <x:c r="C42" s="8"/>
      <x:c r="D42" s="8"/>
      <x:c r="E42" s="8"/>
      <x:c r="F42" s="8"/>
      <x:c r="G42" s="8"/>
      <x:c r="H42" s="8"/>
      <x:c r="I42" s="8"/>
      <x:c r="J42" s="8"/>
    </x:row>
    <x:row r="43">
      <x:c r="A43" s="8"/>
      <x:c r="B43" s="8"/>
      <x:c r="C43" s="8"/>
      <x:c r="D43" s="8" t="str">
        <x:v>The bridge callback is stable for small payloads, but large JSON messages show visible delay during navigation.</x:v>
      </x:c>
      <x:c r="E43" s="8"/>
      <x:c r="F43" s="8" t="str">
        <x:v>TODO: Test MarkItDown parsing on this mess</x:v>
      </x:c>
      <x:c r="G43" s="8"/>
      <x:c r="H43" s="8"/>
      <x:c r="I43" s="8"/>
      <x:c r="J43" s="8" t="str">
        <x:v>WPF is using Chromium (Blink)</x:v>
      </x:c>
    </x:row>
    <x:row r="44">
      <x:c r="A44" s="8"/>
      <x:c r="B44" s="8"/>
      <x:c r="C44" s="8"/>
      <x:c r="D44" s="8"/>
      <x:c r="E44" s="8"/>
      <x:c r="F44" s="8"/>
      <x:c r="G44" s="8"/>
      <x:c r="H44" s="8"/>
      <x:c r="I44" s="8"/>
      <x:c r="J44" s="8"/>
    </x:row>
    <x:row r="45">
      <x:c r="A45" s="8" t="str">
        <x:v>Could be a duplicate from the mobile handoff notes</x:v>
      </x:c>
      <x:c r="B45" s="8" t="str">
        <x:v>A blank cell here is intentional. The source workbook has notes placed away from the nearest table.</x:v>
      </x:c>
      <x:c r="C45" s="8" t="str">
        <x:v>WPF is using Chromium (Blink)</x:v>
      </x:c>
      <x:c r="D45" s="8"/>
      <x:c r="E45" s="8"/>
      <x:c r="F45" s="8"/>
      <x:c r="G45" s="8"/>
      <x:c r="H45" s="8" t="str">
        <x:v>Could be a duplicate from the mobile handoff notes</x:v>
      </x:c>
      <x:c r="I45" s="8"/>
      <x:c r="J45" s="8"/>
    </x:row>
    <x:row r="46">
      <x:c r="A46" s="8"/>
      <x:c r="B46" s="8" t="str">
        <x:v>https://developer.android.com/reference/android/webkit/WebView</x:v>
      </x:c>
      <x:c r="C46" s="8" t="str">
        <x:v>Question: does sheet name survive conversion?</x:v>
      </x:c>
      <x:c r="D46" s="8" t="str">
        <x:v>Security note: mixed content setting should remain visible</x:v>
      </x:c>
      <x:c r="E46" s="8"/>
      <x:c r="F46" s="8"/>
      <x:c r="G46" s="8"/>
      <x:c r="H46" s="8"/>
      <x:c r="I46" s="8"/>
      <x:c r="J46" s="8" t="str">
        <x:v>TODO: Test MarkItDown parsing on this mess</x:v>
      </x:c>
    </x:row>
    <x:row r="47">
      <x:c r="A47" s="8"/>
      <x:c r="B47" s="8" t="str">
        <x:v>TODO: Test MarkItDown parsing on this mess</x:v>
      </x:c>
      <x:c r="C47" s="8" t="str">
        <x:v>TODO: Test MarkItDown parsing on this mess</x:v>
      </x:c>
      <x:c r="D47" s="8"/>
      <x:c r="E47" s="8"/>
      <x:c r="F47" s="8"/>
      <x:c r="G47" s="8"/>
      <x:c r="H47" s="8"/>
      <x:c r="I47" s="8"/>
      <x:c r="J47" s="8"/>
    </x:row>
    <x:row r="48">
      <x:c r="A48" s="8" t="str">
        <x:v>metric_142 = 500</x:v>
      </x:c>
      <x:c r="B48" s="8"/>
      <x:c r="C48" s="8"/>
      <x:c r="D48" s="8" t="str">
        <x:v>Security note: mixed content setting should remain visible</x:v>
      </x:c>
      <x:c r="E48" s="8"/>
      <x:c r="F48" s="8"/>
      <x:c r="G48" s="8"/>
      <x:c r="H48" s="8"/>
      <x:c r="I48" s="8"/>
      <x:c r="J48" s="8"/>
    </x:row>
    <x:row r="49">
      <x:c r="A49" s="8" t="str">
        <x:v>Do not infer a missing header from the nearest nonblank row</x:v>
      </x:c>
      <x:c r="B49" s="8"/>
      <x:c r="C49" s="8" t="str">
        <x:v>TODO: Test MarkItDown parsing on this mess</x:v>
      </x:c>
      <x:c r="D49" s="8"/>
      <x:c r="E49" s="8"/>
      <x:c r="F49" s="8" t="str">
        <x:v>Could be a duplicate from the mobile handoff notes</x:v>
      </x:c>
      <x:c r="G49" s="8"/>
      <x:c r="H49" s="8" t="str">
        <x:v>Do not infer a missing header from the nearest nonblank row</x:v>
      </x:c>
      <x:c r="I49" s="8"/>
      <x:c r="J49" s="8"/>
    </x:row>
    <x:row r="50">
      <x:c r="A50" s="8"/>
      <x:c r="B50" s="8" t="str">
        <x:v>TODO: Test MarkItDown parsing on this mess</x:v>
      </x:c>
      <x:c r="C50" s="8" t="str">
        <x:v>Inconsistent rendering!!</x:v>
      </x:c>
      <x:c r="D50" s="8"/>
      <x:c r="E50" s="8"/>
      <x:c r="F50" s="8"/>
      <x:c r="G50" s="8"/>
      <x:c r="H50" s="8" t="str">
        <x:v>Question: does sheet name survive conversion?</x:v>
      </x:c>
      <x:c r="I50" s="8"/>
      <x:c r="J50" s="8" t="str">
        <x:v>Question: does sheet name survive conversion?</x:v>
      </x:c>
    </x:row>
    <x:row r="51">
      <x:c r="A51" s="8" t="str">
        <x:v>TODO: Test MarkItDown parsing on this mess</x:v>
      </x:c>
      <x:c r="B51" s="8"/>
      <x:c r="C51" s="8"/>
      <x:c r="D51" s="8"/>
      <x:c r="E51" s="8"/>
      <x:c r="F51" s="8" t="str">
        <x:v>Question: does sheet name survive conversion?</x:v>
      </x:c>
      <x:c r="G51" s="8"/>
      <x:c r="H51" s="8" t="str">
        <x:v>WPF is using Chromium (Blink)</x:v>
      </x:c>
      <x:c r="I51" s="8"/>
      <x:c r="J51" s="8"/>
    </x:row>
    <x:row r="52">
      <x:c r="A52" s="8" t="str">
        <x:v>TODO: Test MarkItDown parsing on this mess</x:v>
      </x:c>
      <x:c r="B52" s="8" t="str">
        <x:v>Security note: mixed content setting should remain visible</x:v>
      </x:c>
      <x:c r="C52" s="8"/>
      <x:c r="D52" s="8"/>
      <x:c r="E52" s="8"/>
      <x:c r="F52" s="8"/>
      <x:c r="G52" s="8"/>
      <x:c r="H52" s="8"/>
      <x:c r="I52" s="8"/>
      <x:c r="J52" s="8"/>
    </x:row>
    <x:row r="53">
      <x:c r="A53" s="8"/>
      <x:c r="B53" s="8" t="str">
        <x:v>RN uses WebKit on iOS and Chromium on Android</x:v>
      </x:c>
      <x:c r="C53" s="8"/>
      <x:c r="D53" s="8" t="str">
        <x:v>TODO: Test MarkItDown parsing on this mess</x:v>
      </x:c>
      <x:c r="E53" s="8"/>
      <x:c r="F53" s="8"/>
      <x:c r="G53" s="8"/>
      <x:c r="H53" s="8"/>
      <x:c r="I53" s="8"/>
      <x:c r="J53" s="8"/>
    </x:row>
    <x:row r="54">
      <x:c r="A54" s="8" t="str">
        <x:v>Question: does sheet name survive conversion?</x:v>
      </x:c>
      <x:c r="B54" s="8"/>
      <x:c r="C54" s="8"/>
      <x:c r="D54" s="8"/>
      <x:c r="E54" s="8"/>
      <x:c r="F54" s="8"/>
      <x:c r="G54" s="8"/>
      <x:c r="H54" s="8" t="str">
        <x:v>Question: does sheet name survive conversion?</x:v>
      </x:c>
      <x:c r="I54" s="8"/>
      <x:c r="J54" s="8" t="str">
        <x:v>https://learn.microsoft.com/en-us/microsoft-edge/webview2/concepts/security</x:v>
      </x:c>
    </x:row>
    <x:row r="55">
      <x:c r="A55" s="8"/>
      <x:c r="B55" s="8"/>
      <x:c r="C55" s="8" t="str">
        <x:v>WPF is using Chromium (Blink)</x:v>
      </x:c>
      <x:c r="D55" s="8"/>
      <x:c r="E55" s="8"/>
      <x:c r="F55" s="8"/>
      <x:c r="G55" s="8"/>
      <x:c r="H55" s="8"/>
      <x:c r="I55" s="8"/>
      <x:c r="J55" s="8" t="str">
        <x:v>RN uses WebKit on iOS and Chromium on Android</x:v>
      </x:c>
    </x:row>
    <x:row r="56">
      <x:c r="A56" s="8"/>
      <x:c r="B56" s="8" t="str">
        <x:v>The owner field was not captured in the original notes, so classification should remain conservative.</x:v>
      </x:c>
      <x:c r="C56" s="8"/>
      <x:c r="D56" s="8" t="str">
        <x:v>WPF is using Chromium (Blink)</x:v>
      </x:c>
      <x:c r="E56" s="8"/>
      <x:c r="F56" s="8" t="str">
        <x:v>Security note: mixed content setting should remain visible</x:v>
      </x:c>
      <x:c r="G56" s="8"/>
      <x:c r="H56" s="8"/>
      <x:c r="I56" s="8"/>
      <x:c r="J56" s="8" t="str">
        <x:v>Inconsistent rendering!!</x:v>
      </x:c>
    </x:row>
    <x:row r="57">
      <x:c r="A57" s="8" t="str">
        <x:v>Could be a duplicate from the mobile handoff notes</x:v>
      </x:c>
      <x:c r="B57" s="8" t="str">
        <x:v>Security note: mixed content setting should remain visible</x:v>
      </x:c>
      <x:c r="C57" s="8"/>
      <x:c r="D57" s="8"/>
      <x:c r="E57" s="8"/>
      <x:c r="F57" s="8" t="str">
        <x:v>https://learn.microsoft.com/en-us/microsoft-edge/webview2/concepts/security</x:v>
      </x:c>
      <x:c r="G57" s="8"/>
      <x:c r="H57" s="8"/>
      <x:c r="I57" s="8"/>
      <x:c r="J57" s="8"/>
    </x:row>
    <x:row r="58">
      <x:c r="A58" s="8"/>
      <x:c r="B58" s="8"/>
      <x:c r="C58" s="8"/>
      <x:c r="D58" s="8"/>
      <x:c r="E58" s="8"/>
      <x:c r="F58" s="8"/>
      <x:c r="G58" s="8"/>
      <x:c r="H58" s="8"/>
      <x:c r="I58" s="8"/>
      <x:c r="J58" s="8"/>
    </x:row>
    <x:row r="59">
      <x:c r="A59" s="8" t="str">
        <x:v>Security note: mixed content setting should remain visible</x:v>
      </x:c>
      <x:c r="B59" s="8"/>
      <x:c r="C59" s="8"/>
      <x:c r="D59" s="8"/>
      <x:c r="E59" s="8"/>
      <x:c r="F59" s="8"/>
      <x:c r="G59" s="8"/>
      <x:c r="H59" s="8"/>
      <x:c r="I59" s="8"/>
      <x:c r="J59" s="8" t="str">
        <x:v>Do not infer a missing header from the nearest nonblank row</x:v>
      </x:c>
    </x:row>
    <x:row r="60">
      <x:c r="A60" s="8"/>
      <x:c r="B60" s="8"/>
      <x:c r="C60" s="8"/>
      <x:c r="D60" s="8" t="str">
        <x:v>Follow-up: compare the result when the network security policy is relaxed versus when it is enforced.</x:v>
      </x:c>
      <x:c r="E60" s="8"/>
      <x:c r="F60" s="8"/>
      <x:c r="G60" s="8"/>
      <x:c r="H60" s="8"/>
      <x:c r="I60" s="8"/>
      <x:c r="J60" s="8" t="str">
        <x:v>https://developer.microsoft.com/en-us/microsoft-edge/webview2/</x:v>
      </x:c>
    </x:row>
    <x:row r="61">
      <x:c r="A61" s="8" t="str">
        <x:v>metric_154 = 278</x:v>
      </x:c>
      <x:c r="B61" s="8"/>
      <x:c r="C61" s="8"/>
      <x:c r="D61" s="8"/>
      <x:c r="E61" s="8"/>
      <x:c r="F61" s="8" t="str">
        <x:v>metric_154 = 797</x:v>
      </x:c>
      <x:c r="G61" s="8"/>
      <x:c r="H61" s="8" t="str">
        <x:v>TODO: Test MarkItDown parsing on this mess</x:v>
      </x:c>
      <x:c r="I61" s="8"/>
      <x:c r="J61" s="8" t="str">
        <x:v>TODO: Test MarkItDown parsing on this mess</x:v>
      </x:c>
    </x:row>
    <x:row r="62">
      <x:c r="A62" s="8"/>
      <x:c r="B62" s="8"/>
      <x:c r="C62" s="8"/>
      <x:c r="D62" s="8"/>
      <x:c r="E62" s="8"/>
      <x:c r="F62" s="8" t="str">
        <x:v>Could be a duplicate from the mobile handoff notes</x:v>
      </x:c>
      <x:c r="G62" s="8"/>
      <x:c r="H62" s="8"/>
      <x:c r="I62" s="8"/>
      <x:c r="J62" s="8" t="str">
        <x:v>TODO: Test MarkItDown parsing on this mess</x:v>
      </x:c>
    </x:row>
    <x:row r="63">
      <x:c r="A63" s="8"/>
      <x:c r="B63" s="8" t="str">
        <x:v>https://developer.android.com/reference/android/webkit/WebView</x:v>
      </x:c>
      <x:c r="C63" s="8"/>
      <x:c r="D63" s="8" t="str">
        <x:v>A blank cell here is intentional. The source workbook has notes placed away from the nearest table.</x:v>
      </x:c>
      <x:c r="E63" s="8"/>
      <x:c r="F63" s="8"/>
      <x:c r="G63" s="8"/>
      <x:c r="H63" s="8" t="str">
        <x:v>https://developer.apple.com/documentation/webkit/wkwebview</x:v>
      </x:c>
      <x:c r="I63" s="8"/>
      <x:c r="J63" s="8"/>
    </x:row>
    <x:row r="64">
      <x:c r="A64" s="8"/>
      <x:c r="B64" s="8"/>
      <x:c r="C64" s="8" t="str">
        <x:v>The bridge callback is stable for small payloads, but large JSON messages show visible delay during navigation.</x:v>
      </x:c>
      <x:c r="D64" s="8" t="str">
        <x:v>RN uses WebKit on iOS and Chromium on Android</x:v>
      </x:c>
      <x:c r="E64" s="8"/>
      <x:c r="F64" s="8" t="str">
        <x:v>Do not infer a missing header from the nearest nonblank row</x:v>
      </x:c>
      <x:c r="G64" s="8"/>
      <x:c r="H64" s="8" t="str">
        <x:v>RN uses WebKit on iOS and Chromium on Android</x:v>
      </x:c>
      <x:c r="I64" s="8"/>
      <x:c r="J64" s="8"/>
    </x:row>
    <x:row r="65">
      <x:c r="A65" s="8" t="str">
        <x:v>RN uses WebKit on iOS and Chromium on Android</x:v>
      </x:c>
      <x:c r="B65" s="8" t="str">
        <x:v>Inconsistent rendering!!</x:v>
      </x:c>
      <x:c r="C65" s="8"/>
      <x:c r="D65" s="8"/>
      <x:c r="E65" s="8"/>
      <x:c r="F65" s="8"/>
      <x:c r="G65" s="8"/>
      <x:c r="H65" s="8"/>
      <x:c r="I65" s="8"/>
      <x:c r="J65" s="8"/>
    </x:row>
    <x:row r="66">
      <x:c r="A66" s="8" t="str">
        <x:v>Could be a duplicate from the mobile handoff notes</x:v>
      </x:c>
      <x:c r="B66" s="8" t="str">
        <x:v>https://developer.apple.com/documentation/webkit/wkwebview</x:v>
      </x:c>
      <x:c r="C66" s="8"/>
      <x:c r="D66" s="8"/>
      <x:c r="E66" s="8"/>
      <x:c r="F66" s="8"/>
      <x:c r="G66" s="8"/>
      <x:c r="H66" s="8"/>
      <x:c r="I66" s="8"/>
      <x:c r="J66" s="8"/>
    </x:row>
    <x:row r="67">
      <x:c r="A67" s="8"/>
      <x:c r="B67" s="8"/>
      <x:c r="C67" s="8" t="str">
        <x:v>Could be a duplicate from the mobile handoff notes</x:v>
      </x:c>
      <x:c r="D67" s="8" t="str">
        <x:v>metric_160 = 618</x:v>
      </x:c>
      <x:c r="E67" s="8"/>
      <x:c r="F67" s="8"/>
      <x:c r="G67" s="8"/>
      <x:c r="H67" s="8"/>
      <x:c r="I67" s="8"/>
      <x:c r="J67" s="8"/>
    </x:row>
    <x:row r="68">
      <x:c r="A68" s="8" t="str">
        <x:v>Observed in a local test run: the content rendered, but the console warning appeared twice.</x:v>
      </x:c>
      <x:c r="B68" s="8"/>
      <x:c r="C68" s="8"/>
      <x:c r="D68" s="8" t="str">
        <x:v>RN uses WebKit on iOS and Chromium on Android</x:v>
      </x:c>
      <x:c r="E68" s="8"/>
      <x:c r="F68" s="8"/>
      <x:c r="G68" s="8"/>
      <x:c r="H68" s="8" t="str">
        <x:v>TODO: Test MarkItDown parsing on this mess</x:v>
      </x:c>
      <x:c r="I68" s="8"/>
      <x:c r="J68" s="8"/>
    </x:row>
    <x:row r="69">
      <x:c r="A69" s="8" t="str">
        <x:v>https://developer.android.com/reference/android/webkit/WebView</x:v>
      </x:c>
      <x:c r="B69" s="8"/>
      <x:c r="C69" s="8" t="str">
        <x:v>The bridge callback is stable for small payloads, but large JSON messages show visible delay during navigation.</x:v>
      </x:c>
      <x:c r="D69" s="8"/>
      <x:c r="E69" s="8"/>
      <x:c r="F69" s="8"/>
      <x:c r="G69" s="8"/>
      <x:c r="H69" s="8"/>
      <x:c r="I69" s="8"/>
      <x:c r="J69" s="8"/>
    </x:row>
    <x:row r="70">
      <x:c r="A70" s="8" t="str">
        <x:v>Security note: mixed content setting should remain visible</x:v>
      </x:c>
      <x:c r="B70" s="8" t="str">
        <x:v>https://learn.microsoft.com/en-us/microsoft-edge/webview2/concepts/security</x:v>
      </x:c>
      <x:c r="C70" s="8"/>
      <x:c r="D70" s="8"/>
      <x:c r="E70" s="8"/>
      <x:c r="F70" s="8"/>
      <x:c r="G70" s="8"/>
      <x:c r="H70" s="8"/>
      <x:c r="I70" s="8"/>
      <x:c r="J70" s="8" t="str">
        <x:v>Question: does sheet name survive conversion?</x:v>
      </x:c>
    </x:row>
    <x:row r="71">
      <x:c r="A71" s="8" t="str">
        <x:v>Question: does sheet name survive conversion?</x:v>
      </x:c>
      <x:c r="B71" s="8" t="str">
        <x:v>Do not infer a missing header from the nearest nonblank row</x:v>
      </x:c>
      <x:c r="C71" s="8" t="str">
        <x:v>metric_164 = 593</x:v>
      </x:c>
      <x:c r="D71" s="8" t="str">
        <x:v>Could be a duplicate from the mobile handoff notes</x:v>
      </x:c>
      <x:c r="E71" s="8"/>
      <x:c r="F71" s="8"/>
      <x:c r="G71" s="8"/>
      <x:c r="H71" s="8"/>
      <x:c r="I71" s="8"/>
      <x:c r="J71" s="8"/>
    </x:row>
    <x:row r="72">
      <x:c r="A72" s="8"/>
      <x:c r="B72" s="8"/>
      <x:c r="C72" s="8"/>
      <x:c r="D72" s="8"/>
      <x:c r="E72" s="8"/>
      <x:c r="F72" s="8"/>
      <x:c r="G72" s="8"/>
      <x:c r="H72" s="8"/>
      <x:c r="I72" s="8"/>
      <x:c r="J72" s="8"/>
    </x:row>
    <x:row r="73">
      <x:c r="A73" s="8" t="str">
        <x:v>Security note: mixed content setting should remain visible</x:v>
      </x:c>
      <x:c r="B73" s="8" t="str">
        <x:v>https://learn.microsoft.com/en-us/microsoft-edge/webview2/concepts/security</x:v>
      </x:c>
      <x:c r="C73" s="8"/>
      <x:c r="D73" s="8"/>
      <x:c r="E73" s="8"/>
      <x:c r="F73" s="8"/>
      <x:c r="G73" s="8"/>
      <x:c r="H73" s="8" t="str">
        <x:v>TODO: Test MarkItDown parsing on this mess</x:v>
      </x:c>
      <x:c r="I73" s="8"/>
      <x:c r="J73" s="8"/>
    </x:row>
    <x:row r="74">
      <x:c r="A74" s="8" t="str">
        <x:v>Could be a duplicate from the mobile handoff notes</x:v>
      </x:c>
      <x:c r="B74" s="8" t="str">
        <x:v>https://developer.microsoft.com/en-us/microsoft-edge/webview2/</x:v>
      </x:c>
      <x:c r="C74" s="8"/>
      <x:c r="D74" s="8"/>
      <x:c r="E74" s="8"/>
      <x:c r="F74" s="8"/>
      <x:c r="G74" s="8"/>
      <x:c r="H74" s="8"/>
      <x:c r="I74" s="8"/>
      <x:c r="J74" s="8" t="str">
        <x:v>metric_166 = 209</x:v>
      </x:c>
    </x:row>
    <x:row r="75">
      <x:c r="A75" s="8"/>
      <x:c r="B75" s="8"/>
      <x:c r="C75" s="8"/>
      <x:c r="D75" s="8" t="str">
        <x:v>RN uses WebKit on iOS and Chromium on Android</x:v>
      </x:c>
      <x:c r="E75" s="8"/>
      <x:c r="F75" s="8"/>
      <x:c r="G75" s="8"/>
      <x:c r="H75" s="8" t="str">
        <x:v>https://developer.android.com/reference/android/webkit/WebView</x:v>
      </x:c>
      <x:c r="I75" s="8"/>
      <x:c r="J75" s="8"/>
    </x:row>
    <x:row r="76">
      <x:c r="A76" s="8"/>
      <x:c r="B76" s="8" t="str">
        <x:v>Security note: mixed content setting should remain visible</x:v>
      </x:c>
      <x:c r="C76" s="8" t="str">
        <x:v>Could be a duplicate from the mobile handoff notes</x:v>
      </x:c>
      <x:c r="D76" s="8"/>
      <x:c r="E76" s="8"/>
      <x:c r="F76" s="8"/>
      <x:c r="G76" s="8"/>
      <x:c r="H76" s="8"/>
      <x:c r="I76" s="8"/>
      <x:c r="J76" s="8"/>
    </x:row>
    <x:row r="77">
      <x:c r="A77" s="8"/>
      <x:c r="B77" s="8" t="str">
        <x:v>TODO: Test MarkItDown parsing on this mess</x:v>
      </x:c>
      <x:c r="C77" s="8" t="str">
        <x:v>WPF is using Chromium (Blink)</x:v>
      </x:c>
      <x:c r="D77" s="8" t="str">
        <x:v>Security note: mixed content setting should remain visible</x:v>
      </x:c>
      <x:c r="E77" s="8"/>
      <x:c r="F77" s="8"/>
      <x:c r="G77" s="8"/>
      <x:c r="H77" s="8"/>
      <x:c r="I77" s="8"/>
      <x:c r="J77" s="8"/>
    </x:row>
    <x:row r="78">
      <x:c r="A78" s="8" t="str">
        <x:v>RN uses WebKit on iOS and Chromium on Android</x:v>
      </x:c>
      <x:c r="B78" s="8"/>
      <x:c r="C78" s="8"/>
      <x:c r="D78" s="8" t="str">
        <x:v>Do not infer a missing header from the nearest nonblank row</x:v>
      </x:c>
      <x:c r="E78" s="8"/>
      <x:c r="F78" s="8" t="str">
        <x:v>Question: does sheet name survive conversion?</x:v>
      </x:c>
      <x:c r="G78" s="8"/>
      <x:c r="H78" s="8"/>
      <x:c r="I78" s="8"/>
      <x:c r="J78" s="8" t="str">
        <x:v>Could be a duplicate from the mobile handoff notes</x:v>
      </x:c>
    </x:row>
    <x:row r="79">
      <x:c r="A79" s="8" t="str">
        <x:v>Do not infer a missing header from the nearest nonblank row</x:v>
      </x:c>
      <x:c r="B79" s="8"/>
      <x:c r="C79" s="8"/>
      <x:c r="D79" s="8"/>
      <x:c r="E79" s="8"/>
      <x:c r="F79" s="8"/>
      <x:c r="G79" s="8"/>
      <x:c r="H79" s="8" t="str">
        <x:v>Do not infer a missing header from the nearest nonblank row</x:v>
      </x:c>
      <x:c r="I79" s="8"/>
      <x:c r="J79" s="8"/>
    </x:row>
    <x:row r="80">
      <x:c r="A80" s="8"/>
      <x:c r="B80" s="8" t="str">
        <x:v>Question: does sheet name survive conversion?</x:v>
      </x:c>
      <x:c r="C80" s="8" t="str">
        <x:v>https://github.com/react-native-webview/react-native-webview</x:v>
      </x:c>
      <x:c r="D80" s="8"/>
      <x:c r="E80" s="8"/>
      <x:c r="F80" s="8" t="str">
        <x:v>Could be a duplicate from the mobile handoff notes</x:v>
      </x:c>
      <x:c r="G80" s="8"/>
      <x:c r="H80" s="8"/>
      <x:c r="I80" s="8"/>
      <x:c r="J80" s="8" t="str">
        <x:v>TODO: Test MarkItDown parsing on this mess</x:v>
      </x:c>
    </x:row>
    <x:row r="81">
      <x:c r="A81" s="8" t="str">
        <x:v>WPF is using Chromium (Blink)</x:v>
      </x:c>
      <x:c r="B81" s="8"/>
      <x:c r="C81" s="8" t="str">
        <x:v>RN uses WebKit on iOS and Chromium on Android</x:v>
      </x:c>
      <x:c r="D81" s="8"/>
      <x:c r="E81" s="8"/>
      <x:c r="F81" s="8"/>
      <x:c r="G81" s="8"/>
      <x:c r="H81" s="8" t="str">
        <x:v>metric_173 = 717</x:v>
      </x:c>
      <x:c r="I81" s="8"/>
      <x:c r="J81" s="8"/>
    </x:row>
    <x:row r="82">
      <x:c r="A82" s="8" t="str">
        <x:v>RN uses WebKit on iOS and Chromium on Android</x:v>
      </x:c>
      <x:c r="B82" s="8" t="str">
        <x:v>RN uses WebKit on iOS and Chromium on Android</x:v>
      </x:c>
      <x:c r="C82" s="8" t="str">
        <x:v>TODO: Test MarkItDown parsing on this mess</x:v>
      </x:c>
      <x:c r="D82" s="8"/>
      <x:c r="E82" s="8"/>
      <x:c r="F82" s="8"/>
      <x:c r="G82" s="8"/>
      <x:c r="H82" s="8"/>
      <x:c r="I82" s="8"/>
      <x:c r="J82" s="8" t="str">
        <x:v>Security note: mixed content setting should remain visible</x:v>
      </x:c>
    </x:row>
    <x:row r="83">
      <x:c r="A83" s="8" t="str">
        <x:v>metric_175 = 875</x:v>
      </x:c>
      <x:c r="B83" s="8" t="str">
        <x:v>Could be a duplicate from the mobile handoff notes</x:v>
      </x:c>
      <x:c r="C83" s="8"/>
      <x:c r="D83" s="8"/>
      <x:c r="E83" s="8"/>
      <x:c r="F83" s="8"/>
      <x:c r="G83" s="8"/>
      <x:c r="H83" s="8"/>
      <x:c r="I83" s="8"/>
      <x:c r="J83" s="8" t="str">
        <x:v>Do not infer a missing header from the nearest nonblank row</x:v>
      </x:c>
    </x:row>
    <x:row r="84">
      <x:c r="A84" s="8" t="str">
        <x:v>Question: does sheet name survive conversion?</x:v>
      </x:c>
      <x:c r="B84" s="8" t="str">
        <x:v>TODO: Test MarkItDown parsing on this mess</x:v>
      </x:c>
      <x:c r="C84" s="8"/>
      <x:c r="D84" s="8"/>
      <x:c r="E84" s="8"/>
      <x:c r="F84" s="8" t="str">
        <x:v>https://developer.android.com/reference/android/webkit/WebView</x:v>
      </x:c>
      <x:c r="G84" s="8"/>
      <x:c r="H84" s="8" t="str">
        <x:v>Could be a duplicate from the mobile handoff notes</x:v>
      </x:c>
      <x:c r="I84" s="8"/>
      <x:c r="J84" s="8"/>
    </x:row>
    <x:row r="85">
      <x:c r="A85" s="8" t="str">
        <x:v>Observed in a local test run: the content rendered, but the console warning appeared twice.</x:v>
      </x:c>
      <x:c r="B85" s="8" t="str">
        <x:v>TODO: Test MarkItDown parsing on this mess</x:v>
      </x:c>
      <x:c r="C85" s="8"/>
      <x:c r="D85" s="8"/>
      <x:c r="E85" s="8"/>
      <x:c r="F85" s="8"/>
      <x:c r="G85" s="8"/>
      <x:c r="H85" s="8"/>
      <x:c r="I85" s="8"/>
      <x:c r="J85" s="8" t="str">
        <x:v>The bridge callback is stable for small payloads, but large JSON messages show visible delay during navigation.</x:v>
      </x:c>
    </x:row>
    <x:row r="86">
      <x:c r="A86" s="8"/>
      <x:c r="B86" s="8"/>
      <x:c r="C86" s="8"/>
      <x:c r="D86" s="8"/>
      <x:c r="E86" s="8"/>
      <x:c r="F86" s="8"/>
      <x:c r="G86" s="8"/>
      <x:c r="H86" s="8"/>
      <x:c r="I86" s="8"/>
      <x:c r="J86" s="8"/>
    </x:row>
    <x:row r="87">
      <x:c r="A87" s="8"/>
      <x:c r="B87" s="8" t="str">
        <x:v>The bridge callback is stable for small payloads, but large JSON messages show visible delay during navigation.</x:v>
      </x:c>
      <x:c r="C87" s="8"/>
      <x:c r="D87" s="8"/>
      <x:c r="E87" s="8"/>
      <x:c r="F87" s="8" t="str">
        <x:v>Security note: mixed content setting should remain visible</x:v>
      </x:c>
      <x:c r="G87" s="8"/>
      <x:c r="H87" s="8"/>
      <x:c r="I87" s="8"/>
      <x:c r="J87" s="8"/>
    </x:row>
    <x:row r="88">
      <x:c r="A88" s="8" t="str">
        <x:v>Inconsistent rendering!!</x:v>
      </x:c>
      <x:c r="B88" s="8"/>
      <x:c r="C88" s="8" t="str">
        <x:v>Do not infer a missing header from the nearest nonblank row</x:v>
      </x:c>
      <x:c r="D88" s="8" t="str">
        <x:v>Do not infer a missing header from the nearest nonblank row</x:v>
      </x:c>
      <x:c r="E88" s="8"/>
      <x:c r="F88" s="8"/>
      <x:c r="G88" s="8"/>
      <x:c r="H88" s="8"/>
      <x:c r="I88" s="8"/>
      <x:c r="J88" s="8"/>
    </x:row>
    <x:row r="89">
      <x:c r="A89" s="8"/>
      <x:c r="B89" s="8" t="str">
        <x:v>https://learn.microsoft.com/en-us/microsoft-edge/webview2/concepts/security</x:v>
      </x:c>
      <x:c r="C89" s="8"/>
      <x:c r="D89" s="8" t="str">
        <x:v>TODO: Test MarkItDown parsing on this mess</x:v>
      </x:c>
      <x:c r="E89" s="8"/>
      <x:c r="F89" s="8" t="str">
        <x:v>https://github.com/react-native-webview/react-native-webview</x:v>
      </x:c>
      <x:c r="G89" s="8"/>
      <x:c r="H89" s="8"/>
      <x:c r="I89" s="8"/>
      <x:c r="J89" s="8"/>
    </x:row>
    <x:row r="90">
      <x:c r="A90" s="8"/>
      <x:c r="B90" s="8"/>
      <x:c r="C90" s="8"/>
      <x:c r="D90" s="8" t="str">
        <x:v>TODO: Test MarkItDown parsing on this mess</x:v>
      </x:c>
      <x:c r="E90" s="8"/>
      <x:c r="F90" s="8" t="str">
        <x:v>Security note: mixed content setting should remain visible</x:v>
      </x:c>
      <x:c r="G90" s="8"/>
      <x:c r="H90" s="8"/>
      <x:c r="I90" s="8"/>
      <x:c r="J90" s="8"/>
    </x:row>
    <x:row r="91">
      <x:c r="A91" s="8"/>
      <x:c r="B91" s="8" t="str">
        <x:v>Could be a duplicate from the mobile handoff notes</x:v>
      </x:c>
      <x:c r="C91" s="8"/>
      <x:c r="D91" s="8"/>
      <x:c r="E91" s="8"/>
      <x:c r="F91" s="8" t="str">
        <x:v>Question: does sheet name survive conversion?</x:v>
      </x:c>
      <x:c r="G91" s="8"/>
      <x:c r="H91" s="8"/>
      <x:c r="I91" s="8"/>
      <x:c r="J91" s="8" t="str">
        <x:v>RN uses WebKit on iOS and Chromium on Android</x:v>
      </x:c>
    </x:row>
    <x:row r="92">
      <x:c r="A92" s="8" t="str">
        <x:v>Do not infer a missing header from the nearest nonblank row</x:v>
      </x:c>
      <x:c r="B92" s="8"/>
      <x:c r="C92" s="8"/>
      <x:c r="D92" s="8" t="str">
        <x:v>Security note: mixed content setting should remain visible</x:v>
      </x:c>
      <x:c r="E92" s="8"/>
      <x:c r="F92" s="8"/>
      <x:c r="G92" s="8"/>
      <x:c r="H92" s="8"/>
      <x:c r="I92" s="8"/>
      <x:c r="J92" s="8"/>
    </x:row>
    <x:row r="93">
      <x:c r="A93" s="8"/>
      <x:c r="B93" s="8" t="str">
        <x:v>Do not infer a missing header from the nearest nonblank row</x:v>
      </x:c>
      <x:c r="C93" s="8"/>
      <x:c r="D93" s="8"/>
      <x:c r="E93" s="8"/>
      <x:c r="F93" s="8"/>
      <x:c r="G93" s="8"/>
      <x:c r="H93" s="8" t="str">
        <x:v>Question: does sheet name survive conversion?</x:v>
      </x:c>
      <x:c r="I93" s="8"/>
      <x:c r="J93" s="8" t="str">
        <x:v>TODO: Test MarkItDown parsing on this mess</x:v>
      </x:c>
    </x:row>
    <x:row r="94">
      <x:c r="A94" s="8" t="str">
        <x:v>metric_185 = 704</x:v>
      </x:c>
      <x:c r="B94" s="8" t="str">
        <x:v>RN uses WebKit on iOS and Chromium on Android</x:v>
      </x:c>
      <x:c r="C94" s="8"/>
      <x:c r="D94" s="8"/>
      <x:c r="E94" s="8"/>
      <x:c r="F94" s="8"/>
      <x:c r="G94" s="8"/>
      <x:c r="H94" s="8"/>
      <x:c r="I94" s="8"/>
      <x:c r="J94" s="8"/>
    </x:row>
    <x:row r="95">
      <x:c r="A95" s="8" t="str">
        <x:v>Question: does sheet name survive conversion?</x:v>
      </x:c>
      <x:c r="B95" s="8"/>
      <x:c r="C95" s="8"/>
      <x:c r="D95" s="8"/>
      <x:c r="E95" s="8"/>
      <x:c r="F95" s="8"/>
      <x:c r="G95" s="8"/>
      <x:c r="H95" s="8"/>
      <x:c r="I95" s="8"/>
      <x:c r="J95" s="8" t="str">
        <x:v>WPF is using Chromium (Blink)</x:v>
      </x:c>
    </x:row>
    <x:row r="96">
      <x:c r="A96" s="8"/>
      <x:c r="B96" s="8" t="str">
        <x:v>Do not infer a missing header from the nearest nonblank row</x:v>
      </x:c>
      <x:c r="C96" s="8"/>
      <x:c r="D96" s="8" t="str">
        <x:v>RN uses WebKit on iOS and Chromium on Android</x:v>
      </x:c>
      <x:c r="E96" s="8"/>
      <x:c r="F96" s="8" t="str">
        <x:v>https://developer.microsoft.com/en-us/microsoft-edge/webview2/</x:v>
      </x:c>
      <x:c r="G96" s="8"/>
      <x:c r="H96" s="8"/>
      <x:c r="I96" s="8"/>
      <x:c r="J96" s="8"/>
    </x:row>
    <x:row r="97">
      <x:c r="A97" s="8" t="str">
        <x:v>metric_188 = 785</x:v>
      </x:c>
      <x:c r="B97" s="8" t="str">
        <x:v>Security note: mixed content setting should remain visible</x:v>
      </x:c>
      <x:c r="C97" s="8"/>
      <x:c r="D97" s="8" t="str">
        <x:v>WPF is using Chromium (Blink)</x:v>
      </x:c>
      <x:c r="E97" s="8"/>
      <x:c r="F97" s="8"/>
      <x:c r="G97" s="8"/>
      <x:c r="H97" s="8"/>
      <x:c r="I97" s="8"/>
      <x:c r="J97" s="8" t="str">
        <x:v>Do not infer a missing header from the nearest nonblank row</x:v>
      </x:c>
    </x:row>
    <x:row r="98">
      <x:c r="A98" s="8" t="str">
        <x:v>Inconsistent rendering!!</x:v>
      </x:c>
      <x:c r="B98" s="8" t="str">
        <x:v>RN uses WebKit on iOS and Chromium on Android</x:v>
      </x:c>
      <x:c r="C98" s="8"/>
      <x:c r="D98" s="8" t="str">
        <x:v>Do not infer a missing header from the nearest nonblank row</x:v>
      </x:c>
      <x:c r="E98" s="8"/>
      <x:c r="F98" s="8"/>
      <x:c r="G98" s="8"/>
      <x:c r="H98" s="8"/>
      <x:c r="I98" s="8"/>
      <x:c r="J98" s="8"/>
    </x:row>
    <x:row r="99">
      <x:c r="A99" s="8"/>
      <x:c r="B99" s="8"/>
      <x:c r="C99" s="8"/>
      <x:c r="D99" s="8" t="str">
        <x:v>Do not infer a missing header from the nearest nonblank row</x:v>
      </x:c>
      <x:c r="E99" s="8"/>
      <x:c r="F99" s="8" t="str">
        <x:v>WPF is using Chromium (Blink)</x:v>
      </x:c>
      <x:c r="G99" s="8"/>
      <x:c r="H99" s="8" t="str">
        <x:v>https://developer.apple.com/documentation/webkit/wkwebview</x:v>
      </x:c>
      <x:c r="I99" s="8"/>
      <x:c r="J99" s="8" t="str">
        <x:v>Observed in a local test run: the content rendered, but the console warning appeared twice.</x:v>
      </x:c>
    </x:row>
    <x:row r="100">
      <x:c r="A100" s="8"/>
      <x:c r="B100" s="8"/>
      <x:c r="C100" s="8"/>
      <x:c r="D100" s="8"/>
      <x:c r="E100" s="8"/>
      <x:c r="F100" s="8"/>
      <x:c r="G100" s="8"/>
      <x:c r="H100" s="8"/>
      <x:c r="I100" s="8"/>
      <x:c r="J100" s="8"/>
    </x:row>
    <x:row r="101">
      <x:c r="A101" s="8"/>
      <x:c r="B101" s="8"/>
      <x:c r="C101" s="8" t="str">
        <x:v>Inconsistent rendering!!</x:v>
      </x:c>
      <x:c r="D101" s="8" t="str">
        <x:v>Could be a duplicate from the mobile handoff notes</x:v>
      </x:c>
      <x:c r="E101" s="8"/>
      <x:c r="F101" s="8" t="str">
        <x:v>Security note: mixed content setting should remain visible</x:v>
      </x:c>
      <x:c r="G101" s="8"/>
      <x:c r="H101" s="8"/>
      <x:c r="I101" s="8"/>
      <x:c r="J101" s="8" t="str">
        <x:v>WPF is using Chromium (Blink)</x:v>
      </x:c>
    </x:row>
    <x:row r="102">
      <x:c r="A102" s="8" t="str">
        <x:v>metric_192 = 615</x:v>
      </x:c>
      <x:c r="B102" s="8" t="str">
        <x:v>Do not infer a missing header from the nearest nonblank row</x:v>
      </x:c>
      <x:c r="C102" s="8"/>
      <x:c r="D102" s="8"/>
      <x:c r="E102" s="8"/>
      <x:c r="F102" s="8"/>
      <x:c r="G102" s="8"/>
      <x:c r="H102" s="8"/>
      <x:c r="I102" s="8"/>
      <x:c r="J102" s="8" t="str">
        <x:v>Verify behavior on a cold start and after the page reloads without destroying the native view.</x:v>
      </x:c>
    </x:row>
    <x:row r="103">
      <x:c r="A103" s="8" t="str">
        <x:v>The bridge callback is stable for small payloads, but large JSON messages show visible delay during navigation.</x:v>
      </x:c>
      <x:c r="B103" s="8" t="str">
        <x:v>TODO: Test MarkItDown parsing on this mess</x:v>
      </x:c>
      <x:c r="C103" s="8"/>
      <x:c r="D103" s="8" t="str">
        <x:v>https://developer.microsoft.com/en-us/microsoft-edge/webview2/</x:v>
      </x:c>
      <x:c r="E103" s="8"/>
      <x:c r="F103" s="8"/>
      <x:c r="G103" s="8"/>
      <x:c r="H103" s="8"/>
      <x:c r="I103" s="8"/>
      <x:c r="J103" s="8" t="str">
        <x:v>A blank cell here is intentional. The source workbook has notes placed away from the nearest table.</x:v>
      </x:c>
    </x:row>
    <x:row r="104">
      <x:c r="A104" s="8"/>
      <x:c r="B104" s="8" t="str">
        <x:v>Verify behavior on a cold start and after the page reloads without destroying the native view.</x:v>
      </x:c>
      <x:c r="C104" s="8" t="str">
        <x:v>RN uses WebKit on iOS and Chromium on Android</x:v>
      </x:c>
      <x:c r="D104" s="8" t="str">
        <x:v>TODO: Test MarkItDown parsing on this mess</x:v>
      </x:c>
      <x:c r="E104" s="8"/>
      <x:c r="F104" s="8" t="str">
        <x:v>Could be a duplicate from the mobile handoff notes</x:v>
      </x:c>
      <x:c r="G104" s="8"/>
      <x:c r="H104" s="8"/>
      <x:c r="I104" s="8"/>
      <x:c r="J104" s="8"/>
    </x:row>
    <x:row r="105">
      <x:c r="A105" s="8" t="str">
        <x:v>WPF is using Chromium (Blink)</x:v>
      </x:c>
      <x:c r="B105" s="8" t="str">
        <x:v>WPF is using Chromium (Blink)</x:v>
      </x:c>
      <x:c r="C105" s="8"/>
      <x:c r="D105" s="8"/>
      <x:c r="E105" s="8"/>
      <x:c r="F105" s="8"/>
      <x:c r="G105" s="8"/>
      <x:c r="H105" s="8" t="str">
        <x:v>Question: does sheet name survive conversion?</x:v>
      </x:c>
      <x:c r="I105" s="8"/>
      <x:c r="J105" s="8" t="str">
        <x:v>Inconsistent rendering!!</x:v>
      </x:c>
    </x:row>
    <x:row r="106">
      <x:c r="A106" s="8"/>
      <x:c r="B106" s="8"/>
      <x:c r="C106" s="8" t="str">
        <x:v>WPF is using Chromium (Blink)</x:v>
      </x:c>
      <x:c r="D106" s="8"/>
      <x:c r="E106" s="8"/>
      <x:c r="F106" s="8"/>
      <x:c r="G106" s="8"/>
      <x:c r="H106" s="8"/>
      <x:c r="I106" s="8"/>
      <x:c r="J106" s="8" t="str">
        <x:v>Security note: mixed content setting should remain visible</x:v>
      </x:c>
    </x:row>
    <x:row r="107">
      <x:c r="A107" s="8"/>
      <x:c r="B107" s="8"/>
      <x:c r="C107" s="8"/>
      <x:c r="D107" s="8" t="str">
        <x:v>The owner field was not captured in the original notes, so classification should remain conservative.</x:v>
      </x:c>
      <x:c r="E107" s="8"/>
      <x:c r="F107" s="8"/>
      <x:c r="G107" s="8"/>
      <x:c r="H107" s="8"/>
      <x:c r="I107" s="8"/>
      <x:c r="J107" s="8" t="str">
        <x:v>WPF is using Chromium (Blink)</x:v>
      </x:c>
    </x:row>
    <x:row r="108">
      <x:c r="A108" s="8"/>
      <x:c r="B108" s="8" t="str">
        <x:v>https://developer.microsoft.com/en-us/microsoft-edge/webview2/</x:v>
      </x:c>
      <x:c r="C108" s="8" t="str">
        <x:v>Do not infer a missing header from the nearest nonblank row</x:v>
      </x:c>
      <x:c r="D108" s="8" t="str">
        <x:v>Could be a duplicate from the mobile handoff notes</x:v>
      </x:c>
      <x:c r="E108" s="8"/>
      <x:c r="F108" s="8"/>
      <x:c r="G108" s="8"/>
      <x:c r="H108" s="8"/>
      <x:c r="I108" s="8"/>
      <x:c r="J108" s="8" t="str">
        <x:v>metric_198 = 587</x:v>
      </x:c>
    </x:row>
    <x:row r="109">
      <x:c r="A109" s="8"/>
      <x:c r="B109" s="8"/>
      <x:c r="C109" s="8" t="str">
        <x:v>metric_199 = 61</x:v>
      </x:c>
      <x:c r="D109" s="8"/>
      <x:c r="E109" s="8"/>
      <x:c r="F109" s="8"/>
      <x:c r="G109" s="8"/>
      <x:c r="H109" s="8" t="str">
        <x:v>RN uses WebKit on iOS and Chromium on Android</x:v>
      </x:c>
      <x:c r="I109" s="8"/>
      <x:c r="J109" s="8"/>
    </x:row>
    <x:row r="110">
      <x:c r="A110" s="8"/>
      <x:c r="B110" s="8"/>
      <x:c r="C110" s="8" t="str">
        <x:v>Security note: mixed content setting should remain visible</x:v>
      </x:c>
      <x:c r="D110" s="8" t="str">
        <x:v>Security note: mixed content setting should remain visible</x:v>
      </x:c>
      <x:c r="E110" s="8"/>
      <x:c r="F110" s="8" t="str">
        <x:v>TODO: Test MarkItDown parsing on this mess</x:v>
      </x:c>
      <x:c r="G110" s="8"/>
      <x:c r="H110" s="8" t="str">
        <x:v>WPF is using Chromium (Blink)</x:v>
      </x:c>
      <x:c r="I110" s="8"/>
      <x:c r="J110" s="8"/>
    </x:row>
    <x:row r="111">
      <x:c r="A111" s="8"/>
      <x:c r="B111" s="8"/>
      <x:c r="C111" s="8" t="str">
        <x:v>Inconsistent rendering!!</x:v>
      </x:c>
      <x:c r="D111" s="8" t="str">
        <x:v>WPF is using Chromium (Blink)</x:v>
      </x:c>
      <x:c r="E111" s="8"/>
      <x:c r="F111" s="8"/>
      <x:c r="G111" s="8"/>
      <x:c r="H111" s="8"/>
      <x:c r="I111" s="8"/>
      <x:c r="J111" s="8"/>
    </x:row>
    <x:row r="112">
      <x:c r="A112" s="8"/>
      <x:c r="B112" s="8"/>
      <x:c r="C112" s="8"/>
      <x:c r="D112" s="8" t="str">
        <x:v>TODO: Test MarkItDown parsing on this mess</x:v>
      </x:c>
      <x:c r="E112" s="8"/>
      <x:c r="F112" s="8"/>
      <x:c r="G112" s="8"/>
      <x:c r="H112" s="8" t="str">
        <x:v>Do not infer a missing header from the nearest nonblank row</x:v>
      </x:c>
      <x:c r="I112" s="8"/>
      <x:c r="J112" s="8"/>
    </x:row>
    <x:row r="113">
      <x:c r="A113" s="8"/>
      <x:c r="B113" s="8"/>
      <x:c r="C113" s="8" t="str">
        <x:v>Do not infer a missing header from the nearest nonblank row</x:v>
      </x:c>
      <x:c r="D113" s="8" t="str">
        <x:v>WPF is using Chromium (Blink)</x:v>
      </x:c>
      <x:c r="E113" s="8"/>
      <x:c r="F113" s="8" t="str">
        <x:v>This sentence is long enough to exercise wrapping and downstream chunk boundaries in Markdown output.</x:v>
      </x:c>
      <x:c r="G113" s="8"/>
      <x:c r="H113" s="8"/>
      <x:c r="I113" s="8"/>
      <x:c r="J113" s="8" t="str">
        <x:v>A blank cell here is intentional. The source workbook has notes placed away from the nearest table.</x:v>
      </x:c>
    </x:row>
    <x:row r="114">
      <x:c r="A114" s="8"/>
      <x:c r="B114" s="8"/>
      <x:c r="C114" s="8"/>
      <x:c r="D114" s="8"/>
      <x:c r="E114" s="8"/>
      <x:c r="F114" s="8"/>
      <x:c r="G114" s="8"/>
      <x:c r="H114" s="8"/>
      <x:c r="I114" s="8"/>
      <x:c r="J114" s="8"/>
    </x:row>
    <x:row r="115">
      <x:c r="A115" s="8" t="str">
        <x:v>TODO: Test MarkItDown parsing on this mess</x:v>
      </x:c>
      <x:c r="B115" s="8" t="str">
        <x:v>https://developer.apple.com/documentation/webkit/wkwebview</x:v>
      </x:c>
      <x:c r="C115" s="8" t="str">
        <x:v>metric_204 = 223</x:v>
      </x:c>
      <x:c r="D115" s="8" t="str">
        <x:v>Question: does sheet name survive conversion?</x:v>
      </x:c>
      <x:c r="E115" s="8"/>
      <x:c r="F115" s="8"/>
      <x:c r="G115" s="8"/>
      <x:c r="H115" s="8"/>
      <x:c r="I115" s="8"/>
      <x:c r="J115" s="8"/>
    </x:row>
    <x:row r="116">
      <x:c r="A116" s="8"/>
      <x:c r="B116" s="8"/>
      <x:c r="C116" s="8"/>
      <x:c r="D116" s="8"/>
      <x:c r="E116" s="8"/>
      <x:c r="F116" s="8"/>
      <x:c r="G116" s="8"/>
      <x:c r="H116" s="8" t="str">
        <x:v>metric_205 = 946</x:v>
      </x:c>
      <x:c r="I116" s="8"/>
      <x:c r="J116" s="8" t="str">
        <x:v>https://developer.apple.com/documentation/webkit/wkwebview</x:v>
      </x:c>
    </x:row>
    <x:row r="117">
      <x:c r="A117" s="8" t="str">
        <x:v>TODO: Test MarkItDown parsing on this mess</x:v>
      </x:c>
      <x:c r="B117" s="8"/>
      <x:c r="C117" s="8"/>
      <x:c r="D117" s="8"/>
      <x:c r="E117" s="8"/>
      <x:c r="F117" s="8" t="str">
        <x:v>Inconsistent rendering!!</x:v>
      </x:c>
      <x:c r="G117" s="8"/>
      <x:c r="H117" s="8" t="str">
        <x:v>metric_206 = 204</x:v>
      </x:c>
      <x:c r="I117" s="8"/>
      <x:c r="J117" s="8"/>
    </x:row>
    <x:row r="118">
      <x:c r="A118" s="8" t="str">
        <x:v>Could be a duplicate from the mobile handoff notes</x:v>
      </x:c>
      <x:c r="B118" s="8"/>
      <x:c r="C118" s="8"/>
      <x:c r="D118" s="8" t="str">
        <x:v>Security note: mixed content setting should remain visible</x:v>
      </x:c>
      <x:c r="E118" s="8"/>
      <x:c r="F118" s="8" t="str">
        <x:v>Inconsistent rendering!!</x:v>
      </x:c>
      <x:c r="G118" s="8"/>
      <x:c r="H118" s="8" t="str">
        <x:v>Security note: mixed content setting should remain visible</x:v>
      </x:c>
      <x:c r="I118" s="8"/>
      <x:c r="J118" s="8"/>
    </x:row>
    <x:row r="119">
      <x:c r="A119" s="8"/>
      <x:c r="B119" s="8"/>
      <x:c r="C119" s="8" t="str">
        <x:v>Question: does sheet name survive conversion?</x:v>
      </x:c>
      <x:c r="D119" s="8"/>
      <x:c r="E119" s="8"/>
      <x:c r="F119" s="8"/>
      <x:c r="G119" s="8"/>
      <x:c r="H119" s="8"/>
      <x:c r="I119" s="8"/>
      <x:c r="J119" s="8" t="str">
        <x:v>RN uses WebKit on iOS and Chromium on Android</x:v>
      </x:c>
    </x:row>
    <x:row r="120">
      <x:c r="A120" s="8"/>
      <x:c r="B120" s="8"/>
      <x:c r="C120" s="8" t="str">
        <x:v>Security note: mixed content setting should remain visible</x:v>
      </x:c>
      <x:c r="D120" s="8" t="str">
        <x:v>Verify behavior on a cold start and after the page reloads without destroying the native view.</x:v>
      </x:c>
      <x:c r="E120" s="8"/>
      <x:c r="F120" s="8"/>
      <x:c r="G120" s="8"/>
      <x:c r="H120" s="8" t="str">
        <x:v>metric_209 = 985</x:v>
      </x:c>
      <x:c r="I120" s="8"/>
      <x:c r="J120" s="8" t="str">
        <x:v>TODO: Test MarkItDown parsing on this mess</x:v>
      </x:c>
    </x:row>
    <x:row r="121">
      <x:c r="A121" s="8" t="str">
        <x:v>Security note: mixed content setting should remain visible</x:v>
      </x:c>
      <x:c r="B121" s="8" t="str">
        <x:v>Do not infer a missing header from the nearest nonblank row</x:v>
      </x:c>
      <x:c r="C121" s="8"/>
      <x:c r="D121" s="8"/>
      <x:c r="E121" s="8"/>
      <x:c r="F121" s="8"/>
      <x:c r="G121" s="8"/>
      <x:c r="H121" s="8" t="str">
        <x:v>https://learn.microsoft.com/en-us/microsoft-edge/webview2/concepts/security</x:v>
      </x:c>
      <x:c r="I121" s="8"/>
      <x:c r="J121" s="8" t="str">
        <x:v>RN uses WebKit on iOS and Chromium on Android</x:v>
      </x:c>
    </x:row>
    <x:row r="122">
      <x:c r="A122" s="8" t="str">
        <x:v>https://developer.android.com/reference/android/webkit/WebView</x:v>
      </x:c>
      <x:c r="B122" s="8"/>
      <x:c r="C122" s="8"/>
      <x:c r="D122" s="8" t="str">
        <x:v>Question: does sheet name survive conversion?</x:v>
      </x:c>
      <x:c r="E122" s="8"/>
      <x:c r="F122" s="8"/>
      <x:c r="G122" s="8"/>
      <x:c r="H122" s="8"/>
      <x:c r="I122" s="8"/>
      <x:c r="J122" s="8"/>
    </x:row>
    <x:row r="123">
      <x:c r="A123" s="8" t="str">
        <x:v>Do not infer a missing header from the nearest nonblank row</x:v>
      </x:c>
      <x:c r="B123" s="8"/>
      <x:c r="C123" s="8"/>
      <x:c r="D123" s="8"/>
      <x:c r="E123" s="8"/>
      <x:c r="F123" s="8" t="str">
        <x:v>Could be a duplicate from the mobile handoff notes</x:v>
      </x:c>
      <x:c r="G123" s="8"/>
      <x:c r="H123" s="8" t="str">
        <x:v>Security note: mixed content setting should remain visible</x:v>
      </x:c>
      <x:c r="I123" s="8"/>
      <x:c r="J123" s="8" t="str">
        <x:v>Inconsistent rendering!!</x:v>
      </x:c>
    </x:row>
    <x:row r="124">
      <x:c r="A124" s="8" t="str">
        <x:v>TODO: Test MarkItDown parsing on this mess</x:v>
      </x:c>
      <x:c r="B124" s="8" t="str">
        <x:v>Do not infer a missing header from the nearest nonblank row</x:v>
      </x:c>
      <x:c r="C124" s="8"/>
      <x:c r="D124" s="8"/>
      <x:c r="E124" s="8"/>
      <x:c r="F124" s="8"/>
      <x:c r="G124" s="8"/>
      <x:c r="H124" s="8" t="str">
        <x:v>RN uses WebKit on iOS and Chromium on Android</x:v>
      </x:c>
      <x:c r="I124" s="8"/>
      <x:c r="J124" s="8" t="str">
        <x:v>https://developer.microsoft.com/en-us/microsoft-edge/webview2/</x:v>
      </x:c>
    </x:row>
    <x:row r="125">
      <x:c r="A125" s="8" t="str">
        <x:v>metric_214 = 809</x:v>
      </x:c>
      <x:c r="B125" s="8" t="str">
        <x:v>Inconsistent rendering!!</x:v>
      </x:c>
      <x:c r="C125" s="8" t="str">
        <x:v>https://github.com/react-native-webview/react-native-webview</x:v>
      </x:c>
      <x:c r="D125" s="8"/>
      <x:c r="E125" s="8"/>
      <x:c r="F125" s="8" t="str">
        <x:v>RN uses WebKit on iOS and Chromium on Android</x:v>
      </x:c>
      <x:c r="G125" s="8"/>
      <x:c r="H125" s="8"/>
      <x:c r="I125" s="8"/>
      <x:c r="J125" s="8"/>
    </x:row>
    <x:row r="126">
      <x:c r="A126" s="8"/>
      <x:c r="B126" s="8" t="str">
        <x:v>Verify behavior on a cold start and after the page reloads without destroying the native view.</x:v>
      </x:c>
      <x:c r="C126" s="8" t="str">
        <x:v>Do not infer a missing header from the nearest nonblank row</x:v>
      </x:c>
      <x:c r="D126" s="8" t="str">
        <x:v>https://developer.apple.com/documentation/webkit/wkwebview</x:v>
      </x:c>
      <x:c r="E126" s="8"/>
      <x:c r="F126" s="8"/>
      <x:c r="G126" s="8"/>
      <x:c r="H126" s="8"/>
      <x:c r="I126" s="8"/>
      <x:c r="J126" s="8"/>
    </x:row>
    <x:row r="127">
      <x:c r="A127" s="8"/>
      <x:c r="B127" s="8"/>
      <x:c r="C127" s="8" t="str">
        <x:v>Question: does sheet name survive conversion?</x:v>
      </x:c>
      <x:c r="D127" s="8" t="str">
        <x:v>Security note: mixed content setting should remain visible</x:v>
      </x:c>
      <x:c r="E127" s="8"/>
      <x:c r="F127" s="8"/>
      <x:c r="G127" s="8"/>
      <x:c r="H127" s="8" t="str">
        <x:v>Inconsistent rendering!!</x:v>
      </x:c>
      <x:c r="I127" s="8"/>
      <x:c r="J127" s="8"/>
    </x:row>
    <x:row r="128">
      <x:c r="A128" s="8"/>
      <x:c r="B128" s="8"/>
      <x:c r="C128" s="8"/>
      <x:c r="D128" s="8"/>
      <x:c r="E128" s="8"/>
      <x:c r="F128" s="8"/>
      <x:c r="G128" s="8"/>
      <x:c r="H128" s="8"/>
      <x:c r="I128" s="8"/>
      <x:c r="J128" s="8"/>
    </x:row>
    <x:row r="129">
      <x:c r="A129" s="8"/>
      <x:c r="B129" s="8"/>
      <x:c r="C129" s="8"/>
      <x:c r="D129" s="8" t="str">
        <x:v>RN uses WebKit on iOS and Chromium on Android</x:v>
      </x:c>
      <x:c r="E129" s="8"/>
      <x:c r="F129" s="8" t="str">
        <x:v>metric_217 = 190</x:v>
      </x:c>
      <x:c r="G129" s="8"/>
      <x:c r="H129" s="8" t="str">
        <x:v>Question: does sheet name survive conversion?</x:v>
      </x:c>
      <x:c r="I129" s="8"/>
      <x:c r="J129" s="8" t="str">
        <x:v>Could be a duplicate from the mobile handoff notes</x:v>
      </x:c>
    </x:row>
    <x:row r="130">
      <x:c r="A130" s="8" t="str">
        <x:v>https://learn.microsoft.com/en-us/microsoft-edge/webview2/concepts/security</x:v>
      </x:c>
      <x:c r="B130" s="8" t="str">
        <x:v>https://developer.apple.com/documentation/webkit/wkwebview</x:v>
      </x:c>
      <x:c r="C130" s="8"/>
      <x:c r="D130" s="8"/>
      <x:c r="E130" s="8"/>
      <x:c r="F130" s="8"/>
      <x:c r="G130" s="8"/>
      <x:c r="H130" s="8"/>
      <x:c r="I130" s="8"/>
      <x:c r="J130" s="8"/>
    </x:row>
    <x:row r="131">
      <x:c r="A131" s="8"/>
      <x:c r="B131" s="8" t="str">
        <x:v>https://developer.android.com/reference/android/webkit/WebView</x:v>
      </x:c>
      <x:c r="C131" s="8" t="str">
        <x:v>RN uses WebKit on iOS and Chromium on Android</x:v>
      </x:c>
      <x:c r="D131" s="8"/>
      <x:c r="E131" s="8"/>
      <x:c r="F131" s="8" t="str">
        <x:v>Do not infer a missing header from the nearest nonblank row</x:v>
      </x:c>
      <x:c r="G131" s="8"/>
      <x:c r="H131" s="8" t="str">
        <x:v>WPF is using Chromium (Blink)</x:v>
      </x:c>
      <x:c r="I131" s="8"/>
      <x:c r="J131" s="8"/>
    </x:row>
    <x:row r="132">
      <x:c r="A132" s="8" t="str">
        <x:v>metric_220 = 441</x:v>
      </x:c>
      <x:c r="B132" s="8"/>
      <x:c r="C132" s="8" t="str">
        <x:v>metric_220 = 468</x:v>
      </x:c>
      <x:c r="D132" s="8"/>
      <x:c r="E132" s="8"/>
      <x:c r="F132" s="8"/>
      <x:c r="G132" s="8"/>
      <x:c r="H132" s="8"/>
      <x:c r="I132" s="8"/>
      <x:c r="J132" s="8" t="str">
        <x:v>Could be a duplicate from the mobile handoff notes</x:v>
      </x:c>
    </x:row>
    <x:row r="133">
      <x:c r="A133" s="8" t="str">
        <x:v>RN uses WebKit on iOS and Chromium on Android</x:v>
      </x:c>
      <x:c r="B133" s="8"/>
      <x:c r="C133" s="8"/>
      <x:c r="D133" s="8"/>
      <x:c r="E133" s="8"/>
      <x:c r="F133" s="8"/>
      <x:c r="G133" s="8"/>
      <x:c r="H133" s="8"/>
      <x:c r="I133" s="8"/>
      <x:c r="J133" s="8" t="str">
        <x:v>Could be a duplicate from the mobile handoff notes</x:v>
      </x:c>
    </x:row>
    <x:row r="134">
      <x:c r="A134" s="8" t="str">
        <x:v>TODO: Test MarkItDown parsing on this mess</x:v>
      </x:c>
      <x:c r="B134" s="8" t="str">
        <x:v>metric_222 = 288</x:v>
      </x:c>
      <x:c r="C134" s="8"/>
      <x:c r="D134" s="8" t="str">
        <x:v>https://learn.microsoft.com/en-us/microsoft-edge/webview2/concepts/security</x:v>
      </x:c>
      <x:c r="E134" s="8"/>
      <x:c r="F134" s="8"/>
      <x:c r="G134" s="8"/>
      <x:c r="H134" s="8"/>
      <x:c r="I134" s="8"/>
      <x:c r="J134" s="8"/>
    </x:row>
    <x:row r="135">
      <x:c r="A135" s="8"/>
      <x:c r="B135" s="8"/>
      <x:c r="C135" s="8" t="str">
        <x:v>Security note: mixed content setting should remain visible</x:v>
      </x:c>
      <x:c r="D135" s="8" t="str">
        <x:v>Security note: mixed content setting should remain visible</x:v>
      </x:c>
      <x:c r="E135" s="8"/>
      <x:c r="F135" s="8"/>
      <x:c r="G135" s="8"/>
      <x:c r="H135" s="8"/>
      <x:c r="I135" s="8"/>
      <x:c r="J135" s="8" t="str">
        <x:v>Inconsistent rendering!!</x:v>
      </x:c>
    </x:row>
    <x:row r="136">
      <x:c r="A136" s="8"/>
      <x:c r="B136" s="8"/>
      <x:c r="C136" s="8" t="str">
        <x:v>A blank cell here is intentional. The source workbook has notes placed away from the nearest table.</x:v>
      </x:c>
      <x:c r="D136" s="8" t="str">
        <x:v>WPF is using Chromium (Blink)</x:v>
      </x:c>
      <x:c r="E136" s="8"/>
      <x:c r="F136" s="8"/>
      <x:c r="G136" s="8"/>
      <x:c r="H136" s="8" t="str">
        <x:v>Security note: mixed content setting should remain visible</x:v>
      </x:c>
      <x:c r="I136" s="8"/>
      <x:c r="J136" s="8" t="str">
        <x:v>Do not infer a missing header from the nearest nonblank row</x:v>
      </x:c>
    </x:row>
    <x:row r="137">
      <x:c r="A137" s="8" t="str">
        <x:v>RN uses WebKit on iOS and Chromium on Android</x:v>
      </x:c>
      <x:c r="B137" s="8"/>
      <x:c r="C137" s="8" t="str">
        <x:v>WPF is using Chromium (Blink)</x:v>
      </x:c>
      <x:c r="D137" s="8"/>
      <x:c r="E137" s="8"/>
      <x:c r="F137" s="8"/>
      <x:c r="G137" s="8"/>
      <x:c r="H137" s="8"/>
      <x:c r="I137" s="8"/>
      <x:c r="J137" s="8"/>
    </x:row>
    <x:row r="138">
      <x:c r="A138" s="8"/>
      <x:c r="B138" s="8"/>
      <x:c r="C138" s="8"/>
      <x:c r="D138" s="8" t="str">
        <x:v>Potential duplicate: this paragraph is repeated in another section to test deduplication and chunk metadata.</x:v>
      </x:c>
      <x:c r="E138" s="8"/>
      <x:c r="F138" s="8"/>
      <x:c r="G138" s="8"/>
      <x:c r="H138" s="8"/>
      <x:c r="I138" s="8"/>
      <x:c r="J138" s="8" t="str">
        <x:v>Inconsistent rendering!!</x:v>
      </x:c>
    </x:row>
    <x:row r="139">
      <x:c r="A139" s="8" t="str">
        <x:v>RN uses WebKit on iOS and Chromium on Android</x:v>
      </x:c>
      <x:c r="B139" s="8" t="str">
        <x:v>Verify behavior on a cold start and after the page reloads without destroying the native view.</x:v>
      </x:c>
      <x:c r="C139" s="8"/>
      <x:c r="D139" s="8"/>
      <x:c r="E139" s="8"/>
      <x:c r="F139" s="8" t="str">
        <x:v>Observed in a local test run: the content rendered, but the console warning appeared twice.</x:v>
      </x:c>
      <x:c r="G139" s="8"/>
      <x:c r="H139" s="8"/>
      <x:c r="I139" s="8"/>
      <x:c r="J139" s="8" t="str">
        <x:v>https://developer.apple.com/documentation/webkit/wkwebview</x:v>
      </x:c>
    </x:row>
    <x:row r="140">
      <x:c r="A140" s="8" t="str">
        <x:v>TODO: Test MarkItDown parsing on this mess</x:v>
      </x:c>
      <x:c r="B140" s="8" t="str">
        <x:v>metric_228 = 357</x:v>
      </x:c>
      <x:c r="C140" s="8"/>
      <x:c r="D140" s="8"/>
      <x:c r="E140" s="8"/>
      <x:c r="F140" s="8"/>
      <x:c r="G140" s="8"/>
      <x:c r="H140" s="8" t="str">
        <x:v>Inconsistent rendering!!</x:v>
      </x:c>
      <x:c r="I140" s="8"/>
      <x:c r="J140" s="8" t="str">
        <x:v>Do not infer a missing header from the nearest nonblank row</x:v>
      </x:c>
    </x:row>
    <x:row r="141">
      <x:c r="A141" s="8" t="str">
        <x:v>RN uses WebKit on iOS and Chromium on Android</x:v>
      </x:c>
      <x:c r="B141" s="8"/>
      <x:c r="C141" s="8" t="str">
        <x:v>TODO: Test MarkItDown parsing on this mess</x:v>
      </x:c>
      <x:c r="D141" s="8"/>
      <x:c r="E141" s="8"/>
      <x:c r="F141" s="8"/>
      <x:c r="G141" s="8"/>
      <x:c r="H141" s="8" t="str">
        <x:v>RN uses WebKit on iOS and Chromium on Android</x:v>
      </x:c>
      <x:c r="I141" s="8"/>
      <x:c r="J141" s="8"/>
    </x:row>
    <x:row r="142">
      <x:c r="A142" s="8"/>
      <x:c r="B142" s="8"/>
      <x:c r="C142" s="8"/>
      <x:c r="D142" s="8"/>
      <x:c r="E142" s="8"/>
      <x:c r="F142" s="8"/>
      <x:c r="G142" s="8"/>
      <x:c r="H142" s="8"/>
      <x:c r="I142" s="8"/>
      <x:c r="J142" s="8"/>
    </x:row>
    <x:row r="143">
      <x:c r="A143" s="8"/>
      <x:c r="B143" s="8" t="str">
        <x:v>https://developer.android.com/reference/android/webkit/WebView</x:v>
      </x:c>
      <x:c r="C143" s="8"/>
      <x:c r="D143" s="8" t="str">
        <x:v>Inconsistent rendering!!</x:v>
      </x:c>
      <x:c r="E143" s="8"/>
      <x:c r="F143" s="8"/>
      <x:c r="G143" s="8"/>
      <x:c r="H143" s="8" t="str">
        <x:v>Question: does sheet name survive conversion?</x:v>
      </x:c>
      <x:c r="I143" s="8"/>
      <x:c r="J143" s="8"/>
    </x:row>
    <x:row r="144">
      <x:c r="A144" s="8" t="str">
        <x:v>TODO: Test MarkItDown parsing on this mess</x:v>
      </x:c>
      <x:c r="B144" s="8"/>
      <x:c r="C144" s="8"/>
      <x:c r="D144" s="8" t="str">
        <x:v>Question: does sheet name survive conversion?</x:v>
      </x:c>
      <x:c r="E144" s="8"/>
      <x:c r="F144" s="8"/>
      <x:c r="G144" s="8"/>
      <x:c r="H144" s="8" t="str">
        <x:v>https://github.com/react-native-webview/react-native-webview</x:v>
      </x:c>
      <x:c r="I144" s="8"/>
      <x:c r="J144" s="8" t="str">
        <x:v>Question: does sheet name survive conversion?</x:v>
      </x:c>
    </x:row>
    <x:row r="145">
      <x:c r="A145" s="8" t="str">
        <x:v>TODO: Test MarkItDown parsing on this mess</x:v>
      </x:c>
      <x:c r="B145" s="8" t="str">
        <x:v>Potential duplicate: this paragraph is repeated in another section to test deduplication and chunk metadata.</x:v>
      </x:c>
      <x:c r="C145" s="8" t="str">
        <x:v>Question: does sheet name survive conversion?</x:v>
      </x:c>
      <x:c r="D145" s="8"/>
      <x:c r="E145" s="8"/>
      <x:c r="F145" s="8" t="str">
        <x:v>WPF is using Chromium (Blink)</x:v>
      </x:c>
      <x:c r="G145" s="8"/>
      <x:c r="H145" s="8"/>
      <x:c r="I145" s="8"/>
      <x:c r="J145" s="8"/>
    </x:row>
    <x:row r="146">
      <x:c r="A146" s="8" t="str">
        <x:v>Could be a duplicate from the mobile handoff notes</x:v>
      </x:c>
      <x:c r="B146" s="8"/>
      <x:c r="C146" s="8"/>
      <x:c r="D146" s="8"/>
      <x:c r="E146" s="8"/>
      <x:c r="F146" s="8" t="str">
        <x:v>TODO: Test MarkItDown parsing on this mess</x:v>
      </x:c>
      <x:c r="G146" s="8"/>
      <x:c r="H146" s="8" t="str">
        <x:v>Do not infer a missing header from the nearest nonblank row</x:v>
      </x:c>
      <x:c r="I146" s="8"/>
      <x:c r="J146" s="8"/>
    </x:row>
    <x:row r="147">
      <x:c r="A147" s="8"/>
      <x:c r="B147" s="8"/>
      <x:c r="C147" s="8"/>
      <x:c r="D147" s="8"/>
      <x:c r="E147" s="8"/>
      <x:c r="F147" s="8"/>
      <x:c r="G147" s="8"/>
      <x:c r="H147" s="8" t="str">
        <x:v>Inconsistent rendering!!</x:v>
      </x:c>
      <x:c r="I147" s="8"/>
      <x:c r="J147" s="8" t="str">
        <x:v>Do not infer a missing header from the nearest nonblank row</x:v>
      </x:c>
    </x:row>
    <x:row r="148">
      <x:c r="A148" s="8"/>
      <x:c r="B148" s="8"/>
      <x:c r="C148" s="8" t="str">
        <x:v>Security note: mixed content setting should remain visible</x:v>
      </x:c>
      <x:c r="D148" s="8" t="str">
        <x:v>TODO: Test MarkItDown parsing on this mess</x:v>
      </x:c>
      <x:c r="E148" s="8"/>
      <x:c r="F148" s="8"/>
      <x:c r="G148" s="8"/>
      <x:c r="H148" s="8"/>
      <x:c r="I148" s="8"/>
      <x:c r="J148" s="8" t="str">
        <x:v>The bridge callback is stable for small payloads, but large JSON messages show visible delay during navigation.</x:v>
      </x:c>
    </x:row>
    <x:row r="149">
      <x:c r="A149" s="8"/>
      <x:c r="B149" s="8"/>
      <x:c r="C149" s="8"/>
      <x:c r="D149" s="8" t="str">
        <x:v>RN uses WebKit on iOS and Chromium on Android</x:v>
      </x:c>
      <x:c r="E149" s="8"/>
      <x:c r="F149" s="8"/>
      <x:c r="G149" s="8"/>
      <x:c r="H149" s="8"/>
      <x:c r="I149" s="8"/>
      <x:c r="J149" s="8" t="str">
        <x:v>Do not infer a missing header from the nearest nonblank row</x:v>
      </x:c>
    </x:row>
    <x:row r="150">
      <x:c r="A150" s="8"/>
      <x:c r="B150" s="8" t="str">
        <x:v>RN uses WebKit on iOS and Chromium on Android</x:v>
      </x:c>
      <x:c r="C150" s="8" t="str">
        <x:v>https://learn.microsoft.com/en-us/microsoft-edge/webview2/concepts/security</x:v>
      </x:c>
      <x:c r="D150" s="8"/>
      <x:c r="E150" s="8"/>
      <x:c r="F150" s="8"/>
      <x:c r="G150" s="8"/>
      <x:c r="H150" s="8"/>
      <x:c r="I150" s="8"/>
      <x:c r="J150" s="8"/>
    </x:row>
    <x:row r="151">
      <x:c r="A151" s="8"/>
      <x:c r="B151" s="8"/>
      <x:c r="C151" s="8" t="str">
        <x:v>RN uses WebKit on iOS and Chromium on Android</x:v>
      </x:c>
      <x:c r="D151" s="8" t="str">
        <x:v>Potential duplicate: this paragraph is repeated in another section to test deduplication and chunk metadata.</x:v>
      </x:c>
      <x:c r="E151" s="8"/>
      <x:c r="F151" s="8" t="str">
        <x:v>Do not infer a missing header from the nearest nonblank row</x:v>
      </x:c>
      <x:c r="G151" s="8"/>
      <x:c r="H151" s="8" t="str">
        <x:v>Security note: mixed content setting should remain visible</x:v>
      </x:c>
      <x:c r="I151" s="8"/>
      <x:c r="J151" s="8"/>
    </x:row>
    <x:row r="152">
      <x:c r="A152" s="8"/>
      <x:c r="B152" s="8"/>
      <x:c r="C152" s="8" t="str">
        <x:v>Inconsistent rendering!!</x:v>
      </x:c>
      <x:c r="D152" s="8" t="str">
        <x:v>metric_239 = 662</x:v>
      </x:c>
      <x:c r="E152" s="8"/>
      <x:c r="F152" s="8"/>
      <x:c r="G152" s="8"/>
      <x:c r="H152" s="8"/>
      <x:c r="I152" s="8"/>
      <x:c r="J152" s="8"/>
    </x:row>
    <x:row r="153">
      <x:c r="A153" s="8" t="str">
        <x:v>https://developer.android.com/reference/android/webkit/WebView</x:v>
      </x:c>
      <x:c r="B153" s="8" t="str">
        <x:v>Inconsistent rendering!!</x:v>
      </x:c>
      <x:c r="C153" s="8" t="str">
        <x:v>WPF is using Chromium (Blink)</x:v>
      </x:c>
      <x:c r="D153" s="8"/>
      <x:c r="E153" s="8"/>
      <x:c r="F153" s="8"/>
      <x:c r="G153" s="8"/>
      <x:c r="H153" s="8"/>
      <x:c r="I153" s="8"/>
      <x:c r="J153" s="8" t="str">
        <x:v>TODO: Test MarkItDown parsing on this mess</x:v>
      </x:c>
    </x:row>
    <x:row r="154">
      <x:c r="A154" s="8"/>
      <x:c r="B154" s="8" t="str">
        <x:v>TODO: Test MarkItDown parsing on this mess</x:v>
      </x:c>
      <x:c r="C154" s="8"/>
      <x:c r="D154" s="8" t="str">
        <x:v>metric_241 = 921</x:v>
      </x:c>
      <x:c r="E154" s="8"/>
      <x:c r="F154" s="8"/>
      <x:c r="G154" s="8"/>
      <x:c r="H154" s="8" t="str">
        <x:v>TODO: Test MarkItDown parsing on this mess</x:v>
      </x:c>
      <x:c r="I154" s="8"/>
      <x:c r="J154" s="8" t="str">
        <x:v>Security note: mixed content setting should remain visible</x:v>
      </x:c>
    </x:row>
    <x:row r="155">
      <x:c r="A155" s="8" t="str">
        <x:v>Question: does sheet name survive conversion?</x:v>
      </x:c>
      <x:c r="B155" s="8"/>
      <x:c r="C155" s="8"/>
      <x:c r="D155" s="8" t="str">
        <x:v>Follow-up: compare the result when the network security policy is relaxed versus when it is enforced.</x:v>
      </x:c>
      <x:c r="E155" s="8"/>
      <x:c r="F155" s="8" t="str">
        <x:v>Security note: mixed content setting should remain visible</x:v>
      </x:c>
      <x:c r="G155" s="8"/>
      <x:c r="H155" s="8"/>
      <x:c r="I155" s="8"/>
      <x:c r="J155" s="8" t="str">
        <x:v>Follow-up: compare the result when the network security policy is relaxed versus when it is enforced.</x:v>
      </x:c>
    </x:row>
    <x:row r="156">
      <x:c r="A156" s="8"/>
      <x:c r="B156" s="8"/>
      <x:c r="C156" s="8"/>
      <x:c r="D156" s="8"/>
      <x:c r="E156" s="8"/>
      <x:c r="F156" s="8"/>
      <x:c r="G156" s="8"/>
      <x:c r="H156" s="8"/>
      <x:c r="I156" s="8"/>
      <x:c r="J156" s="8"/>
    </x:row>
    <x:row r="157">
      <x:c r="A157" s="8" t="str">
        <x:v>TODO: Test MarkItDown parsing on this mess</x:v>
      </x:c>
      <x:c r="B157" s="8" t="str">
        <x:v>Inconsistent rendering!!</x:v>
      </x:c>
      <x:c r="C157" s="8" t="str">
        <x:v>https://learn.microsoft.com/en-us/microsoft-edge/webview2/concepts/security</x:v>
      </x:c>
      <x:c r="D157" s="8" t="str">
        <x:v>TODO: Test MarkItDown parsing on this mess</x:v>
      </x:c>
      <x:c r="E157" s="8"/>
      <x:c r="F157" s="8"/>
      <x:c r="G157" s="8"/>
      <x:c r="H157" s="8"/>
      <x:c r="I157" s="8"/>
      <x:c r="J157" s="8"/>
    </x:row>
    <x:row r="158">
      <x:c r="A158" s="8"/>
      <x:c r="B158" s="8"/>
      <x:c r="C158" s="8" t="str">
        <x:v>RN uses WebKit on iOS and Chromium on Android</x:v>
      </x:c>
      <x:c r="D158" s="8" t="str">
        <x:v>Do not infer a missing header from the nearest nonblank row</x:v>
      </x:c>
      <x:c r="E158" s="8"/>
      <x:c r="F158" s="8"/>
      <x:c r="G158" s="8"/>
      <x:c r="H158" s="8" t="str">
        <x:v>Security note: mixed content setting should remain visible</x:v>
      </x:c>
      <x:c r="I158" s="8"/>
      <x:c r="J158" s="8" t="str">
        <x:v>WPF is using Chromium (Blink)</x:v>
      </x:c>
    </x:row>
    <x:row r="159">
      <x:c r="A159" s="8"/>
      <x:c r="B159" s="8" t="str">
        <x:v>Observed in a local test run: the content rendered, but the console warning appeared twice.</x:v>
      </x:c>
      <x:c r="C159" s="8"/>
      <x:c r="D159" s="8" t="str">
        <x:v>RN uses WebKit on iOS and Chromium on Android</x:v>
      </x:c>
      <x:c r="E159" s="8"/>
      <x:c r="F159" s="8"/>
      <x:c r="G159" s="8"/>
      <x:c r="H159" s="8" t="str">
        <x:v>TODO: Test MarkItDown parsing on this mess</x:v>
      </x:c>
      <x:c r="I159" s="8"/>
      <x:c r="J159" s="8"/>
    </x:row>
    <x:row r="160">
      <x:c r="A160" s="8" t="str">
        <x:v>Security note: mixed content setting should remain visible</x:v>
      </x:c>
      <x:c r="B160" s="8" t="str">
        <x:v>https://learn.microsoft.com/en-us/microsoft-edge/webview2/concepts/security</x:v>
      </x:c>
      <x:c r="C160" s="8" t="str">
        <x:v>Do not infer a missing header from the nearest nonblank row</x:v>
      </x:c>
      <x:c r="D160" s="8" t="str">
        <x:v>WPF is using Chromium (Blink)</x:v>
      </x:c>
      <x:c r="E160" s="8"/>
      <x:c r="F160" s="8"/>
      <x:c r="G160" s="8"/>
      <x:c r="H160" s="8"/>
      <x:c r="I160" s="8"/>
      <x:c r="J160" s="8"/>
    </x:row>
    <x:row r="161">
      <x:c r="A161" s="8" t="str">
        <x:v>metric_247 = 129</x:v>
      </x:c>
      <x:c r="B161" s="8" t="str">
        <x:v>Do not infer a missing header from the nearest nonblank row</x:v>
      </x:c>
      <x:c r="C161" s="8"/>
      <x:c r="D161" s="8"/>
      <x:c r="E161" s="8"/>
      <x:c r="F161" s="8"/>
      <x:c r="G161" s="8"/>
      <x:c r="H161" s="8"/>
      <x:c r="I161" s="8"/>
      <x:c r="J161" s="8"/>
    </x:row>
    <x:row r="162">
      <x:c r="A162" s="8"/>
      <x:c r="B162" s="8" t="str">
        <x:v>Inconsistent rendering!!</x:v>
      </x:c>
      <x:c r="C162" s="8" t="str">
        <x:v>TODO: Test MarkItDown parsing on this mess</x:v>
      </x:c>
      <x:c r="D162" s="8" t="str">
        <x:v>metric_248 = 701</x:v>
      </x:c>
      <x:c r="E162" s="8"/>
      <x:c r="F162" s="8" t="str">
        <x:v>Inconsistent rendering!!</x:v>
      </x:c>
      <x:c r="G162" s="8"/>
      <x:c r="H162" s="8"/>
      <x:c r="I162" s="8"/>
      <x:c r="J162" s="8"/>
    </x:row>
    <x:row r="163">
      <x:c r="A163" s="8"/>
      <x:c r="B163" s="8" t="str">
        <x:v>metric_249 = 477</x:v>
      </x:c>
      <x:c r="C163" s="8" t="str">
        <x:v>Inconsistent rendering!!</x:v>
      </x:c>
      <x:c r="D163" s="8"/>
      <x:c r="E163" s="8"/>
      <x:c r="F163" s="8"/>
      <x:c r="G163" s="8"/>
      <x:c r="H163" s="8"/>
      <x:c r="I163" s="8"/>
      <x:c r="J163" s="8"/>
    </x:row>
    <x:row r="164">
      <x:c r="A164" s="8"/>
      <x:c r="B164" s="8"/>
      <x:c r="C164" s="8"/>
      <x:c r="D164" s="8"/>
      <x:c r="E164" s="8"/>
      <x:c r="F164" s="8" t="str">
        <x:v>Inconsistent rendering!!</x:v>
      </x:c>
      <x:c r="G164" s="8"/>
      <x:c r="H164" s="8" t="str">
        <x:v>Could be a duplicate from the mobile handoff notes</x:v>
      </x:c>
      <x:c r="I164" s="8"/>
      <x:c r="J164" s="8" t="str">
        <x:v>Inconsistent rendering!!</x:v>
      </x:c>
    </x:row>
    <x:row r="165">
      <x:c r="A165" s="8" t="str">
        <x:v>metric_251 = 962</x:v>
      </x:c>
      <x:c r="B165" s="8"/>
      <x:c r="C165" s="8"/>
      <x:c r="D165" s="8"/>
      <x:c r="E165" s="8"/>
      <x:c r="F165" s="8"/>
      <x:c r="G165" s="8"/>
      <x:c r="H165" s="8" t="str">
        <x:v>Inconsistent rendering!!</x:v>
      </x:c>
      <x:c r="I165" s="8"/>
      <x:c r="J165" s="8" t="str">
        <x:v>WPF is using Chromium (Blink)</x:v>
      </x:c>
    </x:row>
    <x:row r="166">
      <x:c r="A166" s="8"/>
      <x:c r="B166" s="8" t="str">
        <x:v>A blank cell here is intentional. The source workbook has notes placed away from the nearest table.</x:v>
      </x:c>
      <x:c r="C166" s="8"/>
      <x:c r="D166" s="8" t="str">
        <x:v>metric_252 = 520</x:v>
      </x:c>
      <x:c r="E166" s="8"/>
      <x:c r="F166" s="8"/>
      <x:c r="G166" s="8"/>
      <x:c r="H166" s="8" t="str">
        <x:v>WPF is using Chromium (Blink)</x:v>
      </x:c>
      <x:c r="I166" s="8"/>
      <x:c r="J166" s="8" t="str">
        <x:v>WPF is using Chromium (Blink)</x:v>
      </x:c>
    </x:row>
    <x:row r="167">
      <x:c r="A167" s="8" t="str">
        <x:v>Do not infer a missing header from the nearest nonblank row</x:v>
      </x:c>
      <x:c r="B167" s="8"/>
      <x:c r="C167" s="8"/>
      <x:c r="D167" s="8"/>
      <x:c r="E167" s="8"/>
      <x:c r="F167" s="8"/>
      <x:c r="G167" s="8"/>
      <x:c r="H167" s="8"/>
      <x:c r="I167" s="8"/>
      <x:c r="J167" s="8" t="str">
        <x:v>RN uses WebKit on iOS and Chromium on Android</x:v>
      </x:c>
    </x:row>
    <x:row r="168">
      <x:c r="A168" s="8" t="str">
        <x:v>RN uses WebKit on iOS and Chromium on Android</x:v>
      </x:c>
      <x:c r="B168" s="8"/>
      <x:c r="C168" s="8"/>
      <x:c r="D168" s="8" t="str">
        <x:v>Could be a duplicate from the mobile handoff notes</x:v>
      </x:c>
      <x:c r="E168" s="8"/>
      <x:c r="F168" s="8" t="str">
        <x:v>TODO: Test MarkItDown parsing on this mess</x:v>
      </x:c>
      <x:c r="G168" s="8"/>
      <x:c r="H168" s="8"/>
      <x:c r="I168" s="8"/>
      <x:c r="J168" s="8" t="str">
        <x:v>RN uses WebKit on iOS and Chromium on Android</x:v>
      </x:c>
    </x:row>
    <x:row r="169">
      <x:c r="A169" s="8" t="str">
        <x:v>https://developer.android.com/reference/android/webkit/WebView</x:v>
      </x:c>
      <x:c r="B169" s="8" t="str">
        <x:v>RN uses WebKit on iOS and Chromium on Android</x:v>
      </x:c>
      <x:c r="C169" s="8"/>
      <x:c r="D169" s="8"/>
      <x:c r="E169" s="8"/>
      <x:c r="F169" s="8" t="str">
        <x:v>Could be a duplicate from the mobile handoff notes</x:v>
      </x:c>
      <x:c r="G169" s="8"/>
      <x:c r="H169" s="8"/>
      <x:c r="I169" s="8"/>
      <x:c r="J169" s="8"/>
    </x:row>
    <x:row r="170">
      <x:c r="A170" s="8"/>
      <x:c r="B170" s="8"/>
      <x:c r="C170" s="8"/>
      <x:c r="D170" s="8"/>
      <x:c r="E170" s="8"/>
      <x:c r="F170" s="8"/>
      <x:c r="G170" s="8"/>
      <x:c r="H170" s="8"/>
      <x:c r="I170" s="8"/>
      <x:c r="J170" s="8"/>
    </x:row>
    <x:row r="171">
      <x:c r="A171" s="8"/>
      <x:c r="B171" s="8"/>
      <x:c r="C171" s="8"/>
      <x:c r="D171" s="8" t="str">
        <x:v>Question: does sheet name survive conversion?</x:v>
      </x:c>
      <x:c r="E171" s="8"/>
      <x:c r="F171" s="8" t="str">
        <x:v>WPF is using Chromium (Blink)</x:v>
      </x:c>
      <x:c r="G171" s="8"/>
      <x:c r="H171" s="8" t="str">
        <x:v>Question: does sheet name survive conversion?</x:v>
      </x:c>
      <x:c r="I171" s="8"/>
      <x:c r="J171" s="8" t="str">
        <x:v>Question: does sheet name survive conversion?</x:v>
      </x:c>
    </x:row>
    <x:row r="172">
      <x:c r="A172" s="8"/>
      <x:c r="B172" s="8" t="str">
        <x:v>RN uses WebKit on iOS and Chromium on Android</x:v>
      </x:c>
      <x:c r="C172" s="8" t="str">
        <x:v>Do not infer a missing header from the nearest nonblank row</x:v>
      </x:c>
      <x:c r="D172" s="8"/>
      <x:c r="E172" s="8"/>
      <x:c r="F172" s="8" t="str">
        <x:v>This sentence is long enough to exercise wrapping and downstream chunk boundaries in Markdown output.</x:v>
      </x:c>
      <x:c r="G172" s="8"/>
      <x:c r="H172" s="8"/>
      <x:c r="I172" s="8"/>
      <x:c r="J172" s="8"/>
    </x:row>
    <x:row r="173">
      <x:c r="A173" s="8" t="str">
        <x:v>Security note: mixed content setting should remain visible</x:v>
      </x:c>
      <x:c r="B173" s="8" t="str">
        <x:v>RN uses WebKit on iOS and Chromium on Android</x:v>
      </x:c>
      <x:c r="C173" s="8" t="str">
        <x:v>Inconsistent rendering!!</x:v>
      </x:c>
      <x:c r="D173" s="8"/>
      <x:c r="E173" s="8"/>
      <x:c r="F173" s="8"/>
      <x:c r="G173" s="8"/>
      <x:c r="H173" s="8"/>
      <x:c r="I173" s="8"/>
      <x:c r="J173" s="8"/>
    </x:row>
    <x:row r="174">
      <x:c r="A174" s="8" t="str">
        <x:v>WPF is using Chromium (Blink)</x:v>
      </x:c>
      <x:c r="B174" s="8" t="str">
        <x:v>Security note: mixed content setting should remain visible</x:v>
      </x:c>
      <x:c r="C174" s="8"/>
      <x:c r="D174" s="8"/>
      <x:c r="E174" s="8"/>
      <x:c r="F174" s="8"/>
      <x:c r="G174" s="8"/>
      <x:c r="H174" s="8"/>
      <x:c r="I174" s="8"/>
      <x:c r="J174" s="8"/>
    </x:row>
    <x:row r="175">
      <x:c r="A175" s="8"/>
      <x:c r="B175" s="8"/>
      <x:c r="C175" s="8" t="str">
        <x:v>Inconsistent rendering!!</x:v>
      </x:c>
      <x:c r="D175" s="8" t="str">
        <x:v>Security note: mixed content setting should remain visible</x:v>
      </x:c>
      <x:c r="E175" s="8"/>
      <x:c r="F175" s="8" t="str">
        <x:v>TODO: Test MarkItDown parsing on this mess</x:v>
      </x:c>
      <x:c r="G175" s="8"/>
      <x:c r="H175" s="8" t="str">
        <x:v>This sentence is long enough to exercise wrapping and downstream chunk boundaries in Markdown output.</x:v>
      </x:c>
      <x:c r="I175" s="8"/>
      <x:c r="J175" s="8"/>
    </x:row>
    <x:row r="176">
      <x:c r="A176" s="8"/>
      <x:c r="B176" s="8"/>
      <x:c r="C176" s="8"/>
      <x:c r="D176" s="8" t="str">
        <x:v>Security note: mixed content setting should remain visible</x:v>
      </x:c>
      <x:c r="E176" s="8"/>
      <x:c r="F176" s="8"/>
      <x:c r="G176" s="8"/>
      <x:c r="H176" s="8"/>
      <x:c r="I176" s="8"/>
      <x:c r="J176" s="8" t="str">
        <x:v>https://developer.apple.com/documentation/webkit/wkwebview</x:v>
      </x:c>
    </x:row>
    <x:row r="177">
      <x:c r="A177" s="8" t="str">
        <x:v>Could be a duplicate from the mobile handoff notes</x:v>
      </x:c>
      <x:c r="B177" s="8" t="str">
        <x:v>metric_262 = 500</x:v>
      </x:c>
      <x:c r="C177" s="8" t="str">
        <x:v>RN uses WebKit on iOS and Chromium on Android</x:v>
      </x:c>
      <x:c r="D177" s="8" t="str">
        <x:v>https://developer.android.com/reference/android/webkit/WebView</x:v>
      </x:c>
      <x:c r="E177" s="8"/>
      <x:c r="F177" s="8"/>
      <x:c r="G177" s="8"/>
      <x:c r="H177" s="8"/>
      <x:c r="I177" s="8"/>
      <x:c r="J177" s="8"/>
    </x:row>
    <x:row r="178">
      <x:c r="A178" s="8" t="str">
        <x:v>TODO: Test MarkItDown parsing on this mess</x:v>
      </x:c>
      <x:c r="B178" s="8" t="str">
        <x:v>Could be a duplicate from the mobile handoff notes</x:v>
      </x:c>
      <x:c r="C178" s="8"/>
      <x:c r="D178" s="8"/>
      <x:c r="E178" s="8"/>
      <x:c r="F178" s="8"/>
      <x:c r="G178" s="8"/>
      <x:c r="H178" s="8"/>
      <x:c r="I178" s="8"/>
      <x:c r="J178" s="8"/>
    </x:row>
    <x:row r="179">
      <x:c r="A179" s="8"/>
      <x:c r="B179" s="8" t="str">
        <x:v>metric_264 = 331</x:v>
      </x:c>
      <x:c r="C179" s="8" t="str">
        <x:v>Could be a duplicate from the mobile handoff notes</x:v>
      </x:c>
      <x:c r="D179" s="8" t="str">
        <x:v>https://learn.microsoft.com/en-us/microsoft-edge/webview2/concepts/security</x:v>
      </x:c>
      <x:c r="E179" s="8"/>
      <x:c r="F179" s="8"/>
      <x:c r="G179" s="8"/>
      <x:c r="H179" s="8"/>
      <x:c r="I179" s="8"/>
      <x:c r="J179" s="8"/>
    </x:row>
    <x:row r="180">
      <x:c r="A180" s="8" t="str">
        <x:v>WPF is using Chromium (Blink)</x:v>
      </x:c>
      <x:c r="B180" s="8"/>
      <x:c r="C180" s="8" t="str">
        <x:v>Do not infer a missing header from the nearest nonblank row</x:v>
      </x:c>
      <x:c r="D180" s="8" t="str">
        <x:v>https://developer.microsoft.com/en-us/microsoft-edge/webview2/</x:v>
      </x:c>
      <x:c r="E180" s="8"/>
      <x:c r="F180" s="8"/>
      <x:c r="G180" s="8"/>
      <x:c r="H180" s="8"/>
      <x:c r="I180" s="8"/>
      <x:c r="J180" s="8" t="str">
        <x:v>https://github.com/react-native-webview/react-native-webview</x:v>
      </x:c>
    </x:row>
    <x:row r="181">
      <x:c r="A181" s="8" t="str">
        <x:v>TODO: Test MarkItDown parsing on this mess</x:v>
      </x:c>
      <x:c r="B181" s="8" t="str">
        <x:v>WPF is using Chromium (Blink)</x:v>
      </x:c>
      <x:c r="C181" s="8" t="str">
        <x:v>Security note: mixed content setting should remain visible</x:v>
      </x:c>
      <x:c r="D181" s="8"/>
      <x:c r="E181" s="8"/>
      <x:c r="F181" s="8"/>
      <x:c r="G181" s="8"/>
      <x:c r="H181" s="8"/>
      <x:c r="I181" s="8"/>
      <x:c r="J181" s="8"/>
    </x:row>
    <x:row r="182">
      <x:c r="A182" s="8"/>
      <x:c r="B182" s="8"/>
      <x:c r="C182" s="8"/>
      <x:c r="D182" s="8" t="str">
        <x:v>WPF is using Chromium (Blink)</x:v>
      </x:c>
      <x:c r="E182" s="8"/>
      <x:c r="F182" s="8" t="str">
        <x:v>TODO: Test MarkItDown parsing on this mess</x:v>
      </x:c>
      <x:c r="G182" s="8"/>
      <x:c r="H182" s="8"/>
      <x:c r="I182" s="8"/>
      <x:c r="J182" s="8"/>
    </x:row>
    <x:row r="183">
      <x:c r="A183" s="8" t="str">
        <x:v>RN uses WebKit on iOS and Chromium on Android</x:v>
      </x:c>
      <x:c r="B183" s="8"/>
      <x:c r="C183" s="8"/>
      <x:c r="D183" s="8"/>
      <x:c r="E183" s="8"/>
      <x:c r="F183" s="8"/>
      <x:c r="G183" s="8"/>
      <x:c r="H183" s="8" t="str">
        <x:v>TODO: Test MarkItDown parsing on this mess</x:v>
      </x:c>
      <x:c r="I183" s="8"/>
      <x:c r="J183" s="8" t="str">
        <x:v>Security note: mixed content setting should remain visible</x:v>
      </x:c>
    </x:row>
    <x:row r="184">
      <x:c r="A184" s="8"/>
      <x:c r="B184" s="8"/>
      <x:c r="C184" s="8"/>
      <x:c r="D184" s="8"/>
      <x:c r="E184" s="8"/>
      <x:c r="F184" s="8"/>
      <x:c r="G184" s="8"/>
      <x:c r="H184" s="8"/>
      <x:c r="I184" s="8"/>
      <x:c r="J184" s="8"/>
    </x:row>
    <x:row r="185">
      <x:c r="A185" s="8"/>
      <x:c r="B185" s="8"/>
      <x:c r="C185" s="8"/>
      <x:c r="D185" s="8"/>
      <x:c r="E185" s="8"/>
      <x:c r="F185" s="8" t="str">
        <x:v>Verify behavior on a cold start and after the page reloads without destroying the native view.</x:v>
      </x:c>
      <x:c r="G185" s="8"/>
      <x:c r="H185" s="8"/>
      <x:c r="I185" s="8"/>
      <x:c r="J185" s="8" t="str">
        <x:v>metric_269 = 99</x:v>
      </x:c>
    </x:row>
    <x:row r="186">
      <x:c r="A186" s="8" t="str">
        <x:v>WPF is using Chromium (Blink)</x:v>
      </x:c>
      <x:c r="B186" s="8" t="str">
        <x:v>Do not infer a missing header from the nearest nonblank row</x:v>
      </x:c>
      <x:c r="C186" s="8"/>
      <x:c r="D186" s="8"/>
      <x:c r="E186" s="8"/>
      <x:c r="F186" s="8"/>
      <x:c r="G186" s="8"/>
      <x:c r="H186" s="8" t="str">
        <x:v>RN uses WebKit on iOS and Chromium on Android</x:v>
      </x:c>
      <x:c r="I186" s="8"/>
      <x:c r="J186" s="8"/>
    </x:row>
    <x:row r="187">
      <x:c r="A187" s="8"/>
      <x:c r="B187" s="8" t="str">
        <x:v>Security note: mixed content setting should remain visible</x:v>
      </x:c>
      <x:c r="C187" s="8" t="str">
        <x:v>Inconsistent rendering!!</x:v>
      </x:c>
      <x:c r="D187" s="8" t="str">
        <x:v>https://learn.microsoft.com/en-us/microsoft-edge/webview2/concepts/security</x:v>
      </x:c>
      <x:c r="E187" s="8"/>
      <x:c r="F187" s="8"/>
      <x:c r="G187" s="8"/>
      <x:c r="H187" s="8"/>
      <x:c r="I187" s="8"/>
      <x:c r="J187" s="8"/>
    </x:row>
    <x:row r="188">
      <x:c r="A188" s="8"/>
      <x:c r="B188" s="8"/>
      <x:c r="C188" s="8" t="str">
        <x:v>Security note: mixed content setting should remain visible</x:v>
      </x:c>
      <x:c r="D188" s="8" t="str">
        <x:v>WPF is using Chromium (Blink)</x:v>
      </x:c>
      <x:c r="E188" s="8"/>
      <x:c r="F188" s="8" t="str">
        <x:v>RN uses WebKit on iOS and Chromium on Android</x:v>
      </x:c>
      <x:c r="G188" s="8"/>
      <x:c r="H188" s="8" t="str">
        <x:v>metric_272 = 481</x:v>
      </x:c>
      <x:c r="I188" s="8"/>
      <x:c r="J188" s="8"/>
    </x:row>
    <x:row r="189">
      <x:c r="A189" s="8" t="str">
        <x:v>Security note: mixed content setting should remain visible</x:v>
      </x:c>
      <x:c r="B189" s="8" t="str">
        <x:v>Do not infer a missing header from the nearest nonblank row</x:v>
      </x:c>
      <x:c r="C189" s="8"/>
      <x:c r="D189" s="8"/>
      <x:c r="E189" s="8"/>
      <x:c r="F189" s="8"/>
      <x:c r="G189" s="8"/>
      <x:c r="H189" s="8"/>
      <x:c r="I189" s="8"/>
      <x:c r="J189" s="8"/>
    </x:row>
    <x:row r="190">
      <x:c r="A190" s="8"/>
      <x:c r="B190" s="8"/>
      <x:c r="C190" s="8" t="str">
        <x:v>RN uses WebKit on iOS and Chromium on Android</x:v>
      </x:c>
      <x:c r="D190" s="8"/>
      <x:c r="E190" s="8"/>
      <x:c r="F190" s="8"/>
      <x:c r="G190" s="8"/>
      <x:c r="H190" s="8" t="str">
        <x:v>RN uses WebKit on iOS and Chromium on Android</x:v>
      </x:c>
      <x:c r="I190" s="8"/>
      <x:c r="J190" s="8"/>
    </x:row>
    <x:row r="191">
      <x:c r="A191" s="1" t="str">
        <x:v>Could be a duplicate from the mobile handoff notes</x:v>
      </x:c>
      <x:c r="B191" s="1" t="str">
        <x:v>RN uses WebKit on iOS and Chromium on Android</x:v>
      </x:c>
      <x:c r="C191" s="1" t="str">
        <x:v>TODO: Test MarkItDown parsing on this mess</x:v>
      </x:c>
      <x:c r="D191" s="1"/>
      <x:c r="E191" s="1"/>
      <x:c r="F191" s="1"/>
      <x:c r="G191" s="1"/>
      <x:c r="H191" s="1"/>
      <x:c r="I191" s="1"/>
      <x:c r="J191" s="1" t="str">
        <x:v>Security note: mixed content setting should remain visible</x:v>
      </x:c>
    </x:row>
    <x:row r="192">
      <x:c r="A192" s="1"/>
      <x:c r="B192" s="1"/>
      <x:c r="C192" s="1" t="str">
        <x:v>Do not infer a missing header from the nearest nonblank row</x:v>
      </x:c>
      <x:c r="D192" s="1" t="str">
        <x:v>Question: does sheet name survive conversion?</x:v>
      </x:c>
      <x:c r="E192" s="1"/>
      <x:c r="F192" s="1" t="str">
        <x:v>Could be a duplicate from the mobile handoff notes</x:v>
      </x:c>
      <x:c r="G192" s="1"/>
      <x:c r="H192" s="1"/>
      <x:c r="I192" s="1"/>
      <x:c r="J192" s="1"/>
    </x:row>
    <x:row r="193">
      <x:c r="A193" s="1" t="str">
        <x:v>Question: does sheet name survive conversion?</x:v>
      </x:c>
      <x:c r="B193" s="1"/>
      <x:c r="C193" s="1"/>
      <x:c r="D193" s="1"/>
      <x:c r="E193" s="1"/>
      <x:c r="F193" s="1" t="str">
        <x:v>Inconsistent rendering!!</x:v>
      </x:c>
      <x:c r="G193" s="1"/>
      <x:c r="H193" s="1"/>
      <x:c r="I193" s="1"/>
      <x:c r="J193" s="1" t="str">
        <x:v>Inconsistent rendering!!</x:v>
      </x:c>
    </x:row>
    <x:row r="194">
      <x:c r="A194" s="1" t="str">
        <x:v>Do not infer a missing header from the nearest nonblank row</x:v>
      </x:c>
      <x:c r="B194" s="1" t="str">
        <x:v>TODO: Test MarkItDown parsing on this mess</x:v>
      </x:c>
      <x:c r="C194" s="1"/>
      <x:c r="D194" s="1" t="str">
        <x:v>Question: does sheet name survive conversion?</x:v>
      </x:c>
      <x:c r="E194" s="1"/>
      <x:c r="F194" s="1"/>
      <x:c r="G194" s="1"/>
      <x:c r="H194" s="1"/>
      <x:c r="I194" s="1"/>
      <x:c r="J194" s="1" t="str">
        <x:v>metric_278 = 214</x:v>
      </x:c>
    </x:row>
    <x:row r="195">
      <x:c r="A195" s="1"/>
      <x:c r="B195" s="1" t="str">
        <x:v>Could be a duplicate from the mobile handoff notes</x:v>
      </x:c>
      <x:c r="C195" s="1"/>
      <x:c r="D195" s="1" t="str">
        <x:v>TODO: Test MarkItDown parsing on this mess</x:v>
      </x:c>
      <x:c r="E195" s="1"/>
      <x:c r="F195" s="1"/>
      <x:c r="G195" s="1"/>
      <x:c r="H195" s="1" t="str">
        <x:v>Inconsistent rendering!!</x:v>
      </x:c>
      <x:c r="I195" s="1"/>
      <x:c r="J195" s="1"/>
    </x:row>
    <x:row r="196">
      <x:c r="A196" s="1"/>
      <x:c r="B196" s="1"/>
      <x:c r="C196" s="1"/>
      <x:c r="D196" s="1"/>
      <x:c r="E196" s="1" t="str">
        <x:v>end</x:v>
      </x:c>
      <x:c r="F196" s="1"/>
      <x:c r="G196" s="1"/>
      <x:c r="H196" s="1"/>
      <x:c r="I196" s="1"/>
      <x:c r="J196" s="1"/>
    </x:row>
  </x:sheetData>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8" hidden="0" customWidth="1"/>
    <x:col min="2" max="2" width="15" hidden="0" customWidth="1"/>
    <x:col min="3" max="3" width="30" hidden="0" customWidth="1"/>
    <x:col min="4" max="4" width="34" hidden="0" customWidth="1"/>
    <x:col min="5" max="5" width="30" hidden="0" customWidth="1"/>
    <x:col min="6" max="6" width="15" hidden="0" customWidth="1"/>
    <x:col min="7" max="7" width="18" hidden="0" customWidth="1"/>
    <x:col min="8" max="8" width="12" hidden="0" customWidth="1"/>
    <x:col min="9" max="9" width="14" hidden="0" customWidth="1"/>
    <x:col min="10" max="10" width="14" hidden="0" customWidth="1"/>
    <x:col min="11" max="11" width="38" hidden="0" customWidth="1"/>
    <x:col min="12" max="12" width="48" hidden="0" customWidth="1"/>
    <x:col min="13" max="13" width="24" hidden="0" customWidth="1"/>
  </x:cols>
  <x:sheetData>
    <x:row r="1">
      <x:c r="A1" s="7" t="str">
        <x:v>iOS WebKit Field Notes</x:v>
      </x:c>
      <x:c r="B1" s="7"/>
      <x:c r="C1" s="7"/>
      <x:c r="D1" s="7"/>
      <x:c r="E1" s="7"/>
      <x:c r="F1" s="7"/>
      <x:c r="G1" s="7"/>
      <x:c r="H1" s="7"/>
      <x:c r="I1" s="7"/>
      <x:c r="J1" s="7"/>
      <x:c r="K1" s="7"/>
      <x:c r="L1" s="7"/>
      <x:c r="M1" s="7"/>
    </x:row>
    <x:row r="2">
      <x:c r="A2" s="8"/>
      <x:c r="B2" s="8"/>
      <x:c r="C2" s="8"/>
      <x:c r="D2" s="8"/>
      <x:c r="E2" s="8"/>
      <x:c r="F2" s="8"/>
      <x:c r="G2" s="8"/>
      <x:c r="H2" s="8"/>
      <x:c r="I2" s="8"/>
      <x:c r="J2" s="8"/>
      <x:c r="K2" s="8"/>
      <x:c r="L2" s="8"/>
      <x:c r="M2" s="8"/>
    </x:row>
    <x:row r="3">
      <x:c r="A3" s="4" t="str">
        <x:v>Category</x:v>
      </x:c>
      <x:c r="B3" s="4" t="str">
        <x:v>Platform</x:v>
      </x:c>
      <x:c r="C3" s="4" t="str">
        <x:v>Symptom</x:v>
      </x:c>
      <x:c r="D3" s="4" t="str">
        <x:v>Reproduction</x:v>
      </x:c>
      <x:c r="E3" s="4" t="str">
        <x:v>Workaround</x:v>
      </x:c>
      <x:c r="F3" s="4" t="str">
        <x:v>Owner</x:v>
      </x:c>
      <x:c r="G3" s="4" t="str">
        <x:v>Status</x:v>
      </x:c>
      <x:c r="H3" s="4" t="str">
        <x:v>Severity</x:v>
      </x:c>
      <x:c r="I3" s="4" t="str">
        <x:v>First seen</x:v>
      </x:c>
      <x:c r="J3" s="4" t="str">
        <x:v>Last seen</x:v>
      </x:c>
      <x:c r="K3" s="4" t="str">
        <x:v>Reference</x:v>
      </x:c>
      <x:c r="L3" s="4" t="str">
        <x:v>Free note</x:v>
      </x:c>
      <x:c r="M3" s="4"/>
    </x:row>
    <x:row r="4">
      <x:c r="A4" s="8"/>
      <x:c r="B4" s="8"/>
      <x:c r="C4" s="8"/>
      <x:c r="D4" s="8"/>
      <x:c r="E4" s="8"/>
      <x:c r="F4" s="8"/>
      <x:c r="G4" s="8"/>
      <x:c r="H4" s="8"/>
      <x:c r="I4" s="8"/>
      <x:c r="J4" s="8"/>
      <x:c r="K4" s="8"/>
      <x:c r="L4" s="8"/>
      <x:c r="M4" s="8"/>
    </x:row>
    <x:row r="5">
      <x:c r="A5" s="8" t="str">
        <x:v>Category</x:v>
      </x:c>
      <x:c r="B5" s="8" t="str">
        <x:v>Platform</x:v>
      </x:c>
      <x:c r="C5" s="8" t="str">
        <x:v>Symptom</x:v>
      </x:c>
      <x:c r="D5" s="8" t="str">
        <x:v>Reproduction</x:v>
      </x:c>
      <x:c r="E5" s="8" t="str">
        <x:v>Workaround</x:v>
      </x:c>
      <x:c r="F5" s="8" t="str">
        <x:v>Owner</x:v>
      </x:c>
      <x:c r="G5" s="8" t="str">
        <x:v>Status</x:v>
      </x:c>
      <x:c r="H5" s="8" t="str">
        <x:v>Severity</x:v>
      </x:c>
      <x:c r="I5" s="8" t="str">
        <x:v>First seen</x:v>
      </x:c>
      <x:c r="J5" s="8" t="str">
        <x:v>Last seen</x:v>
      </x:c>
      <x:c r="K5" s="8" t="str">
        <x:v>Reference</x:v>
      </x:c>
      <x:c r="L5" s="8" t="str">
        <x:v>Free note</x:v>
      </x:c>
      <x:c r="M5" s="8" t="str">
        <x:v>repeated header</x:v>
      </x:c>
    </x:row>
    <x:row r="6">
      <x:c r="A6" s="8" t="str">
        <x:v>network</x:v>
      </x:c>
      <x:c r="B6" s="8" t="str">
        <x:v>Windows</x:v>
      </x:c>
      <x:c r="C6" s="8" t="str">
        <x:v>large response times out</x:v>
      </x:c>
      <x:c r="D6" s="8"/>
      <x:c r="E6" s="8" t="str">
        <x:v>use a bridge queue</x:v>
      </x:c>
      <x:c r="F6" s="8" t="str">
        <x:v>Mei</x:v>
      </x:c>
      <x:c r="G6" s="8" t="str">
        <x:v>resolved</x:v>
      </x:c>
      <x:c r="H6" s="8" t="str">
        <x:v>P0</x:v>
      </x:c>
      <x:c r="I6" s="8" t="str">
        <x:v>2026-01-01</x:v>
      </x:c>
      <x:c r="J6" s="8" t="str">
        <x:v>2026-03-20</x:v>
      </x:c>
      <x:c r="K6" s="8"/>
      <x:c r="L6" s="8" t="str">
        <x:v>The bridge callback is stable for small payloads, but large JSON messages show visible delay during navigation.</x:v>
      </x:c>
      <x:c r="M6" s="8"/>
    </x:row>
    <x:row r="7">
      <x:c r="A7" s="8" t="str">
        <x:v>download</x:v>
      </x:c>
      <x:c r="B7" s="8" t="str">
        <x:v>iOS</x:v>
      </x:c>
      <x:c r="C7" s="8" t="str">
        <x:v>blank page after reload</x:v>
      </x:c>
      <x:c r="D7" s="8"/>
      <x:c r="E7" s="8" t="str">
        <x:v>set explicit user agent</x:v>
      </x:c>
      <x:c r="F7" s="8" t="str">
        <x:v>Carla</x:v>
      </x:c>
      <x:c r="G7" s="8" t="str">
        <x:v>investigating</x:v>
      </x:c>
      <x:c r="H7" s="8" t="str">
        <x:v>P2</x:v>
      </x:c>
      <x:c r="I7" s="8" t="str">
        <x:v>2026-02-01</x:v>
      </x:c>
      <x:c r="J7" s="8" t="str">
        <x:v>2026-04-21</x:v>
      </x:c>
      <x:c r="K7" s="8"/>
      <x:c r="L7" s="8"/>
      <x:c r="M7" s="8"/>
    </x:row>
    <x:row r="8">
      <x:c r="A8" s="8" t="str">
        <x:v>network</x:v>
      </x:c>
      <x:c r="B8" s="8" t="str">
        <x:v>Android</x:v>
      </x:c>
      <x:c r="C8" s="8" t="str">
        <x:v>large response times out</x:v>
      </x:c>
      <x:c r="D8" s="8"/>
      <x:c r="E8" s="8" t="str">
        <x:v>use a bridge queue</x:v>
      </x:c>
      <x:c r="F8" s="8" t="str">
        <x:v>Asha</x:v>
      </x:c>
      <x:c r="G8" s="8" t="str">
        <x:v>resolved</x:v>
      </x:c>
      <x:c r="H8" s="8" t="str">
        <x:v>P1</x:v>
      </x:c>
      <x:c r="I8" s="8" t="str">
        <x:v>2026-03-01</x:v>
      </x:c>
      <x:c r="J8" s="8" t="str">
        <x:v>2026-05-22</x:v>
      </x:c>
      <x:c r="K8" s="8" t="str">
        <x:v>https://developer.android.com/reference/android/webkit/WebView</x:v>
      </x:c>
      <x:c r="L8" s="8" t="str">
        <x:v>Follow-up: compare the result when the network security policy is relaxed versus when it is enforced.</x:v>
      </x:c>
      <x:c r="M8" s="8"/>
    </x:row>
    <x:row r="9">
      <x:c r="A9" s="8" t="str">
        <x:v>download</x:v>
      </x:c>
      <x:c r="B9" s="8" t="str">
        <x:v>macOS</x:v>
      </x:c>
      <x:c r="C9" s="8" t="str">
        <x:v>console event missing</x:v>
      </x:c>
      <x:c r="D9" s="8" t="str">
        <x:v>open case 1003; repeat after reload.</x:v>
      </x:c>
      <x:c r="E9" s="8" t="str">
        <x:v>increase timeout</x:v>
      </x:c>
      <x:c r="F9" s="8" t="str">
        <x:v>Mei</x:v>
      </x:c>
      <x:c r="G9" s="8" t="str">
        <x:v>needs reproduction</x:v>
      </x:c>
      <x:c r="H9" s="8" t="str">
        <x:v>P3</x:v>
      </x:c>
      <x:c r="I9" s="8" t="str">
        <x:v>2026-04-01</x:v>
      </x:c>
      <x:c r="J9" s="8" t="str">
        <x:v>2026-06-23</x:v>
      </x:c>
      <x:c r="K9" s="8" t="str">
        <x:v>https://developer.android.com/reference/android/webkit/WebView</x:v>
      </x:c>
      <x:c r="L9" s="8"/>
      <x:c r="M9" s="8"/>
    </x:row>
    <x:row r="10">
      <x:c r="A10" s="8" t="str">
        <x:v>download</x:v>
      </x:c>
      <x:c r="B10" s="8" t="str">
        <x:v>Linux</x:v>
      </x:c>
      <x:c r="C10" s="8" t="str">
        <x:v>scroll offset resets</x:v>
      </x:c>
      <x:c r="D10" s="8" t="str">
        <x:v>open case 1004; repeat after offline toggle.</x:v>
      </x:c>
      <x:c r="E10" s="8" t="str">
        <x:v>set explicit user agent</x:v>
      </x:c>
      <x:c r="F10" s="8" t="str">
        <x:v>Mei</x:v>
      </x:c>
      <x:c r="G10" s="8" t="str">
        <x:v>blocked</x:v>
      </x:c>
      <x:c r="H10" s="8" t="str">
        <x:v>P3</x:v>
      </x:c>
      <x:c r="I10" s="8" t="str">
        <x:v>2026-05-01</x:v>
      </x:c>
      <x:c r="J10" s="8" t="str">
        <x:v>2026-07-24</x:v>
      </x:c>
      <x:c r="K10" s="8"/>
      <x:c r="L10" s="8"/>
      <x:c r="M10" s="8"/>
    </x:row>
    <x:row r="11">
      <x:c r="A11" s="8" t="str">
        <x:v>cookies</x:v>
      </x:c>
      <x:c r="B11" s="8" t="str">
        <x:v>Windows</x:v>
      </x:c>
      <x:c r="C11" s="8" t="str">
        <x:v>scroll offset resets</x:v>
      </x:c>
      <x:c r="D11" s="8"/>
      <x:c r="E11" s="8" t="str">
        <x:v>increase timeout</x:v>
      </x:c>
      <x:c r="F11" s="8" t="str">
        <x:v>Ben</x:v>
      </x:c>
      <x:c r="G11" s="8" t="str">
        <x:v>investigating</x:v>
      </x:c>
      <x:c r="H11" s="8" t="str">
        <x:v>P1</x:v>
      </x:c>
      <x:c r="I11" s="8" t="str">
        <x:v>2026-06-01</x:v>
      </x:c>
      <x:c r="J11" s="8" t="str">
        <x:v>2026-08-25</x:v>
      </x:c>
      <x:c r="K11" s="8"/>
      <x:c r="L11" s="8"/>
      <x:c r="M11" s="8"/>
    </x:row>
    <x:row r="12">
      <x:c r="A12" s="8" t="str">
        <x:v>download</x:v>
      </x:c>
      <x:c r="B12" s="8" t="str">
        <x:v>Android</x:v>
      </x:c>
      <x:c r="C12" s="8" t="str">
        <x:v>console event missing</x:v>
      </x:c>
      <x:c r="D12" s="8" t="str">
        <x:v>open case 1006; repeat after reload.</x:v>
      </x:c>
      <x:c r="E12" s="8" t="str">
        <x:v>none yet</x:v>
      </x:c>
      <x:c r="F12" s="8" t="str">
        <x:v>No owner</x:v>
      </x:c>
      <x:c r="G12" s="8" t="str">
        <x:v>investigating</x:v>
      </x:c>
      <x:c r="H12" s="8" t="str">
        <x:v>P2</x:v>
      </x:c>
      <x:c r="I12" s="8" t="str">
        <x:v>2026-07-01</x:v>
      </x:c>
      <x:c r="J12" s="8" t="str">
        <x:v>2026-09-26</x:v>
      </x:c>
      <x:c r="K12" s="8" t="str">
        <x:v>https://developer.microsoft.com/en-us/microsoft-edge/webview2/</x:v>
      </x:c>
      <x:c r="L12" s="8" t="str">
        <x:v>This sentence is long enough to exercise wrapping and downstream chunk boundaries in Markdown output.</x:v>
      </x:c>
      <x:c r="M12" s="8"/>
    </x:row>
    <x:row r="13">
      <x:c r="A13" s="8" t="str">
        <x:v>rendering</x:v>
      </x:c>
      <x:c r="B13" s="8" t="str">
        <x:v>Linux</x:v>
      </x:c>
      <x:c r="C13" s="8" t="str">
        <x:v>large response times out</x:v>
      </x:c>
      <x:c r="D13" s="8"/>
      <x:c r="E13" s="8" t="str">
        <x:v>retry after NavigationCompleted</x:v>
      </x:c>
      <x:c r="F13" s="8" t="str">
        <x:v>Mei</x:v>
      </x:c>
      <x:c r="G13" s="8" t="str">
        <x:v>open</x:v>
      </x:c>
      <x:c r="H13" s="8" t="str">
        <x:v>P2</x:v>
      </x:c>
      <x:c r="I13" s="8" t="str">
        <x:v>2026-08-01</x:v>
      </x:c>
      <x:c r="J13" s="8" t="str">
        <x:v>2026-01-27</x:v>
      </x:c>
      <x:c r="K13" s="8" t="str">
        <x:v>https://github.com/react-native-webview/react-native-webview</x:v>
      </x:c>
      <x:c r="L13" s="8" t="str">
        <x:v>Follow-up: compare the result when the network security policy is relaxed versus when it is enforced.</x:v>
      </x:c>
      <x:c r="M13" s="8"/>
    </x:row>
    <x:row r="14">
      <x:c r="A14" s="8" t="str">
        <x:v>download</x:v>
      </x:c>
      <x:c r="B14" s="8" t="str">
        <x:v>Android</x:v>
      </x:c>
      <x:c r="C14" s="8" t="str">
        <x:v>blank page after reload</x:v>
      </x:c>
      <x:c r="D14" s="8" t="str">
        <x:v>open case 1008; repeat after sleep.</x:v>
      </x:c>
      <x:c r="E14" s="8" t="str">
        <x:v>reproduce on clean profile</x:v>
      </x:c>
      <x:c r="F14" s="8" t="str">
        <x:v>Ben</x:v>
      </x:c>
      <x:c r="G14" s="8" t="str">
        <x:v>open</x:v>
      </x:c>
      <x:c r="H14" s="8" t="str">
        <x:v>P2</x:v>
      </x:c>
      <x:c r="I14" s="8" t="str">
        <x:v>2026-09-01</x:v>
      </x:c>
      <x:c r="J14" s="8" t="str">
        <x:v>2026-02-20</x:v>
      </x:c>
      <x:c r="K14" s="8" t="str">
        <x:v>https://developer.apple.com/documentation/webkit/wkwebview</x:v>
      </x:c>
      <x:c r="L14" s="8"/>
      <x:c r="M14" s="8"/>
    </x:row>
    <x:row r="15">
      <x:c r="A15" s="8" t="str">
        <x:v>network</x:v>
      </x:c>
      <x:c r="B15" s="8" t="str">
        <x:v>iOS</x:v>
      </x:c>
      <x:c r="C15" s="8" t="str">
        <x:v>large response times out</x:v>
      </x:c>
      <x:c r="D15" s="8" t="str">
        <x:v>open case 1009; repeat after cold start.</x:v>
      </x:c>
      <x:c r="E15" s="8" t="str">
        <x:v>use a bridge queue</x:v>
      </x:c>
      <x:c r="F15" s="8" t="str">
        <x:v>Mei</x:v>
      </x:c>
      <x:c r="G15" s="8" t="str">
        <x:v>open</x:v>
      </x:c>
      <x:c r="H15" s="8" t="str">
        <x:v>P2</x:v>
      </x:c>
      <x:c r="I15" s="8" t="str">
        <x:v>2026-01-01</x:v>
      </x:c>
      <x:c r="J15" s="8" t="str">
        <x:v>2026-03-21</x:v>
      </x:c>
      <x:c r="K15" s="8" t="str">
        <x:v>https://developer.apple.com/documentation/webkit/wkwebview</x:v>
      </x:c>
      <x:c r="L15" s="8" t="str">
        <x:v>Follow-up: compare the result when the network security policy is relaxed versus when it is enforced.</x:v>
      </x:c>
      <x:c r="M15" s="8"/>
    </x:row>
    <x:row r="16">
      <x:c r="A16" s="8" t="str">
        <x:v>download</x:v>
      </x:c>
      <x:c r="B16" s="8" t="str">
        <x:v>Windows</x:v>
      </x:c>
      <x:c r="C16" s="8" t="str">
        <x:v>focus leaves native control</x:v>
      </x:c>
      <x:c r="D16" s="8" t="str">
        <x:v>open case 1010; repeat after offline toggle.</x:v>
      </x:c>
      <x:c r="E16" s="8" t="str">
        <x:v>none yet</x:v>
      </x:c>
      <x:c r="F16" s="8" t="str">
        <x:v>Asha</x:v>
      </x:c>
      <x:c r="G16" s="8" t="str">
        <x:v>blocked</x:v>
      </x:c>
      <x:c r="H16" s="8" t="str">
        <x:v>P3</x:v>
      </x:c>
      <x:c r="I16" s="8" t="str">
        <x:v>2026-02-01</x:v>
      </x:c>
      <x:c r="J16" s="8" t="str">
        <x:v>2026-04-22</x:v>
      </x:c>
      <x:c r="K16" s="8"/>
      <x:c r="L16" s="8" t="str">
        <x:v>A blank cell here is intentional. The source workbook has notes placed away from the nearest table.</x:v>
      </x:c>
      <x:c r="M16" s="8"/>
    </x:row>
    <x:row r="17">
      <x:c r="A17" s="8" t="str">
        <x:v>download</x:v>
      </x:c>
      <x:c r="B17" s="8" t="str">
        <x:v>Linux</x:v>
      </x:c>
      <x:c r="C17" s="8" t="str">
        <x:v>blank page after reload</x:v>
      </x:c>
      <x:c r="D17" s="8" t="str">
        <x:v>open case 1011; repeat after offline toggle.</x:v>
      </x:c>
      <x:c r="E17" s="8" t="str">
        <x:v>none yet</x:v>
      </x:c>
      <x:c r="F17" s="8" t="str">
        <x:v>Ben</x:v>
      </x:c>
      <x:c r="G17" s="8" t="str">
        <x:v>needs reproduction</x:v>
      </x:c>
      <x:c r="H17" s="8" t="str">
        <x:v>P0</x:v>
      </x:c>
      <x:c r="I17" s="8" t="str">
        <x:v>2026-03-01</x:v>
      </x:c>
      <x:c r="J17" s="8" t="str">
        <x:v>2026-05-23</x:v>
      </x:c>
      <x:c r="K17" s="8"/>
      <x:c r="L17" s="8" t="str">
        <x:v>A blank cell here is intentional. The source workbook has notes placed away from the nearest table.</x:v>
      </x:c>
      <x:c r="M17" s="8"/>
    </x:row>
    <x:row r="18">
      <x:c r="A18" s="8" t="str">
        <x:v>network</x:v>
      </x:c>
      <x:c r="B18" s="8" t="str">
        <x:v>Windows</x:v>
      </x:c>
      <x:c r="C18" s="8" t="str">
        <x:v>console event missing</x:v>
      </x:c>
      <x:c r="D18" s="8" t="str">
        <x:v>open case 1012; repeat after sleep.</x:v>
      </x:c>
      <x:c r="E18" s="8" t="str">
        <x:v>reproduce on clean profile</x:v>
      </x:c>
      <x:c r="F18" s="8" t="str">
        <x:v>No owner</x:v>
      </x:c>
      <x:c r="G18" s="8" t="str">
        <x:v>needs reproduction</x:v>
      </x:c>
      <x:c r="H18" s="8" t="str">
        <x:v>P0</x:v>
      </x:c>
      <x:c r="I18" s="8" t="str">
        <x:v>2026-04-01</x:v>
      </x:c>
      <x:c r="J18" s="8" t="str">
        <x:v>2026-06-24</x:v>
      </x:c>
      <x:c r="K18" s="8" t="str">
        <x:v>https://developer.android.com/reference/android/webkit/WebView</x:v>
      </x:c>
      <x:c r="L18" s="8" t="str">
        <x:v>This sentence is long enough to exercise wrapping and downstream chunk boundaries in Markdown output.</x:v>
      </x:c>
      <x:c r="M18" s="8"/>
    </x:row>
    <x:row r="19">
      <x:c r="A19" s="8" t="str">
        <x:v>download</x:v>
      </x:c>
      <x:c r="B19" s="8" t="str">
        <x:v>iOS</x:v>
      </x:c>
      <x:c r="C19" s="8" t="str">
        <x:v>blank page after reload</x:v>
      </x:c>
      <x:c r="D19" s="8"/>
      <x:c r="E19" s="8" t="str">
        <x:v>retry after NavigationCompleted</x:v>
      </x:c>
      <x:c r="F19" s="8" t="str">
        <x:v>Asha</x:v>
      </x:c>
      <x:c r="G19" s="8" t="str">
        <x:v>resolved</x:v>
      </x:c>
      <x:c r="H19" s="8" t="str">
        <x:v>P2</x:v>
      </x:c>
      <x:c r="I19" s="8" t="str">
        <x:v>2026-05-01</x:v>
      </x:c>
      <x:c r="J19" s="8" t="str">
        <x:v>2026-07-25</x:v>
      </x:c>
      <x:c r="K19" s="8"/>
      <x:c r="L19" s="8"/>
      <x:c r="M19" s="8"/>
    </x:row>
    <x:row r="20">
      <x:c r="A20" s="8" t="str">
        <x:v>input</x:v>
      </x:c>
      <x:c r="B20" s="8" t="str">
        <x:v>iOS</x:v>
      </x:c>
      <x:c r="C20" s="8" t="str">
        <x:v>console event missing</x:v>
      </x:c>
      <x:c r="D20" s="8"/>
      <x:c r="E20" s="8" t="str">
        <x:v>use a bridge queue</x:v>
      </x:c>
      <x:c r="F20" s="8" t="str">
        <x:v>Diego</x:v>
      </x:c>
      <x:c r="G20" s="8" t="str">
        <x:v>blocked</x:v>
      </x:c>
      <x:c r="H20" s="8" t="str">
        <x:v>P2</x:v>
      </x:c>
      <x:c r="I20" s="8" t="str">
        <x:v>2026-06-01</x:v>
      </x:c>
      <x:c r="J20" s="8" t="str">
        <x:v>2026-08-26</x:v>
      </x:c>
      <x:c r="K20" s="8" t="str">
        <x:v>https://developer.apple.com/documentation/webkit/wkwebview</x:v>
      </x:c>
      <x:c r="L20" s="8" t="str">
        <x:v>Follow-up: compare the result when the network security policy is relaxed versus when it is enforced.</x:v>
      </x:c>
      <x:c r="M20" s="8"/>
    </x:row>
    <x:row r="21">
      <x:c r="A21" s="8" t="str">
        <x:v>network</x:v>
      </x:c>
      <x:c r="B21" s="8" t="str">
        <x:v>Android</x:v>
      </x:c>
      <x:c r="C21" s="8" t="str">
        <x:v>scroll offset resets</x:v>
      </x:c>
      <x:c r="D21" s="8"/>
      <x:c r="E21" s="8" t="str">
        <x:v>set explicit user agent</x:v>
      </x:c>
      <x:c r="F21" s="8" t="str">
        <x:v>Mei</x:v>
      </x:c>
      <x:c r="G21" s="8" t="str">
        <x:v>investigating</x:v>
      </x:c>
      <x:c r="H21" s="8" t="str">
        <x:v>P2</x:v>
      </x:c>
      <x:c r="I21" s="8" t="str">
        <x:v>2026-07-01</x:v>
      </x:c>
      <x:c r="J21" s="8" t="str">
        <x:v>2026-09-27</x:v>
      </x:c>
      <x:c r="K21" s="8"/>
      <x:c r="L21" s="8"/>
      <x:c r="M21" s="8"/>
    </x:row>
    <x:row r="22">
      <x:c r="A22" s="8" t="str">
        <x:v>input</x:v>
      </x:c>
      <x:c r="B22" s="8" t="str">
        <x:v>Android</x:v>
      </x:c>
      <x:c r="C22" s="8" t="str">
        <x:v>console event missing</x:v>
      </x:c>
      <x:c r="D22" s="8" t="str">
        <x:v>open case 1016; repeat after offline toggle.</x:v>
      </x:c>
      <x:c r="E22" s="8" t="str">
        <x:v>none yet</x:v>
      </x:c>
      <x:c r="F22" s="8" t="str">
        <x:v>Diego</x:v>
      </x:c>
      <x:c r="G22" s="8" t="str">
        <x:v>open</x:v>
      </x:c>
      <x:c r="H22" s="8" t="str">
        <x:v>P0</x:v>
      </x:c>
      <x:c r="I22" s="8" t="str">
        <x:v>2026-08-01</x:v>
      </x:c>
      <x:c r="J22" s="8" t="str">
        <x:v>2026-01-20</x:v>
      </x:c>
      <x:c r="K22" s="8"/>
      <x:c r="L22" s="8" t="str">
        <x:v>Potential duplicate: this paragraph is repeated in another section to test deduplication and chunk metadata.</x:v>
      </x:c>
      <x:c r="M22" s="8"/>
    </x:row>
    <x:row r="23">
      <x:c r="A23" s="8" t="str">
        <x:v>download</x:v>
      </x:c>
      <x:c r="B23" s="8" t="str">
        <x:v>iOS</x:v>
      </x:c>
      <x:c r="C23" s="8" t="str">
        <x:v>large response times out</x:v>
      </x:c>
      <x:c r="D23" s="8" t="str">
        <x:v>open case 1017; repeat after sleep.</x:v>
      </x:c>
      <x:c r="E23" s="8" t="str">
        <x:v>increase timeout</x:v>
      </x:c>
      <x:c r="F23" s="8" t="str">
        <x:v>Ben</x:v>
      </x:c>
      <x:c r="G23" s="8" t="str">
        <x:v>needs reproduction</x:v>
      </x:c>
      <x:c r="H23" s="8" t="str">
        <x:v>P0</x:v>
      </x:c>
      <x:c r="I23" s="8" t="str">
        <x:v>2026-09-01</x:v>
      </x:c>
      <x:c r="J23" s="8" t="str">
        <x:v>2026-02-21</x:v>
      </x:c>
      <x:c r="K23" s="8" t="str">
        <x:v>https://developer.apple.com/documentation/webkit/wkwebview</x:v>
      </x:c>
      <x:c r="L23" s="8" t="str">
        <x:v>Potential duplicate: this paragraph is repeated in another section to test deduplication and chunk metadata.</x:v>
      </x:c>
      <x:c r="M23" s="8"/>
    </x:row>
    <x:row r="24">
      <x:c r="A24" s="8" t="str">
        <x:v>rendering</x:v>
      </x:c>
      <x:c r="B24" s="8" t="str">
        <x:v>iOS</x:v>
      </x:c>
      <x:c r="C24" s="8" t="str">
        <x:v>console event missing</x:v>
      </x:c>
      <x:c r="D24" s="8"/>
      <x:c r="E24" s="8" t="str">
        <x:v>retry after NavigationCompleted</x:v>
      </x:c>
      <x:c r="F24" s="8" t="str">
        <x:v>Carla</x:v>
      </x:c>
      <x:c r="G24" s="8" t="str">
        <x:v>blocked</x:v>
      </x:c>
      <x:c r="H24" s="8" t="str">
        <x:v>P3</x:v>
      </x:c>
      <x:c r="I24" s="8" t="str">
        <x:v>2026-01-01</x:v>
      </x:c>
      <x:c r="J24" s="8" t="str">
        <x:v>2026-03-22</x:v>
      </x:c>
      <x:c r="K24" s="8" t="str">
        <x:v>https://learn.microsoft.com/en-us/microsoft-edge/webview2/concepts/security</x:v>
      </x:c>
      <x:c r="L24" s="8"/>
      <x:c r="M24" s="8"/>
    </x:row>
    <x:row r="25">
      <x:c r="A25" s="8" t="str">
        <x:v>input</x:v>
      </x:c>
      <x:c r="B25" s="8" t="str">
        <x:v>iOS</x:v>
      </x:c>
      <x:c r="C25" s="8" t="str">
        <x:v>console event missing</x:v>
      </x:c>
      <x:c r="D25" s="8" t="str">
        <x:v>open case 1019; repeat after offline toggle.</x:v>
      </x:c>
      <x:c r="E25" s="8" t="str">
        <x:v>retry after NavigationCompleted</x:v>
      </x:c>
      <x:c r="F25" s="8" t="str">
        <x:v>Ben</x:v>
      </x:c>
      <x:c r="G25" s="8" t="str">
        <x:v>resolved</x:v>
      </x:c>
      <x:c r="H25" s="8" t="str">
        <x:v>P3</x:v>
      </x:c>
      <x:c r="I25" s="8" t="str">
        <x:v>2026-02-01</x:v>
      </x:c>
      <x:c r="J25" s="8" t="str">
        <x:v>2026-04-23</x:v>
      </x:c>
      <x:c r="K25" s="8" t="str">
        <x:v>https://developer.microsoft.com/en-us/microsoft-edge/webview2/</x:v>
      </x:c>
      <x:c r="L25" s="8"/>
      <x:c r="M25" s="8"/>
    </x:row>
    <x:row r="26">
      <x:c r="A26" s="8" t="str">
        <x:v>network</x:v>
      </x:c>
      <x:c r="B26" s="8" t="str">
        <x:v>Linux</x:v>
      </x:c>
      <x:c r="C26" s="8" t="str">
        <x:v>blank page after reload</x:v>
      </x:c>
      <x:c r="D26" s="8" t="str">
        <x:v>open case 1020; repeat after reload.</x:v>
      </x:c>
      <x:c r="E26" s="8" t="str">
        <x:v>use a bridge queue</x:v>
      </x:c>
      <x:c r="F26" s="8" t="str">
        <x:v>Diego</x:v>
      </x:c>
      <x:c r="G26" s="8" t="str">
        <x:v>open</x:v>
      </x:c>
      <x:c r="H26" s="8" t="str">
        <x:v>P3</x:v>
      </x:c>
      <x:c r="I26" s="8" t="str">
        <x:v>2026-03-01</x:v>
      </x:c>
      <x:c r="J26" s="8" t="str">
        <x:v>2026-05-24</x:v>
      </x:c>
      <x:c r="K26" s="8"/>
      <x:c r="L26" s="8" t="str">
        <x:v>Potential duplicate: this paragraph is repeated in another section to test deduplication and chunk metadata.</x:v>
      </x:c>
      <x:c r="M26" s="8"/>
    </x:row>
    <x:row r="27">
      <x:c r="A27" s="8" t="str">
        <x:v>cookies</x:v>
      </x:c>
      <x:c r="B27" s="8" t="str">
        <x:v>iOS</x:v>
      </x:c>
      <x:c r="C27" s="8" t="str">
        <x:v>blank page after reload</x:v>
      </x:c>
      <x:c r="D27" s="8" t="str">
        <x:v>open case 1021; repeat after reload.</x:v>
      </x:c>
      <x:c r="E27" s="8" t="str">
        <x:v>reproduce on clean profile</x:v>
      </x:c>
      <x:c r="F27" s="8" t="str">
        <x:v>Ben</x:v>
      </x:c>
      <x:c r="G27" s="8" t="str">
        <x:v>needs reproduction</x:v>
      </x:c>
      <x:c r="H27" s="8" t="str">
        <x:v>P1</x:v>
      </x:c>
      <x:c r="I27" s="8" t="str">
        <x:v>2026-04-01</x:v>
      </x:c>
      <x:c r="J27" s="8" t="str">
        <x:v>2026-06-25</x:v>
      </x:c>
      <x:c r="K27" s="8" t="str">
        <x:v>https://github.com/react-native-webview/react-native-webview</x:v>
      </x:c>
      <x:c r="L27" s="8" t="str">
        <x:v>The bridge callback is stable for small payloads, but large JSON messages show visible delay during navigation.</x:v>
      </x:c>
      <x:c r="M27" s="8"/>
    </x:row>
    <x:row r="28">
      <x:c r="A28" s="8" t="str">
        <x:v>rendering</x:v>
      </x:c>
      <x:c r="B28" s="8" t="str">
        <x:v>Windows</x:v>
      </x:c>
      <x:c r="C28" s="8" t="str">
        <x:v>console event missing</x:v>
      </x:c>
      <x:c r="D28" s="8" t="str">
        <x:v>open case 1022; repeat after sleep.</x:v>
      </x:c>
      <x:c r="E28" s="8" t="str">
        <x:v>set explicit user agent</x:v>
      </x:c>
      <x:c r="F28" s="8" t="str">
        <x:v>Ben</x:v>
      </x:c>
      <x:c r="G28" s="8" t="str">
        <x:v>investigating</x:v>
      </x:c>
      <x:c r="H28" s="8" t="str">
        <x:v>P1</x:v>
      </x:c>
      <x:c r="I28" s="8" t="str">
        <x:v>2026-05-01</x:v>
      </x:c>
      <x:c r="J28" s="8" t="str">
        <x:v>2026-07-26</x:v>
      </x:c>
      <x:c r="K28" s="8" t="str">
        <x:v>https://developer.android.com/reference/android/webkit/WebView</x:v>
      </x:c>
      <x:c r="L28" s="8" t="str">
        <x:v>The owner field was not captured in the original notes, so classification should remain conservative.</x:v>
      </x:c>
      <x:c r="M28" s="8"/>
    </x:row>
    <x:row r="29">
      <x:c r="A29" s="8" t="str">
        <x:v>network</x:v>
      </x:c>
      <x:c r="B29" s="8" t="str">
        <x:v>Android</x:v>
      </x:c>
      <x:c r="C29" s="8" t="str">
        <x:v>resource blocked by policy</x:v>
      </x:c>
      <x:c r="D29" s="8"/>
      <x:c r="E29" s="8" t="str">
        <x:v>none yet</x:v>
      </x:c>
      <x:c r="F29" s="8" t="str">
        <x:v>Mei</x:v>
      </x:c>
      <x:c r="G29" s="8" t="str">
        <x:v>blocked</x:v>
      </x:c>
      <x:c r="H29" s="8" t="str">
        <x:v>P0</x:v>
      </x:c>
      <x:c r="I29" s="8" t="str">
        <x:v>2026-06-01</x:v>
      </x:c>
      <x:c r="J29" s="8" t="str">
        <x:v>2026-08-27</x:v>
      </x:c>
      <x:c r="K29" s="8"/>
      <x:c r="L29" s="8" t="str">
        <x:v>This sentence is long enough to exercise wrapping and downstream chunk boundaries in Markdown output.</x:v>
      </x:c>
      <x:c r="M29" s="8"/>
    </x:row>
    <x:row r="30">
      <x:c r="A30" s="8" t="str">
        <x:v>network</x:v>
      </x:c>
      <x:c r="B30" s="8" t="str">
        <x:v>macOS</x:v>
      </x:c>
      <x:c r="C30" s="8" t="str">
        <x:v>large response times out</x:v>
      </x:c>
      <x:c r="D30" s="8" t="str">
        <x:v>open case 1024; repeat after cold start.</x:v>
      </x:c>
      <x:c r="E30" s="8" t="str">
        <x:v>none yet</x:v>
      </x:c>
      <x:c r="F30" s="8" t="str">
        <x:v>Ben</x:v>
      </x:c>
      <x:c r="G30" s="8" t="str">
        <x:v>resolved</x:v>
      </x:c>
      <x:c r="H30" s="8" t="str">
        <x:v>P2</x:v>
      </x:c>
      <x:c r="I30" s="8" t="str">
        <x:v>2026-07-01</x:v>
      </x:c>
      <x:c r="J30" s="8" t="str">
        <x:v>2026-09-20</x:v>
      </x:c>
      <x:c r="K30" s="8" t="str">
        <x:v>https://developer.android.com/reference/android/webkit/WebView</x:v>
      </x:c>
      <x:c r="L30" s="8" t="str">
        <x:v>Potential duplicate: this paragraph is repeated in another section to test deduplication and chunk metadata.</x:v>
      </x:c>
      <x:c r="M30" s="8"/>
    </x:row>
    <x:row r="31">
      <x:c r="A31" s="8" t="str">
        <x:v>input</x:v>
      </x:c>
      <x:c r="B31" s="8" t="str">
        <x:v>Linux</x:v>
      </x:c>
      <x:c r="C31" s="8" t="str">
        <x:v>scroll offset resets</x:v>
      </x:c>
      <x:c r="D31" s="8" t="str">
        <x:v>open case 1025; repeat after cold start.</x:v>
      </x:c>
      <x:c r="E31" s="8" t="str">
        <x:v>increase timeout</x:v>
      </x:c>
      <x:c r="F31" s="8" t="str">
        <x:v>Carla</x:v>
      </x:c>
      <x:c r="G31" s="8" t="str">
        <x:v>investigating</x:v>
      </x:c>
      <x:c r="H31" s="8" t="str">
        <x:v>P3</x:v>
      </x:c>
      <x:c r="I31" s="8" t="str">
        <x:v>2026-08-01</x:v>
      </x:c>
      <x:c r="J31" s="8" t="str">
        <x:v>2026-01-21</x:v>
      </x:c>
      <x:c r="K31" s="8" t="str">
        <x:v>https://learn.microsoft.com/en-us/microsoft-edge/webview2/concepts/security</x:v>
      </x:c>
      <x:c r="L31" s="8" t="str">
        <x:v>Follow-up: compare the result when the network security policy is relaxed versus when it is enforced.</x:v>
      </x:c>
      <x:c r="M31" s="8"/>
    </x:row>
    <x:row r="32">
      <x:c r="A32" s="8" t="str">
        <x:v>cookies</x:v>
      </x:c>
      <x:c r="B32" s="8" t="str">
        <x:v>Android</x:v>
      </x:c>
      <x:c r="C32" s="8" t="str">
        <x:v>blank page after reload</x:v>
      </x:c>
      <x:c r="D32" s="8"/>
      <x:c r="E32" s="8" t="str">
        <x:v>increase timeout</x:v>
      </x:c>
      <x:c r="F32" s="8" t="str">
        <x:v>Ben</x:v>
      </x:c>
      <x:c r="G32" s="8" t="str">
        <x:v>needs reproduction</x:v>
      </x:c>
      <x:c r="H32" s="8" t="str">
        <x:v>P3</x:v>
      </x:c>
      <x:c r="I32" s="8" t="str">
        <x:v>2026-09-01</x:v>
      </x:c>
      <x:c r="J32" s="8" t="str">
        <x:v>2026-02-22</x:v>
      </x:c>
      <x:c r="K32" s="8" t="str">
        <x:v>https://developer.apple.com/documentation/webkit/wkwebview</x:v>
      </x:c>
      <x:c r="L32" s="8"/>
      <x:c r="M32" s="8"/>
    </x:row>
    <x:row r="33">
      <x:c r="A33" s="8" t="str">
        <x:v>cookies</x:v>
      </x:c>
      <x:c r="B33" s="8" t="str">
        <x:v>Linux</x:v>
      </x:c>
      <x:c r="C33" s="8" t="str">
        <x:v>large response times out</x:v>
      </x:c>
      <x:c r="D33" s="8"/>
      <x:c r="E33" s="8" t="str">
        <x:v>use a bridge queue</x:v>
      </x:c>
      <x:c r="F33" s="8" t="str">
        <x:v>No owner</x:v>
      </x:c>
      <x:c r="G33" s="8" t="str">
        <x:v>investigating</x:v>
      </x:c>
      <x:c r="H33" s="8" t="str">
        <x:v>P1</x:v>
      </x:c>
      <x:c r="I33" s="8" t="str">
        <x:v>2026-01-01</x:v>
      </x:c>
      <x:c r="J33" s="8" t="str">
        <x:v>2026-03-23</x:v>
      </x:c>
      <x:c r="K33" s="8"/>
      <x:c r="L33" s="8"/>
      <x:c r="M33" s="8"/>
    </x:row>
    <x:row r="34">
      <x:c r="A34" s="8" t="str">
        <x:v>rendering</x:v>
      </x:c>
      <x:c r="B34" s="8" t="str">
        <x:v>macOS</x:v>
      </x:c>
      <x:c r="C34" s="8" t="str">
        <x:v>resource blocked by policy</x:v>
      </x:c>
      <x:c r="D34" s="8"/>
      <x:c r="E34" s="8" t="str">
        <x:v>use a bridge queue</x:v>
      </x:c>
      <x:c r="F34" s="8" t="str">
        <x:v>Mei</x:v>
      </x:c>
      <x:c r="G34" s="8" t="str">
        <x:v>investigating</x:v>
      </x:c>
      <x:c r="H34" s="8" t="str">
        <x:v>P2</x:v>
      </x:c>
      <x:c r="I34" s="8" t="str">
        <x:v>2026-02-01</x:v>
      </x:c>
      <x:c r="J34" s="8" t="str">
        <x:v>2026-04-24</x:v>
      </x:c>
      <x:c r="K34" s="8" t="str">
        <x:v>https://developer.apple.com/documentation/webkit/wkwebview</x:v>
      </x:c>
      <x:c r="L34" s="8" t="str">
        <x:v>Verify behavior on a cold start and after the page reloads without destroying the native view.</x:v>
      </x:c>
      <x:c r="M34" s="8"/>
    </x:row>
    <x:row r="35">
      <x:c r="A35" s="8" t="str">
        <x:v>download</x:v>
      </x:c>
      <x:c r="B35" s="8" t="str">
        <x:v>Windows</x:v>
      </x:c>
      <x:c r="C35" s="8" t="str">
        <x:v>console event missing</x:v>
      </x:c>
      <x:c r="D35" s="8" t="str">
        <x:v>open case 1029; repeat after reload.</x:v>
      </x:c>
      <x:c r="E35" s="8" t="str">
        <x:v>set explicit user agent</x:v>
      </x:c>
      <x:c r="F35" s="8" t="str">
        <x:v>Ben</x:v>
      </x:c>
      <x:c r="G35" s="8" t="str">
        <x:v>blocked</x:v>
      </x:c>
      <x:c r="H35" s="8" t="str">
        <x:v>P0</x:v>
      </x:c>
      <x:c r="I35" s="8" t="str">
        <x:v>2026-03-01</x:v>
      </x:c>
      <x:c r="J35" s="8" t="str">
        <x:v>2026-05-25</x:v>
      </x:c>
      <x:c r="K35" s="8" t="str">
        <x:v>https://learn.microsoft.com/en-us/microsoft-edge/webview2/concepts/security</x:v>
      </x:c>
      <x:c r="L35" s="8" t="str">
        <x:v>Potential duplicate: this paragraph is repeated in another section to test deduplication and chunk metadata.</x:v>
      </x:c>
      <x:c r="M35" s="8"/>
    </x:row>
    <x:row r="36">
      <x:c r="A36" s="8" t="str">
        <x:v>network</x:v>
      </x:c>
      <x:c r="B36" s="8" t="str">
        <x:v>Android</x:v>
      </x:c>
      <x:c r="C36" s="8" t="str">
        <x:v>scroll offset resets</x:v>
      </x:c>
      <x:c r="D36" s="8"/>
      <x:c r="E36" s="8" t="str">
        <x:v>reproduce on clean profile</x:v>
      </x:c>
      <x:c r="F36" s="8" t="str">
        <x:v>Diego</x:v>
      </x:c>
      <x:c r="G36" s="8" t="str">
        <x:v>blocked</x:v>
      </x:c>
      <x:c r="H36" s="8" t="str">
        <x:v>P2</x:v>
      </x:c>
      <x:c r="I36" s="8" t="str">
        <x:v>2026-04-01</x:v>
      </x:c>
      <x:c r="J36" s="8" t="str">
        <x:v>2026-06-26</x:v>
      </x:c>
      <x:c r="K36" s="8" t="str">
        <x:v>https://developer.apple.com/documentation/webkit/wkwebview</x:v>
      </x:c>
      <x:c r="L36" s="8"/>
      <x:c r="M36" s="8"/>
    </x:row>
    <x:row r="37">
      <x:c r="A37" s="8"/>
      <x:c r="B37" s="8"/>
      <x:c r="C37" s="8"/>
      <x:c r="D37" s="8"/>
      <x:c r="E37" s="8"/>
      <x:c r="F37" s="8"/>
      <x:c r="G37" s="8"/>
      <x:c r="H37" s="8"/>
      <x:c r="I37" s="8"/>
      <x:c r="J37" s="8"/>
      <x:c r="K37" s="8"/>
      <x:c r="L37" s="8"/>
      <x:c r="M37" s="8"/>
    </x:row>
    <x:row r="38">
      <x:c r="A38" s="8" t="str">
        <x:v>rendering</x:v>
      </x:c>
      <x:c r="B38" s="8" t="str">
        <x:v>Android</x:v>
      </x:c>
      <x:c r="C38" s="8" t="str">
        <x:v>blank page after reload</x:v>
      </x:c>
      <x:c r="D38" s="8"/>
      <x:c r="E38" s="8" t="str">
        <x:v>set explicit user agent</x:v>
      </x:c>
      <x:c r="F38" s="8" t="str">
        <x:v>No owner</x:v>
      </x:c>
      <x:c r="G38" s="8" t="str">
        <x:v>open</x:v>
      </x:c>
      <x:c r="H38" s="8" t="str">
        <x:v>P0</x:v>
      </x:c>
      <x:c r="I38" s="8" t="str">
        <x:v>2026-05-01</x:v>
      </x:c>
      <x:c r="J38" s="8" t="str">
        <x:v>2026-07-27</x:v>
      </x:c>
      <x:c r="K38" s="8" t="str">
        <x:v>https://developer.microsoft.com/en-us/microsoft-edge/webview2/</x:v>
      </x:c>
      <x:c r="L38" s="8"/>
      <x:c r="M38" s="8"/>
    </x:row>
    <x:row r="39">
      <x:c r="A39" s="8" t="str">
        <x:v>rendering</x:v>
      </x:c>
      <x:c r="B39" s="8" t="str">
        <x:v>iOS</x:v>
      </x:c>
      <x:c r="C39" s="8" t="str">
        <x:v>resource blocked by policy</x:v>
      </x:c>
      <x:c r="D39" s="8"/>
      <x:c r="E39" s="8" t="str">
        <x:v>use a bridge queue</x:v>
      </x:c>
      <x:c r="F39" s="8" t="str">
        <x:v>Asha</x:v>
      </x:c>
      <x:c r="G39" s="8" t="str">
        <x:v>needs reproduction</x:v>
      </x:c>
      <x:c r="H39" s="8" t="str">
        <x:v>P3</x:v>
      </x:c>
      <x:c r="I39" s="8" t="str">
        <x:v>2026-06-01</x:v>
      </x:c>
      <x:c r="J39" s="8" t="str">
        <x:v>2026-08-20</x:v>
      </x:c>
      <x:c r="K39" s="8"/>
      <x:c r="L39" s="8" t="str">
        <x:v>Follow-up: compare the result when the network security policy is relaxed versus when it is enforced.</x:v>
      </x:c>
      <x:c r="M39" s="8"/>
    </x:row>
    <x:row r="40">
      <x:c r="A40" s="8" t="str">
        <x:v>cookies</x:v>
      </x:c>
      <x:c r="B40" s="8" t="str">
        <x:v>iOS</x:v>
      </x:c>
      <x:c r="C40" s="8" t="str">
        <x:v>console event missing</x:v>
      </x:c>
      <x:c r="D40" s="8"/>
      <x:c r="E40" s="8" t="str">
        <x:v>increase timeout</x:v>
      </x:c>
      <x:c r="F40" s="8" t="str">
        <x:v>Mei</x:v>
      </x:c>
      <x:c r="G40" s="8" t="str">
        <x:v>resolved</x:v>
      </x:c>
      <x:c r="H40" s="8" t="str">
        <x:v>P1</x:v>
      </x:c>
      <x:c r="I40" s="8" t="str">
        <x:v>2026-07-01</x:v>
      </x:c>
      <x:c r="J40" s="8" t="str">
        <x:v>2026-09-21</x:v>
      </x:c>
      <x:c r="K40" s="8"/>
      <x:c r="L40" s="8" t="str">
        <x:v>Follow-up: compare the result when the network security policy is relaxed versus when it is enforced.</x:v>
      </x:c>
      <x:c r="M40" s="8"/>
    </x:row>
    <x:row r="41">
      <x:c r="A41" s="8" t="str">
        <x:v>rendering</x:v>
      </x:c>
      <x:c r="B41" s="8" t="str">
        <x:v>Linux</x:v>
      </x:c>
      <x:c r="C41" s="8" t="str">
        <x:v>resource blocked by policy</x:v>
      </x:c>
      <x:c r="D41" s="8" t="str">
        <x:v>open case 1034; repeat after offline toggle.</x:v>
      </x:c>
      <x:c r="E41" s="8" t="str">
        <x:v>increase timeout</x:v>
      </x:c>
      <x:c r="F41" s="8" t="str">
        <x:v>No owner</x:v>
      </x:c>
      <x:c r="G41" s="8" t="str">
        <x:v>blocked</x:v>
      </x:c>
      <x:c r="H41" s="8" t="str">
        <x:v>P0</x:v>
      </x:c>
      <x:c r="I41" s="8" t="str">
        <x:v>2026-08-01</x:v>
      </x:c>
      <x:c r="J41" s="8" t="str">
        <x:v>2026-01-22</x:v>
      </x:c>
      <x:c r="K41" s="8"/>
      <x:c r="L41" s="8"/>
      <x:c r="M41" s="8"/>
    </x:row>
    <x:row r="42">
      <x:c r="A42" s="8" t="str">
        <x:v>input</x:v>
      </x:c>
      <x:c r="B42" s="8" t="str">
        <x:v>Android</x:v>
      </x:c>
      <x:c r="C42" s="8" t="str">
        <x:v>scroll offset resets</x:v>
      </x:c>
      <x:c r="D42" s="8"/>
      <x:c r="E42" s="8" t="str">
        <x:v>set explicit user agent</x:v>
      </x:c>
      <x:c r="F42" s="8" t="str">
        <x:v>Ben</x:v>
      </x:c>
      <x:c r="G42" s="8" t="str">
        <x:v>resolved</x:v>
      </x:c>
      <x:c r="H42" s="8" t="str">
        <x:v>P2</x:v>
      </x:c>
      <x:c r="I42" s="8" t="str">
        <x:v>2026-09-01</x:v>
      </x:c>
      <x:c r="J42" s="8" t="str">
        <x:v>2026-02-23</x:v>
      </x:c>
      <x:c r="K42" s="8" t="str">
        <x:v>https://developer.apple.com/documentation/webkit/wkwebview</x:v>
      </x:c>
      <x:c r="L42" s="8" t="str">
        <x:v>Verify behavior on a cold start and after the page reloads without destroying the native view.</x:v>
      </x:c>
      <x:c r="M42" s="8"/>
    </x:row>
    <x:row r="43">
      <x:c r="A43" s="8" t="str">
        <x:v>download</x:v>
      </x:c>
      <x:c r="B43" s="8" t="str">
        <x:v>iOS</x:v>
      </x:c>
      <x:c r="C43" s="8" t="str">
        <x:v>focus leaves native control</x:v>
      </x:c>
      <x:c r="D43" s="8" t="str">
        <x:v>open case 1036; repeat after cold start.</x:v>
      </x:c>
      <x:c r="E43" s="8" t="str">
        <x:v>increase timeout</x:v>
      </x:c>
      <x:c r="F43" s="8" t="str">
        <x:v>Carla</x:v>
      </x:c>
      <x:c r="G43" s="8" t="str">
        <x:v>resolved</x:v>
      </x:c>
      <x:c r="H43" s="8" t="str">
        <x:v>P3</x:v>
      </x:c>
      <x:c r="I43" s="8" t="str">
        <x:v>2026-01-01</x:v>
      </x:c>
      <x:c r="J43" s="8" t="str">
        <x:v>2026-03-24</x:v>
      </x:c>
      <x:c r="K43" s="8" t="str">
        <x:v>https://developer.apple.com/documentation/webkit/wkwebview</x:v>
      </x:c>
      <x:c r="L43" s="8"/>
      <x:c r="M43" s="8"/>
    </x:row>
    <x:row r="44">
      <x:c r="A44" s="8" t="str">
        <x:v>input</x:v>
      </x:c>
      <x:c r="B44" s="8" t="str">
        <x:v>Android</x:v>
      </x:c>
      <x:c r="C44" s="8" t="str">
        <x:v>blank page after reload</x:v>
      </x:c>
      <x:c r="D44" s="8"/>
      <x:c r="E44" s="8" t="str">
        <x:v>use a bridge queue</x:v>
      </x:c>
      <x:c r="F44" s="8" t="str">
        <x:v>Mei</x:v>
      </x:c>
      <x:c r="G44" s="8" t="str">
        <x:v>blocked</x:v>
      </x:c>
      <x:c r="H44" s="8" t="str">
        <x:v>P1</x:v>
      </x:c>
      <x:c r="I44" s="8" t="str">
        <x:v>2026-02-01</x:v>
      </x:c>
      <x:c r="J44" s="8" t="str">
        <x:v>2026-04-25</x:v>
      </x:c>
      <x:c r="K44" s="8"/>
      <x:c r="L44" s="8"/>
      <x:c r="M44" s="8"/>
    </x:row>
    <x:row r="45">
      <x:c r="A45" s="8" t="str">
        <x:v>network</x:v>
      </x:c>
      <x:c r="B45" s="8" t="str">
        <x:v>iOS</x:v>
      </x:c>
      <x:c r="C45" s="8" t="str">
        <x:v>scroll offset resets</x:v>
      </x:c>
      <x:c r="D45" s="8" t="str">
        <x:v>open case 1038; repeat after reload.</x:v>
      </x:c>
      <x:c r="E45" s="8" t="str">
        <x:v>set explicit user agent</x:v>
      </x:c>
      <x:c r="F45" s="8" t="str">
        <x:v>Mei</x:v>
      </x:c>
      <x:c r="G45" s="8" t="str">
        <x:v>resolved</x:v>
      </x:c>
      <x:c r="H45" s="8" t="str">
        <x:v>P0</x:v>
      </x:c>
      <x:c r="I45" s="8" t="str">
        <x:v>2026-03-01</x:v>
      </x:c>
      <x:c r="J45" s="8" t="str">
        <x:v>2026-05-26</x:v>
      </x:c>
      <x:c r="K45" s="8" t="str">
        <x:v>https://learn.microsoft.com/en-us/microsoft-edge/webview2/concepts/security</x:v>
      </x:c>
      <x:c r="L45" s="8" t="str">
        <x:v>Follow-up: compare the result when the network security policy is relaxed versus when it is enforced.</x:v>
      </x:c>
      <x:c r="M45" s="8"/>
    </x:row>
    <x:row r="46">
      <x:c r="A46" s="8" t="str">
        <x:v>download</x:v>
      </x:c>
      <x:c r="B46" s="8" t="str">
        <x:v>iOS</x:v>
      </x:c>
      <x:c r="C46" s="8" t="str">
        <x:v>large response times out</x:v>
      </x:c>
      <x:c r="D46" s="8"/>
      <x:c r="E46" s="8" t="str">
        <x:v>set explicit user agent</x:v>
      </x:c>
      <x:c r="F46" s="8" t="str">
        <x:v>Ben</x:v>
      </x:c>
      <x:c r="G46" s="8" t="str">
        <x:v>open</x:v>
      </x:c>
      <x:c r="H46" s="8" t="str">
        <x:v>P3</x:v>
      </x:c>
      <x:c r="I46" s="8" t="str">
        <x:v>2026-04-01</x:v>
      </x:c>
      <x:c r="J46" s="8" t="str">
        <x:v>2026-06-27</x:v>
      </x:c>
      <x:c r="K46" s="8" t="str">
        <x:v>https://developer.apple.com/documentation/webkit/wkwebview</x:v>
      </x:c>
      <x:c r="L46" s="8"/>
      <x:c r="M46" s="8"/>
    </x:row>
    <x:row r="47">
      <x:c r="A47" s="8" t="str">
        <x:v>download</x:v>
      </x:c>
      <x:c r="B47" s="8" t="str">
        <x:v>Linux</x:v>
      </x:c>
      <x:c r="C47" s="8" t="str">
        <x:v>console event missing</x:v>
      </x:c>
      <x:c r="D47" s="8"/>
      <x:c r="E47" s="8" t="str">
        <x:v>set explicit user agent</x:v>
      </x:c>
      <x:c r="F47" s="8" t="str">
        <x:v>Carla</x:v>
      </x:c>
      <x:c r="G47" s="8" t="str">
        <x:v>resolved</x:v>
      </x:c>
      <x:c r="H47" s="8" t="str">
        <x:v>P1</x:v>
      </x:c>
      <x:c r="I47" s="8" t="str">
        <x:v>2026-05-01</x:v>
      </x:c>
      <x:c r="J47" s="8" t="str">
        <x:v>2026-07-20</x:v>
      </x:c>
      <x:c r="K47" s="8" t="str">
        <x:v>https://developer.android.com/reference/android/webkit/WebView</x:v>
      </x:c>
      <x:c r="L47" s="8"/>
      <x:c r="M47" s="8"/>
    </x:row>
    <x:row r="48">
      <x:c r="A48" s="8" t="str">
        <x:v>network</x:v>
      </x:c>
      <x:c r="B48" s="8" t="str">
        <x:v>macOS</x:v>
      </x:c>
      <x:c r="C48" s="8" t="str">
        <x:v>resource blocked by policy</x:v>
      </x:c>
      <x:c r="D48" s="8"/>
      <x:c r="E48" s="8" t="str">
        <x:v>none yet</x:v>
      </x:c>
      <x:c r="F48" s="8" t="str">
        <x:v>Mei</x:v>
      </x:c>
      <x:c r="G48" s="8" t="str">
        <x:v>open</x:v>
      </x:c>
      <x:c r="H48" s="8" t="str">
        <x:v>P0</x:v>
      </x:c>
      <x:c r="I48" s="8" t="str">
        <x:v>2026-06-01</x:v>
      </x:c>
      <x:c r="J48" s="8" t="str">
        <x:v>2026-08-21</x:v>
      </x:c>
      <x:c r="K48" s="8"/>
      <x:c r="L48" s="8"/>
      <x:c r="M48" s="8"/>
    </x:row>
    <x:row r="49">
      <x:c r="A49" s="8" t="str">
        <x:v>download</x:v>
      </x:c>
      <x:c r="B49" s="8" t="str">
        <x:v>iOS</x:v>
      </x:c>
      <x:c r="C49" s="8" t="str">
        <x:v>blank page after reload</x:v>
      </x:c>
      <x:c r="D49" s="8" t="str">
        <x:v>open case 1042; repeat after offline toggle.</x:v>
      </x:c>
      <x:c r="E49" s="8" t="str">
        <x:v>retry after NavigationCompleted</x:v>
      </x:c>
      <x:c r="F49" s="8" t="str">
        <x:v>Ben</x:v>
      </x:c>
      <x:c r="G49" s="8" t="str">
        <x:v>blocked</x:v>
      </x:c>
      <x:c r="H49" s="8" t="str">
        <x:v>P3</x:v>
      </x:c>
      <x:c r="I49" s="8" t="str">
        <x:v>2026-07-01</x:v>
      </x:c>
      <x:c r="J49" s="8" t="str">
        <x:v>2026-09-22</x:v>
      </x:c>
      <x:c r="K49" s="8"/>
      <x:c r="L49" s="8"/>
      <x:c r="M49" s="8"/>
    </x:row>
    <x:row r="50">
      <x:c r="A50" s="8" t="str">
        <x:v>download</x:v>
      </x:c>
      <x:c r="B50" s="8" t="str">
        <x:v>iOS</x:v>
      </x:c>
      <x:c r="C50" s="8" t="str">
        <x:v>focus leaves native control</x:v>
      </x:c>
      <x:c r="D50" s="8" t="str">
        <x:v>open case 1043; repeat after reload.</x:v>
      </x:c>
      <x:c r="E50" s="8" t="str">
        <x:v>reproduce on clean profile</x:v>
      </x:c>
      <x:c r="F50" s="8" t="str">
        <x:v>Carla</x:v>
      </x:c>
      <x:c r="G50" s="8" t="str">
        <x:v>needs reproduction</x:v>
      </x:c>
      <x:c r="H50" s="8" t="str">
        <x:v>P1</x:v>
      </x:c>
      <x:c r="I50" s="8" t="str">
        <x:v>2026-08-01</x:v>
      </x:c>
      <x:c r="J50" s="8" t="str">
        <x:v>2026-01-23</x:v>
      </x:c>
      <x:c r="K50" s="8" t="str">
        <x:v>https://developer.microsoft.com/en-us/microsoft-edge/webview2/</x:v>
      </x:c>
      <x:c r="L50" s="8" t="str">
        <x:v>Potential duplicate: this paragraph is repeated in another section to test deduplication and chunk metadata.</x:v>
      </x:c>
      <x:c r="M50" s="8"/>
    </x:row>
    <x:row r="51">
      <x:c r="A51" s="8" t="str">
        <x:v>input</x:v>
      </x:c>
      <x:c r="B51" s="8" t="str">
        <x:v>Android</x:v>
      </x:c>
      <x:c r="C51" s="8" t="str">
        <x:v>resource blocked by policy</x:v>
      </x:c>
      <x:c r="D51" s="8"/>
      <x:c r="E51" s="8" t="str">
        <x:v>increase timeout</x:v>
      </x:c>
      <x:c r="F51" s="8" t="str">
        <x:v>Asha</x:v>
      </x:c>
      <x:c r="G51" s="8" t="str">
        <x:v>open</x:v>
      </x:c>
      <x:c r="H51" s="8" t="str">
        <x:v>P0</x:v>
      </x:c>
      <x:c r="I51" s="8" t="str">
        <x:v>2026-09-01</x:v>
      </x:c>
      <x:c r="J51" s="8" t="str">
        <x:v>2026-02-24</x:v>
      </x:c>
      <x:c r="K51" s="8" t="str">
        <x:v>https://developer.apple.com/documentation/webkit/wkwebview</x:v>
      </x:c>
      <x:c r="L51" s="8"/>
      <x:c r="M51" s="8"/>
    </x:row>
    <x:row r="52">
      <x:c r="A52" s="8" t="str">
        <x:v>input</x:v>
      </x:c>
      <x:c r="B52" s="8" t="str">
        <x:v>iOS</x:v>
      </x:c>
      <x:c r="C52" s="8" t="str">
        <x:v>resource blocked by policy</x:v>
      </x:c>
      <x:c r="D52" s="8"/>
      <x:c r="E52" s="8" t="str">
        <x:v>reproduce on clean profile</x:v>
      </x:c>
      <x:c r="F52" s="8" t="str">
        <x:v>Carla</x:v>
      </x:c>
      <x:c r="G52" s="8" t="str">
        <x:v>investigating</x:v>
      </x:c>
      <x:c r="H52" s="8" t="str">
        <x:v>P3</x:v>
      </x:c>
      <x:c r="I52" s="8" t="str">
        <x:v>2026-01-01</x:v>
      </x:c>
      <x:c r="J52" s="8" t="str">
        <x:v>2026-03-25</x:v>
      </x:c>
      <x:c r="K52" s="8"/>
      <x:c r="L52" s="8" t="str">
        <x:v>This sentence is long enough to exercise wrapping and downstream chunk boundaries in Markdown output.</x:v>
      </x:c>
      <x:c r="M52" s="8"/>
    </x:row>
    <x:row r="53">
      <x:c r="A53" s="8" t="str">
        <x:v>cookies</x:v>
      </x:c>
      <x:c r="B53" s="8" t="str">
        <x:v>macOS</x:v>
      </x:c>
      <x:c r="C53" s="8" t="str">
        <x:v>resource blocked by policy</x:v>
      </x:c>
      <x:c r="D53" s="8" t="str">
        <x:v>open case 1046; repeat after sleep.</x:v>
      </x:c>
      <x:c r="E53" s="8" t="str">
        <x:v>reproduce on clean profile</x:v>
      </x:c>
      <x:c r="F53" s="8" t="str">
        <x:v>Diego</x:v>
      </x:c>
      <x:c r="G53" s="8" t="str">
        <x:v>resolved</x:v>
      </x:c>
      <x:c r="H53" s="8" t="str">
        <x:v>P2</x:v>
      </x:c>
      <x:c r="I53" s="8" t="str">
        <x:v>2026-02-01</x:v>
      </x:c>
      <x:c r="J53" s="8" t="str">
        <x:v>2026-04-26</x:v>
      </x:c>
      <x:c r="K53" s="8"/>
      <x:c r="L53" s="8" t="str">
        <x:v>Observed in a local test run: the content rendered, but the console warning appeared twice.</x:v>
      </x:c>
      <x:c r="M53" s="8"/>
    </x:row>
    <x:row r="54">
      <x:c r="A54" s="8" t="str">
        <x:v>Category</x:v>
      </x:c>
      <x:c r="B54" s="8" t="str">
        <x:v>Platform</x:v>
      </x:c>
      <x:c r="C54" s="8" t="str">
        <x:v>Symptom</x:v>
      </x:c>
      <x:c r="D54" s="8" t="str">
        <x:v>Reproduction</x:v>
      </x:c>
      <x:c r="E54" s="8" t="str">
        <x:v>Workaround</x:v>
      </x:c>
      <x:c r="F54" s="8" t="str">
        <x:v>Owner</x:v>
      </x:c>
      <x:c r="G54" s="8" t="str">
        <x:v>Status</x:v>
      </x:c>
      <x:c r="H54" s="8" t="str">
        <x:v>Severity</x:v>
      </x:c>
      <x:c r="I54" s="8" t="str">
        <x:v>First seen</x:v>
      </x:c>
      <x:c r="J54" s="8" t="str">
        <x:v>Last seen</x:v>
      </x:c>
      <x:c r="K54" s="8" t="str">
        <x:v>Reference</x:v>
      </x:c>
      <x:c r="L54" s="8" t="str">
        <x:v>Free note</x:v>
      </x:c>
      <x:c r="M54" s="8" t="str">
        <x:v>repeated header</x:v>
      </x:c>
    </x:row>
    <x:row r="55">
      <x:c r="A55" s="8" t="str">
        <x:v>download</x:v>
      </x:c>
      <x:c r="B55" s="8" t="str">
        <x:v>Android</x:v>
      </x:c>
      <x:c r="C55" s="8" t="str">
        <x:v>resource blocked by policy</x:v>
      </x:c>
      <x:c r="D55" s="8" t="str">
        <x:v>open case 1047; repeat after offline toggle.</x:v>
      </x:c>
      <x:c r="E55" s="8" t="str">
        <x:v>reproduce on clean profile</x:v>
      </x:c>
      <x:c r="F55" s="8" t="str">
        <x:v>Asha</x:v>
      </x:c>
      <x:c r="G55" s="8" t="str">
        <x:v>blocked</x:v>
      </x:c>
      <x:c r="H55" s="8" t="str">
        <x:v>P3</x:v>
      </x:c>
      <x:c r="I55" s="8" t="str">
        <x:v>2026-03-01</x:v>
      </x:c>
      <x:c r="J55" s="8" t="str">
        <x:v>2026-05-27</x:v>
      </x:c>
      <x:c r="K55" s="8" t="str">
        <x:v>https://github.com/react-native-webview/react-native-webview</x:v>
      </x:c>
      <x:c r="L55" s="8" t="str">
        <x:v>Follow-up: compare the result when the network security policy is relaxed versus when it is enforced.</x:v>
      </x:c>
      <x:c r="M55" s="8"/>
    </x:row>
    <x:row r="56">
      <x:c r="A56" s="8" t="str">
        <x:v>rendering</x:v>
      </x:c>
      <x:c r="B56" s="8" t="str">
        <x:v>Android</x:v>
      </x:c>
      <x:c r="C56" s="8" t="str">
        <x:v>focus leaves native control</x:v>
      </x:c>
      <x:c r="D56" s="8"/>
      <x:c r="E56" s="8" t="str">
        <x:v>retry after NavigationCompleted</x:v>
      </x:c>
      <x:c r="F56" s="8" t="str">
        <x:v>No owner</x:v>
      </x:c>
      <x:c r="G56" s="8" t="str">
        <x:v>needs reproduction</x:v>
      </x:c>
      <x:c r="H56" s="8" t="str">
        <x:v>P1</x:v>
      </x:c>
      <x:c r="I56" s="8" t="str">
        <x:v>2026-04-01</x:v>
      </x:c>
      <x:c r="J56" s="8" t="str">
        <x:v>2026-06-20</x:v>
      </x:c>
      <x:c r="K56" s="8"/>
      <x:c r="L56" s="8" t="str">
        <x:v>A blank cell here is intentional. The source workbook has notes placed away from the nearest table.</x:v>
      </x:c>
      <x:c r="M56" s="8"/>
    </x:row>
    <x:row r="57">
      <x:c r="A57" s="8" t="str">
        <x:v>cookies</x:v>
      </x:c>
      <x:c r="B57" s="8" t="str">
        <x:v>Android</x:v>
      </x:c>
      <x:c r="C57" s="8" t="str">
        <x:v>scroll offset resets</x:v>
      </x:c>
      <x:c r="D57" s="8" t="str">
        <x:v>open case 1049; repeat after offline toggle.</x:v>
      </x:c>
      <x:c r="E57" s="8" t="str">
        <x:v>increase timeout</x:v>
      </x:c>
      <x:c r="F57" s="8" t="str">
        <x:v>Mei</x:v>
      </x:c>
      <x:c r="G57" s="8" t="str">
        <x:v>open</x:v>
      </x:c>
      <x:c r="H57" s="8" t="str">
        <x:v>P1</x:v>
      </x:c>
      <x:c r="I57" s="8" t="str">
        <x:v>2026-05-01</x:v>
      </x:c>
      <x:c r="J57" s="8" t="str">
        <x:v>2026-07-21</x:v>
      </x:c>
      <x:c r="K57" s="8" t="str">
        <x:v>https://learn.microsoft.com/en-us/microsoft-edge/webview2/concepts/security</x:v>
      </x:c>
      <x:c r="L57" s="8" t="str">
        <x:v>Follow-up: compare the result when the network security policy is relaxed versus when it is enforced.</x:v>
      </x:c>
      <x:c r="M57" s="8"/>
    </x:row>
    <x:row r="58">
      <x:c r="A58" s="8" t="str">
        <x:v>rendering</x:v>
      </x:c>
      <x:c r="B58" s="8" t="str">
        <x:v>macOS</x:v>
      </x:c>
      <x:c r="C58" s="8" t="str">
        <x:v>console event missing</x:v>
      </x:c>
      <x:c r="D58" s="8" t="str">
        <x:v>open case 1050; repeat after offline toggle.</x:v>
      </x:c>
      <x:c r="E58" s="8" t="str">
        <x:v>increase timeout</x:v>
      </x:c>
      <x:c r="F58" s="8" t="str">
        <x:v>Mei</x:v>
      </x:c>
      <x:c r="G58" s="8" t="str">
        <x:v>needs reproduction</x:v>
      </x:c>
      <x:c r="H58" s="8" t="str">
        <x:v>P1</x:v>
      </x:c>
      <x:c r="I58" s="8" t="str">
        <x:v>2026-06-01</x:v>
      </x:c>
      <x:c r="J58" s="8" t="str">
        <x:v>2026-08-22</x:v>
      </x:c>
      <x:c r="K58" s="8"/>
      <x:c r="L58" s="8"/>
      <x:c r="M58" s="8"/>
    </x:row>
    <x:row r="59">
      <x:c r="A59" s="8" t="str">
        <x:v>download</x:v>
      </x:c>
      <x:c r="B59" s="8" t="str">
        <x:v>Windows</x:v>
      </x:c>
      <x:c r="C59" s="8" t="str">
        <x:v>scroll offset resets</x:v>
      </x:c>
      <x:c r="D59" s="8" t="str">
        <x:v>open case 1051; repeat after offline toggle.</x:v>
      </x:c>
      <x:c r="E59" s="8" t="str">
        <x:v>increase timeout</x:v>
      </x:c>
      <x:c r="F59" s="8" t="str">
        <x:v>Asha</x:v>
      </x:c>
      <x:c r="G59" s="8" t="str">
        <x:v>resolved</x:v>
      </x:c>
      <x:c r="H59" s="8" t="str">
        <x:v>P2</x:v>
      </x:c>
      <x:c r="I59" s="8" t="str">
        <x:v>2026-07-01</x:v>
      </x:c>
      <x:c r="J59" s="8" t="str">
        <x:v>2026-09-23</x:v>
      </x:c>
      <x:c r="K59" s="8"/>
      <x:c r="L59" s="8" t="str">
        <x:v>Potential duplicate: this paragraph is repeated in another section to test deduplication and chunk metadata.</x:v>
      </x:c>
      <x:c r="M59" s="8"/>
    </x:row>
    <x:row r="60">
      <x:c r="A60" s="8" t="str">
        <x:v>download</x:v>
      </x:c>
      <x:c r="B60" s="8" t="str">
        <x:v>Android</x:v>
      </x:c>
      <x:c r="C60" s="8" t="str">
        <x:v>focus leaves native control</x:v>
      </x:c>
      <x:c r="D60" s="8" t="str">
        <x:v>open case 1052; repeat after sleep.</x:v>
      </x:c>
      <x:c r="E60" s="8" t="str">
        <x:v>reproduce on clean profile</x:v>
      </x:c>
      <x:c r="F60" s="8" t="str">
        <x:v>Diego</x:v>
      </x:c>
      <x:c r="G60" s="8" t="str">
        <x:v>investigating</x:v>
      </x:c>
      <x:c r="H60" s="8" t="str">
        <x:v>P3</x:v>
      </x:c>
      <x:c r="I60" s="8" t="str">
        <x:v>2026-08-01</x:v>
      </x:c>
      <x:c r="J60" s="8" t="str">
        <x:v>2026-01-24</x:v>
      </x:c>
      <x:c r="K60" s="8" t="str">
        <x:v>https://developer.apple.com/documentation/webkit/wkwebview</x:v>
      </x:c>
      <x:c r="L60" s="8"/>
      <x:c r="M60" s="8"/>
    </x:row>
    <x:row r="61">
      <x:c r="A61" s="8" t="str">
        <x:v>download</x:v>
      </x:c>
      <x:c r="B61" s="8" t="str">
        <x:v>iOS</x:v>
      </x:c>
      <x:c r="C61" s="8" t="str">
        <x:v>large response times out</x:v>
      </x:c>
      <x:c r="D61" s="8" t="str">
        <x:v>open case 1053; repeat after reload.</x:v>
      </x:c>
      <x:c r="E61" s="8" t="str">
        <x:v>set explicit user agent</x:v>
      </x:c>
      <x:c r="F61" s="8" t="str">
        <x:v>Asha</x:v>
      </x:c>
      <x:c r="G61" s="8" t="str">
        <x:v>resolved</x:v>
      </x:c>
      <x:c r="H61" s="8" t="str">
        <x:v>P2</x:v>
      </x:c>
      <x:c r="I61" s="8" t="str">
        <x:v>2026-09-01</x:v>
      </x:c>
      <x:c r="J61" s="8" t="str">
        <x:v>2026-02-25</x:v>
      </x:c>
      <x:c r="K61" s="8" t="str">
        <x:v>https://developer.microsoft.com/en-us/microsoft-edge/webview2/</x:v>
      </x:c>
      <x:c r="L61" s="8"/>
      <x:c r="M61" s="8"/>
    </x:row>
    <x:row r="62">
      <x:c r="A62" s="8" t="str">
        <x:v>cookies</x:v>
      </x:c>
      <x:c r="B62" s="8" t="str">
        <x:v>iOS</x:v>
      </x:c>
      <x:c r="C62" s="8" t="str">
        <x:v>blank page after reload</x:v>
      </x:c>
      <x:c r="D62" s="8"/>
      <x:c r="E62" s="8" t="str">
        <x:v>reproduce on clean profile</x:v>
      </x:c>
      <x:c r="F62" s="8" t="str">
        <x:v>Mei</x:v>
      </x:c>
      <x:c r="G62" s="8" t="str">
        <x:v>resolved</x:v>
      </x:c>
      <x:c r="H62" s="8" t="str">
        <x:v>P0</x:v>
      </x:c>
      <x:c r="I62" s="8" t="str">
        <x:v>2026-01-01</x:v>
      </x:c>
      <x:c r="J62" s="8" t="str">
        <x:v>2026-03-26</x:v>
      </x:c>
      <x:c r="K62" s="8"/>
      <x:c r="L62" s="8"/>
      <x:c r="M62" s="8"/>
    </x:row>
    <x:row r="63">
      <x:c r="A63" s="8" t="str">
        <x:v>download</x:v>
      </x:c>
      <x:c r="B63" s="8" t="str">
        <x:v>iOS</x:v>
      </x:c>
      <x:c r="C63" s="8" t="str">
        <x:v>blank page after reload</x:v>
      </x:c>
      <x:c r="D63" s="8" t="str">
        <x:v>open case 1055; repeat after cold start.</x:v>
      </x:c>
      <x:c r="E63" s="8" t="str">
        <x:v>set explicit user agent</x:v>
      </x:c>
      <x:c r="F63" s="8" t="str">
        <x:v>Mei</x:v>
      </x:c>
      <x:c r="G63" s="8" t="str">
        <x:v>investigating</x:v>
      </x:c>
      <x:c r="H63" s="8" t="str">
        <x:v>P3</x:v>
      </x:c>
      <x:c r="I63" s="8" t="str">
        <x:v>2026-02-01</x:v>
      </x:c>
      <x:c r="J63" s="8" t="str">
        <x:v>2026-04-27</x:v>
      </x:c>
      <x:c r="K63" s="8"/>
      <x:c r="L63" s="8" t="str">
        <x:v>A blank cell here is intentional. The source workbook has notes placed away from the nearest table.</x:v>
      </x:c>
      <x:c r="M63" s="8"/>
    </x:row>
    <x:row r="64">
      <x:c r="A64" s="8" t="str">
        <x:v>cookies</x:v>
      </x:c>
      <x:c r="B64" s="8" t="str">
        <x:v>Linux</x:v>
      </x:c>
      <x:c r="C64" s="8" t="str">
        <x:v>focus leaves native control</x:v>
      </x:c>
      <x:c r="D64" s="8"/>
      <x:c r="E64" s="8" t="str">
        <x:v>retry after NavigationCompleted</x:v>
      </x:c>
      <x:c r="F64" s="8" t="str">
        <x:v>Asha</x:v>
      </x:c>
      <x:c r="G64" s="8" t="str">
        <x:v>resolved</x:v>
      </x:c>
      <x:c r="H64" s="8" t="str">
        <x:v>P1</x:v>
      </x:c>
      <x:c r="I64" s="8" t="str">
        <x:v>2026-03-01</x:v>
      </x:c>
      <x:c r="J64" s="8" t="str">
        <x:v>2026-05-20</x:v>
      </x:c>
      <x:c r="K64" s="8" t="str">
        <x:v>https://github.com/react-native-webview/react-native-webview</x:v>
      </x:c>
      <x:c r="L64" s="8" t="str">
        <x:v>Follow-up: compare the result when the network security policy is relaxed versus when it is enforced.</x:v>
      </x:c>
      <x:c r="M64" s="8"/>
    </x:row>
    <x:row r="65">
      <x:c r="A65" s="8" t="str">
        <x:v>rendering</x:v>
      </x:c>
      <x:c r="B65" s="8" t="str">
        <x:v>Linux</x:v>
      </x:c>
      <x:c r="C65" s="8" t="str">
        <x:v>console event missing</x:v>
      </x:c>
      <x:c r="D65" s="8" t="str">
        <x:v>open case 1057; repeat after offline toggle.</x:v>
      </x:c>
      <x:c r="E65" s="8" t="str">
        <x:v>retry after NavigationCompleted</x:v>
      </x:c>
      <x:c r="F65" s="8" t="str">
        <x:v>Asha</x:v>
      </x:c>
      <x:c r="G65" s="8" t="str">
        <x:v>investigating</x:v>
      </x:c>
      <x:c r="H65" s="8" t="str">
        <x:v>P3</x:v>
      </x:c>
      <x:c r="I65" s="8" t="str">
        <x:v>2026-04-01</x:v>
      </x:c>
      <x:c r="J65" s="8" t="str">
        <x:v>2026-06-21</x:v>
      </x:c>
      <x:c r="K65" s="8"/>
      <x:c r="L65" s="8" t="str">
        <x:v>Observed in a local test run: the content rendered, but the console warning appeared twice.</x:v>
      </x:c>
      <x:c r="M65" s="8"/>
    </x:row>
    <x:row r="66">
      <x:c r="A66" s="8" t="str">
        <x:v>cookies</x:v>
      </x:c>
      <x:c r="B66" s="8" t="str">
        <x:v>Android</x:v>
      </x:c>
      <x:c r="C66" s="8" t="str">
        <x:v>large response times out</x:v>
      </x:c>
      <x:c r="D66" s="8" t="str">
        <x:v>open case 1058; repeat after offline toggle.</x:v>
      </x:c>
      <x:c r="E66" s="8" t="str">
        <x:v>retry after NavigationCompleted</x:v>
      </x:c>
      <x:c r="F66" s="8" t="str">
        <x:v>No owner</x:v>
      </x:c>
      <x:c r="G66" s="8" t="str">
        <x:v>open</x:v>
      </x:c>
      <x:c r="H66" s="8" t="str">
        <x:v>P3</x:v>
      </x:c>
      <x:c r="I66" s="8" t="str">
        <x:v>2026-05-01</x:v>
      </x:c>
      <x:c r="J66" s="8" t="str">
        <x:v>2026-07-22</x:v>
      </x:c>
      <x:c r="K66" s="8" t="str">
        <x:v>https://github.com/react-native-webview/react-native-webview</x:v>
      </x:c>
      <x:c r="L66" s="8" t="str">
        <x:v>Verify behavior on a cold start and after the page reloads without destroying the native view.</x:v>
      </x:c>
      <x:c r="M66" s="8"/>
    </x:row>
    <x:row r="67">
      <x:c r="A67" s="8" t="str">
        <x:v>network</x:v>
      </x:c>
      <x:c r="B67" s="8" t="str">
        <x:v>macOS</x:v>
      </x:c>
      <x:c r="C67" s="8" t="str">
        <x:v>resource blocked by policy</x:v>
      </x:c>
      <x:c r="D67" s="8"/>
      <x:c r="E67" s="8" t="str">
        <x:v>set explicit user agent</x:v>
      </x:c>
      <x:c r="F67" s="8" t="str">
        <x:v>No owner</x:v>
      </x:c>
      <x:c r="G67" s="8" t="str">
        <x:v>open</x:v>
      </x:c>
      <x:c r="H67" s="8" t="str">
        <x:v>P2</x:v>
      </x:c>
      <x:c r="I67" s="8" t="str">
        <x:v>2026-06-01</x:v>
      </x:c>
      <x:c r="J67" s="8" t="str">
        <x:v>2026-08-23</x:v>
      </x:c>
      <x:c r="K67" s="8" t="str">
        <x:v>https://learn.microsoft.com/en-us/microsoft-edge/webview2/concepts/security</x:v>
      </x:c>
      <x:c r="L67" s="8"/>
      <x:c r="M67" s="8"/>
    </x:row>
    <x:row r="68">
      <x:c r="A68" s="8" t="str">
        <x:v>download</x:v>
      </x:c>
      <x:c r="B68" s="8" t="str">
        <x:v>iOS</x:v>
      </x:c>
      <x:c r="C68" s="8" t="str">
        <x:v>resource blocked by policy</x:v>
      </x:c>
      <x:c r="D68" s="8"/>
      <x:c r="E68" s="8" t="str">
        <x:v>increase timeout</x:v>
      </x:c>
      <x:c r="F68" s="8" t="str">
        <x:v>Mei</x:v>
      </x:c>
      <x:c r="G68" s="8" t="str">
        <x:v>investigating</x:v>
      </x:c>
      <x:c r="H68" s="8" t="str">
        <x:v>P0</x:v>
      </x:c>
      <x:c r="I68" s="8" t="str">
        <x:v>2026-07-01</x:v>
      </x:c>
      <x:c r="J68" s="8" t="str">
        <x:v>2026-09-24</x:v>
      </x:c>
      <x:c r="K68" s="8"/>
      <x:c r="L68" s="8" t="str">
        <x:v>Verify behavior on a cold start and after the page reloads without destroying the native view.</x:v>
      </x:c>
      <x:c r="M68" s="8"/>
    </x:row>
    <x:row r="69">
      <x:c r="A69" s="8" t="str">
        <x:v>input</x:v>
      </x:c>
      <x:c r="B69" s="8" t="str">
        <x:v>Windows</x:v>
      </x:c>
      <x:c r="C69" s="8" t="str">
        <x:v>resource blocked by policy</x:v>
      </x:c>
      <x:c r="D69" s="8"/>
      <x:c r="E69" s="8" t="str">
        <x:v>reproduce on clean profile</x:v>
      </x:c>
      <x:c r="F69" s="8" t="str">
        <x:v>No owner</x:v>
      </x:c>
      <x:c r="G69" s="8" t="str">
        <x:v>resolved</x:v>
      </x:c>
      <x:c r="H69" s="8" t="str">
        <x:v>P1</x:v>
      </x:c>
      <x:c r="I69" s="8" t="str">
        <x:v>2026-08-01</x:v>
      </x:c>
      <x:c r="J69" s="8" t="str">
        <x:v>2026-01-25</x:v>
      </x:c>
      <x:c r="K69" s="8"/>
      <x:c r="L69" s="8" t="str">
        <x:v>The bridge callback is stable for small payloads, but large JSON messages show visible delay during navigation.</x:v>
      </x:c>
      <x:c r="M69" s="8"/>
    </x:row>
    <x:row r="70">
      <x:c r="A70" s="8"/>
      <x:c r="B70" s="8"/>
      <x:c r="C70" s="8"/>
      <x:c r="D70" s="8"/>
      <x:c r="E70" s="8"/>
      <x:c r="F70" s="8"/>
      <x:c r="G70" s="8"/>
      <x:c r="H70" s="8"/>
      <x:c r="I70" s="8"/>
      <x:c r="J70" s="8"/>
      <x:c r="K70" s="8"/>
      <x:c r="L70" s="8"/>
      <x:c r="M70" s="8"/>
    </x:row>
    <x:row r="71">
      <x:c r="A71" s="8" t="str">
        <x:v>network</x:v>
      </x:c>
      <x:c r="B71" s="8" t="str">
        <x:v>iOS</x:v>
      </x:c>
      <x:c r="C71" s="8" t="str">
        <x:v>resource blocked by policy</x:v>
      </x:c>
      <x:c r="D71" s="8"/>
      <x:c r="E71" s="8" t="str">
        <x:v>retry after NavigationCompleted</x:v>
      </x:c>
      <x:c r="F71" s="8" t="str">
        <x:v>Ben</x:v>
      </x:c>
      <x:c r="G71" s="8" t="str">
        <x:v>resolved</x:v>
      </x:c>
      <x:c r="H71" s="8" t="str">
        <x:v>P1</x:v>
      </x:c>
      <x:c r="I71" s="8" t="str">
        <x:v>2026-09-01</x:v>
      </x:c>
      <x:c r="J71" s="8" t="str">
        <x:v>2026-02-26</x:v>
      </x:c>
      <x:c r="K71" s="8"/>
      <x:c r="L71" s="8"/>
      <x:c r="M71" s="8"/>
    </x:row>
    <x:row r="72">
      <x:c r="A72" s="8" t="str">
        <x:v>cookies</x:v>
      </x:c>
      <x:c r="B72" s="8" t="str">
        <x:v>Android</x:v>
      </x:c>
      <x:c r="C72" s="8" t="str">
        <x:v>blank page after reload</x:v>
      </x:c>
      <x:c r="D72" s="8"/>
      <x:c r="E72" s="8" t="str">
        <x:v>set explicit user agent</x:v>
      </x:c>
      <x:c r="F72" s="8" t="str">
        <x:v>Diego</x:v>
      </x:c>
      <x:c r="G72" s="8" t="str">
        <x:v>needs reproduction</x:v>
      </x:c>
      <x:c r="H72" s="8" t="str">
        <x:v>P2</x:v>
      </x:c>
      <x:c r="I72" s="8" t="str">
        <x:v>2026-01-01</x:v>
      </x:c>
      <x:c r="J72" s="8" t="str">
        <x:v>2026-03-27</x:v>
      </x:c>
      <x:c r="K72" s="8" t="str">
        <x:v>https://learn.microsoft.com/en-us/microsoft-edge/webview2/concepts/security</x:v>
      </x:c>
      <x:c r="L72" s="8"/>
      <x:c r="M72" s="8"/>
    </x:row>
    <x:row r="73">
      <x:c r="A73" s="8" t="str">
        <x:v>download</x:v>
      </x:c>
      <x:c r="B73" s="8" t="str">
        <x:v>iOS</x:v>
      </x:c>
      <x:c r="C73" s="8" t="str">
        <x:v>focus leaves native control</x:v>
      </x:c>
      <x:c r="D73" s="8"/>
      <x:c r="E73" s="8" t="str">
        <x:v>retry after NavigationCompleted</x:v>
      </x:c>
      <x:c r="F73" s="8" t="str">
        <x:v>Asha</x:v>
      </x:c>
      <x:c r="G73" s="8" t="str">
        <x:v>investigating</x:v>
      </x:c>
      <x:c r="H73" s="8" t="str">
        <x:v>P3</x:v>
      </x:c>
      <x:c r="I73" s="8" t="str">
        <x:v>2026-02-01</x:v>
      </x:c>
      <x:c r="J73" s="8" t="str">
        <x:v>2026-04-20</x:v>
      </x:c>
      <x:c r="K73" s="8" t="str">
        <x:v>https://developer.microsoft.com/en-us/microsoft-edge/webview2/</x:v>
      </x:c>
      <x:c r="L73" s="8" t="str">
        <x:v>The owner field was not captured in the original notes, so classification should remain conservative.</x:v>
      </x:c>
      <x:c r="M73" s="8"/>
    </x:row>
    <x:row r="74">
      <x:c r="A74" s="8" t="str">
        <x:v>network</x:v>
      </x:c>
      <x:c r="B74" s="8" t="str">
        <x:v>Windows</x:v>
      </x:c>
      <x:c r="C74" s="8" t="str">
        <x:v>focus leaves native control</x:v>
      </x:c>
      <x:c r="D74" s="8" t="str">
        <x:v>open case 1065; repeat after cold start.</x:v>
      </x:c>
      <x:c r="E74" s="8" t="str">
        <x:v>increase timeout</x:v>
      </x:c>
      <x:c r="F74" s="8" t="str">
        <x:v>Ben</x:v>
      </x:c>
      <x:c r="G74" s="8" t="str">
        <x:v>resolved</x:v>
      </x:c>
      <x:c r="H74" s="8" t="str">
        <x:v>P0</x:v>
      </x:c>
      <x:c r="I74" s="8" t="str">
        <x:v>2026-03-01</x:v>
      </x:c>
      <x:c r="J74" s="8" t="str">
        <x:v>2026-05-21</x:v>
      </x:c>
      <x:c r="K74" s="8" t="str">
        <x:v>https://developer.microsoft.com/en-us/microsoft-edge/webview2/</x:v>
      </x:c>
      <x:c r="L74" s="8" t="str">
        <x:v>The owner field was not captured in the original notes, so classification should remain conservative.</x:v>
      </x:c>
      <x:c r="M74" s="8"/>
    </x:row>
    <x:row r="75">
      <x:c r="A75" s="8" t="str">
        <x:v>rendering</x:v>
      </x:c>
      <x:c r="B75" s="8" t="str">
        <x:v>Linux</x:v>
      </x:c>
      <x:c r="C75" s="8" t="str">
        <x:v>blank page after reload</x:v>
      </x:c>
      <x:c r="D75" s="8" t="str">
        <x:v>open case 1066; repeat after reload.</x:v>
      </x:c>
      <x:c r="E75" s="8" t="str">
        <x:v>none yet</x:v>
      </x:c>
      <x:c r="F75" s="8" t="str">
        <x:v>Ben</x:v>
      </x:c>
      <x:c r="G75" s="8" t="str">
        <x:v>resolved</x:v>
      </x:c>
      <x:c r="H75" s="8" t="str">
        <x:v>P2</x:v>
      </x:c>
      <x:c r="I75" s="8" t="str">
        <x:v>2026-04-01</x:v>
      </x:c>
      <x:c r="J75" s="8" t="str">
        <x:v>2026-06-22</x:v>
      </x:c>
      <x:c r="K75" s="8"/>
      <x:c r="L75" s="8" t="str">
        <x:v>This sentence is long enough to exercise wrapping and downstream chunk boundaries in Markdown output.</x:v>
      </x:c>
      <x:c r="M75" s="8"/>
    </x:row>
    <x:row r="76">
      <x:c r="A76" s="8" t="str">
        <x:v>network</x:v>
      </x:c>
      <x:c r="B76" s="8" t="str">
        <x:v>macOS</x:v>
      </x:c>
      <x:c r="C76" s="8" t="str">
        <x:v>blank page after reload</x:v>
      </x:c>
      <x:c r="D76" s="8"/>
      <x:c r="E76" s="8" t="str">
        <x:v>set explicit user agent</x:v>
      </x:c>
      <x:c r="F76" s="8" t="str">
        <x:v>Ben</x:v>
      </x:c>
      <x:c r="G76" s="8" t="str">
        <x:v>open</x:v>
      </x:c>
      <x:c r="H76" s="8" t="str">
        <x:v>P1</x:v>
      </x:c>
      <x:c r="I76" s="8" t="str">
        <x:v>2026-05-01</x:v>
      </x:c>
      <x:c r="J76" s="8" t="str">
        <x:v>2026-07-23</x:v>
      </x:c>
      <x:c r="K76" s="8" t="str">
        <x:v>https://developer.microsoft.com/en-us/microsoft-edge/webview2/</x:v>
      </x:c>
      <x:c r="L76" s="8"/>
      <x:c r="M76" s="8"/>
    </x:row>
    <x:row r="77">
      <x:c r="A77" s="8" t="str">
        <x:v>input</x:v>
      </x:c>
      <x:c r="B77" s="8" t="str">
        <x:v>Android</x:v>
      </x:c>
      <x:c r="C77" s="8" t="str">
        <x:v>blank page after reload</x:v>
      </x:c>
      <x:c r="D77" s="8"/>
      <x:c r="E77" s="8" t="str">
        <x:v>reproduce on clean profile</x:v>
      </x:c>
      <x:c r="F77" s="8" t="str">
        <x:v>Ben</x:v>
      </x:c>
      <x:c r="G77" s="8" t="str">
        <x:v>investigating</x:v>
      </x:c>
      <x:c r="H77" s="8" t="str">
        <x:v>P2</x:v>
      </x:c>
      <x:c r="I77" s="8" t="str">
        <x:v>2026-06-01</x:v>
      </x:c>
      <x:c r="J77" s="8" t="str">
        <x:v>2026-08-24</x:v>
      </x:c>
      <x:c r="K77" s="8"/>
      <x:c r="L77" s="8" t="str">
        <x:v>Potential duplicate: this paragraph is repeated in another section to test deduplication and chunk metadata.</x:v>
      </x:c>
      <x:c r="M77" s="8"/>
    </x:row>
    <x:row r="78">
      <x:c r="A78" s="8" t="str">
        <x:v>input</x:v>
      </x:c>
      <x:c r="B78" s="8" t="str">
        <x:v>Windows</x:v>
      </x:c>
      <x:c r="C78" s="8" t="str">
        <x:v>blank page after reload</x:v>
      </x:c>
      <x:c r="D78" s="8" t="str">
        <x:v>open case 1069; repeat after offline toggle.</x:v>
      </x:c>
      <x:c r="E78" s="8" t="str">
        <x:v>none yet</x:v>
      </x:c>
      <x:c r="F78" s="8" t="str">
        <x:v>No owner</x:v>
      </x:c>
      <x:c r="G78" s="8" t="str">
        <x:v>open</x:v>
      </x:c>
      <x:c r="H78" s="8" t="str">
        <x:v>P2</x:v>
      </x:c>
      <x:c r="I78" s="8" t="str">
        <x:v>2026-07-01</x:v>
      </x:c>
      <x:c r="J78" s="8" t="str">
        <x:v>2026-09-25</x:v>
      </x:c>
      <x:c r="K78" s="8" t="str">
        <x:v>https://learn.microsoft.com/en-us/microsoft-edge/webview2/concepts/security</x:v>
      </x:c>
      <x:c r="L78" s="8" t="str">
        <x:v>Observed in a local test run: the content rendered, but the console warning appeared twice.</x:v>
      </x:c>
      <x:c r="M78" s="8"/>
    </x:row>
    <x:row r="79">
      <x:c r="A79" s="8" t="str">
        <x:v>rendering</x:v>
      </x:c>
      <x:c r="B79" s="8" t="str">
        <x:v>Windows</x:v>
      </x:c>
      <x:c r="C79" s="8" t="str">
        <x:v>focus leaves native control</x:v>
      </x:c>
      <x:c r="D79" s="8" t="str">
        <x:v>open case 1070; repeat after sleep.</x:v>
      </x:c>
      <x:c r="E79" s="8" t="str">
        <x:v>use a bridge queue</x:v>
      </x:c>
      <x:c r="F79" s="8" t="str">
        <x:v>Ben</x:v>
      </x:c>
      <x:c r="G79" s="8" t="str">
        <x:v>needs reproduction</x:v>
      </x:c>
      <x:c r="H79" s="8" t="str">
        <x:v>P1</x:v>
      </x:c>
      <x:c r="I79" s="8" t="str">
        <x:v>2026-08-01</x:v>
      </x:c>
      <x:c r="J79" s="8" t="str">
        <x:v>2026-01-26</x:v>
      </x:c>
      <x:c r="K79" s="8" t="str">
        <x:v>https://developer.microsoft.com/en-us/microsoft-edge/webview2/</x:v>
      </x:c>
      <x:c r="L79" s="8" t="str">
        <x:v>Potential duplicate: this paragraph is repeated in another section to test deduplication and chunk metadata.</x:v>
      </x:c>
      <x:c r="M79" s="8"/>
    </x:row>
    <x:row r="80">
      <x:c r="A80" s="8" t="str">
        <x:v>cookies</x:v>
      </x:c>
      <x:c r="B80" s="8" t="str">
        <x:v>macOS</x:v>
      </x:c>
      <x:c r="C80" s="8" t="str">
        <x:v>resource blocked by policy</x:v>
      </x:c>
      <x:c r="D80" s="8"/>
      <x:c r="E80" s="8" t="str">
        <x:v>use a bridge queue</x:v>
      </x:c>
      <x:c r="F80" s="8" t="str">
        <x:v>Ben</x:v>
      </x:c>
      <x:c r="G80" s="8" t="str">
        <x:v>resolved</x:v>
      </x:c>
      <x:c r="H80" s="8" t="str">
        <x:v>P3</x:v>
      </x:c>
      <x:c r="I80" s="8" t="str">
        <x:v>2026-09-01</x:v>
      </x:c>
      <x:c r="J80" s="8" t="str">
        <x:v>2026-02-27</x:v>
      </x:c>
      <x:c r="K80" s="8" t="str">
        <x:v>https://github.com/react-native-webview/react-native-webview</x:v>
      </x:c>
      <x:c r="L80" s="8" t="str">
        <x:v>The bridge callback is stable for small payloads, but large JSON messages show visible delay during navigation.</x:v>
      </x:c>
      <x:c r="M80" s="8"/>
    </x:row>
    <x:row r="81">
      <x:c r="A81" s="8" t="str">
        <x:v>input</x:v>
      </x:c>
      <x:c r="B81" s="8" t="str">
        <x:v>Android</x:v>
      </x:c>
      <x:c r="C81" s="8" t="str">
        <x:v>scroll offset resets</x:v>
      </x:c>
      <x:c r="D81" s="8" t="str">
        <x:v>open case 1072; repeat after sleep.</x:v>
      </x:c>
      <x:c r="E81" s="8" t="str">
        <x:v>set explicit user agent</x:v>
      </x:c>
      <x:c r="F81" s="8" t="str">
        <x:v>Ben</x:v>
      </x:c>
      <x:c r="G81" s="8" t="str">
        <x:v>needs reproduction</x:v>
      </x:c>
      <x:c r="H81" s="8" t="str">
        <x:v>P3</x:v>
      </x:c>
      <x:c r="I81" s="8" t="str">
        <x:v>2026-01-01</x:v>
      </x:c>
      <x:c r="J81" s="8" t="str">
        <x:v>2026-03-20</x:v>
      </x:c>
      <x:c r="K81" s="8" t="str">
        <x:v>https://developer.apple.com/documentation/webkit/wkwebview</x:v>
      </x:c>
      <x:c r="L81" s="8"/>
      <x:c r="M81" s="8"/>
    </x:row>
    <x:row r="82">
      <x:c r="A82" s="8" t="str">
        <x:v>network</x:v>
      </x:c>
      <x:c r="B82" s="8" t="str">
        <x:v>macOS</x:v>
      </x:c>
      <x:c r="C82" s="8" t="str">
        <x:v>scroll offset resets</x:v>
      </x:c>
      <x:c r="D82" s="8" t="str">
        <x:v>open case 1073; repeat after sleep.</x:v>
      </x:c>
      <x:c r="E82" s="8" t="str">
        <x:v>none yet</x:v>
      </x:c>
      <x:c r="F82" s="8" t="str">
        <x:v>Diego</x:v>
      </x:c>
      <x:c r="G82" s="8" t="str">
        <x:v>open</x:v>
      </x:c>
      <x:c r="H82" s="8" t="str">
        <x:v>P2</x:v>
      </x:c>
      <x:c r="I82" s="8" t="str">
        <x:v>2026-02-01</x:v>
      </x:c>
      <x:c r="J82" s="8" t="str">
        <x:v>2026-04-21</x:v>
      </x:c>
      <x:c r="K82" s="8"/>
      <x:c r="L82" s="8"/>
      <x:c r="M82" s="8"/>
    </x:row>
    <x:row r="83">
      <x:c r="A83" s="8" t="str">
        <x:v>download</x:v>
      </x:c>
      <x:c r="B83" s="8" t="str">
        <x:v>iOS</x:v>
      </x:c>
      <x:c r="C83" s="8" t="str">
        <x:v>blank page after reload</x:v>
      </x:c>
      <x:c r="D83" s="8" t="str">
        <x:v>open case 1074; repeat after cold start.</x:v>
      </x:c>
      <x:c r="E83" s="8" t="str">
        <x:v>retry after NavigationCompleted</x:v>
      </x:c>
      <x:c r="F83" s="8" t="str">
        <x:v>Mei</x:v>
      </x:c>
      <x:c r="G83" s="8" t="str">
        <x:v>blocked</x:v>
      </x:c>
      <x:c r="H83" s="8" t="str">
        <x:v>P1</x:v>
      </x:c>
      <x:c r="I83" s="8" t="str">
        <x:v>2026-03-01</x:v>
      </x:c>
      <x:c r="J83" s="8" t="str">
        <x:v>2026-05-22</x:v>
      </x:c>
      <x:c r="K83" s="8"/>
      <x:c r="L83" s="8" t="str">
        <x:v>The bridge callback is stable for small payloads, but large JSON messages show visible delay during navigation.</x:v>
      </x:c>
      <x:c r="M83" s="8"/>
    </x:row>
    <x:row r="84">
      <x:c r="A84" s="8" t="str">
        <x:v>rendering</x:v>
      </x:c>
      <x:c r="B84" s="8" t="str">
        <x:v>macOS</x:v>
      </x:c>
      <x:c r="C84" s="8" t="str">
        <x:v>large response times out</x:v>
      </x:c>
      <x:c r="D84" s="8"/>
      <x:c r="E84" s="8" t="str">
        <x:v>set explicit user agent</x:v>
      </x:c>
      <x:c r="F84" s="8" t="str">
        <x:v>Mei</x:v>
      </x:c>
      <x:c r="G84" s="8" t="str">
        <x:v>open</x:v>
      </x:c>
      <x:c r="H84" s="8" t="str">
        <x:v>P3</x:v>
      </x:c>
      <x:c r="I84" s="8" t="str">
        <x:v>2026-04-01</x:v>
      </x:c>
      <x:c r="J84" s="8" t="str">
        <x:v>2026-06-23</x:v>
      </x:c>
      <x:c r="K84" s="8" t="str">
        <x:v>https://developer.apple.com/documentation/webkit/wkwebview</x:v>
      </x:c>
      <x:c r="L84" s="8"/>
      <x:c r="M84" s="8"/>
    </x:row>
    <x:row r="85">
      <x:c r="A85" s="8" t="str">
        <x:v>cookies</x:v>
      </x:c>
      <x:c r="B85" s="8" t="str">
        <x:v>Android</x:v>
      </x:c>
      <x:c r="C85" s="8" t="str">
        <x:v>scroll offset resets</x:v>
      </x:c>
      <x:c r="D85" s="8"/>
      <x:c r="E85" s="8" t="str">
        <x:v>increase timeout</x:v>
      </x:c>
      <x:c r="F85" s="8" t="str">
        <x:v>Carla</x:v>
      </x:c>
      <x:c r="G85" s="8" t="str">
        <x:v>resolved</x:v>
      </x:c>
      <x:c r="H85" s="8" t="str">
        <x:v>P0</x:v>
      </x:c>
      <x:c r="I85" s="8" t="str">
        <x:v>2026-05-01</x:v>
      </x:c>
      <x:c r="J85" s="8" t="str">
        <x:v>2026-07-24</x:v>
      </x:c>
      <x:c r="K85" s="8"/>
      <x:c r="L85" s="8"/>
      <x:c r="M85" s="8"/>
    </x:row>
    <x:row r="86">
      <x:c r="A86" s="8" t="str">
        <x:v>input</x:v>
      </x:c>
      <x:c r="B86" s="8" t="str">
        <x:v>Windows</x:v>
      </x:c>
      <x:c r="C86" s="8" t="str">
        <x:v>scroll offset resets</x:v>
      </x:c>
      <x:c r="D86" s="8"/>
      <x:c r="E86" s="8" t="str">
        <x:v>retry after NavigationCompleted</x:v>
      </x:c>
      <x:c r="F86" s="8" t="str">
        <x:v>Mei</x:v>
      </x:c>
      <x:c r="G86" s="8" t="str">
        <x:v>resolved</x:v>
      </x:c>
      <x:c r="H86" s="8" t="str">
        <x:v>P0</x:v>
      </x:c>
      <x:c r="I86" s="8" t="str">
        <x:v>2026-06-01</x:v>
      </x:c>
      <x:c r="J86" s="8" t="str">
        <x:v>2026-08-25</x:v>
      </x:c>
      <x:c r="K86" s="8"/>
      <x:c r="L86" s="8"/>
      <x:c r="M86" s="8"/>
    </x:row>
    <x:row r="87">
      <x:c r="A87" s="8" t="str">
        <x:v>rendering</x:v>
      </x:c>
      <x:c r="B87" s="8" t="str">
        <x:v>Linux</x:v>
      </x:c>
      <x:c r="C87" s="8" t="str">
        <x:v>large response times out</x:v>
      </x:c>
      <x:c r="D87" s="8" t="str">
        <x:v>open case 1078; repeat after sleep.</x:v>
      </x:c>
      <x:c r="E87" s="8" t="str">
        <x:v>set explicit user agent</x:v>
      </x:c>
      <x:c r="F87" s="8" t="str">
        <x:v>Carla</x:v>
      </x:c>
      <x:c r="G87" s="8" t="str">
        <x:v>resolved</x:v>
      </x:c>
      <x:c r="H87" s="8" t="str">
        <x:v>P2</x:v>
      </x:c>
      <x:c r="I87" s="8" t="str">
        <x:v>2026-07-01</x:v>
      </x:c>
      <x:c r="J87" s="8" t="str">
        <x:v>2026-09-26</x:v>
      </x:c>
      <x:c r="K87" s="8" t="str">
        <x:v>https://developer.microsoft.com/en-us/microsoft-edge/webview2/</x:v>
      </x:c>
      <x:c r="L87" s="8"/>
      <x:c r="M87" s="8"/>
    </x:row>
    <x:row r="88">
      <x:c r="A88" s="8" t="str">
        <x:v>cookies</x:v>
      </x:c>
      <x:c r="B88" s="8" t="str">
        <x:v>Android</x:v>
      </x:c>
      <x:c r="C88" s="8" t="str">
        <x:v>resource blocked by policy</x:v>
      </x:c>
      <x:c r="D88" s="8"/>
      <x:c r="E88" s="8" t="str">
        <x:v>set explicit user agent</x:v>
      </x:c>
      <x:c r="F88" s="8" t="str">
        <x:v>Asha</x:v>
      </x:c>
      <x:c r="G88" s="8" t="str">
        <x:v>resolved</x:v>
      </x:c>
      <x:c r="H88" s="8" t="str">
        <x:v>P3</x:v>
      </x:c>
      <x:c r="I88" s="8" t="str">
        <x:v>2026-08-01</x:v>
      </x:c>
      <x:c r="J88" s="8" t="str">
        <x:v>2026-01-27</x:v>
      </x:c>
      <x:c r="K88" s="8" t="str">
        <x:v>https://learn.microsoft.com/en-us/microsoft-edge/webview2/concepts/security</x:v>
      </x:c>
      <x:c r="L88" s="8"/>
      <x:c r="M88" s="8"/>
    </x:row>
    <x:row r="89">
      <x:c r="A89" s="8" t="str">
        <x:v>input</x:v>
      </x:c>
      <x:c r="B89" s="8" t="str">
        <x:v>iOS</x:v>
      </x:c>
      <x:c r="C89" s="8" t="str">
        <x:v>blank page after reload</x:v>
      </x:c>
      <x:c r="D89" s="8" t="str">
        <x:v>open case 1080; repeat after sleep.</x:v>
      </x:c>
      <x:c r="E89" s="8" t="str">
        <x:v>retry after NavigationCompleted</x:v>
      </x:c>
      <x:c r="F89" s="8" t="str">
        <x:v>Ben</x:v>
      </x:c>
      <x:c r="G89" s="8" t="str">
        <x:v>investigating</x:v>
      </x:c>
      <x:c r="H89" s="8" t="str">
        <x:v>P3</x:v>
      </x:c>
      <x:c r="I89" s="8" t="str">
        <x:v>2026-09-01</x:v>
      </x:c>
      <x:c r="J89" s="8" t="str">
        <x:v>2026-02-20</x:v>
      </x:c>
      <x:c r="K89" s="8"/>
      <x:c r="L89" s="8" t="str">
        <x:v>Verify behavior on a cold start and after the page reloads without destroying the native view.</x:v>
      </x:c>
      <x:c r="M89" s="8"/>
    </x:row>
    <x:row r="90">
      <x:c r="A90" s="8" t="str">
        <x:v>input</x:v>
      </x:c>
      <x:c r="B90" s="8" t="str">
        <x:v>Windows</x:v>
      </x:c>
      <x:c r="C90" s="8" t="str">
        <x:v>blank page after reload</x:v>
      </x:c>
      <x:c r="D90" s="8" t="str">
        <x:v>open case 1081; repeat after offline toggle.</x:v>
      </x:c>
      <x:c r="E90" s="8" t="str">
        <x:v>retry after NavigationCompleted</x:v>
      </x:c>
      <x:c r="F90" s="8" t="str">
        <x:v>No owner</x:v>
      </x:c>
      <x:c r="G90" s="8" t="str">
        <x:v>investigating</x:v>
      </x:c>
      <x:c r="H90" s="8" t="str">
        <x:v>P3</x:v>
      </x:c>
      <x:c r="I90" s="8" t="str">
        <x:v>2026-01-01</x:v>
      </x:c>
      <x:c r="J90" s="8" t="str">
        <x:v>2026-03-21</x:v>
      </x:c>
      <x:c r="K90" s="8" t="str">
        <x:v>https://developer.microsoft.com/en-us/microsoft-edge/webview2/</x:v>
      </x:c>
      <x:c r="L90" s="8" t="str">
        <x:v>Observed in a local test run: the content rendered, but the console warning appeared twice.</x:v>
      </x:c>
      <x:c r="M90" s="8"/>
    </x:row>
    <x:row r="91">
      <x:c r="A91" s="8" t="str">
        <x:v>cookies</x:v>
      </x:c>
      <x:c r="B91" s="8" t="str">
        <x:v>Android</x:v>
      </x:c>
      <x:c r="C91" s="8" t="str">
        <x:v>focus leaves native control</x:v>
      </x:c>
      <x:c r="D91" s="8" t="str">
        <x:v>open case 1082; repeat after offline toggle.</x:v>
      </x:c>
      <x:c r="E91" s="8" t="str">
        <x:v>none yet</x:v>
      </x:c>
      <x:c r="F91" s="8" t="str">
        <x:v>No owner</x:v>
      </x:c>
      <x:c r="G91" s="8" t="str">
        <x:v>resolved</x:v>
      </x:c>
      <x:c r="H91" s="8" t="str">
        <x:v>P0</x:v>
      </x:c>
      <x:c r="I91" s="8" t="str">
        <x:v>2026-02-01</x:v>
      </x:c>
      <x:c r="J91" s="8" t="str">
        <x:v>2026-04-22</x:v>
      </x:c>
      <x:c r="K91" s="8" t="str">
        <x:v>https://developer.apple.com/documentation/webkit/wkwebview</x:v>
      </x:c>
      <x:c r="L91" s="8" t="str">
        <x:v>Observed in a local test run: the content rendered, but the console warning appeared twice.</x:v>
      </x:c>
      <x:c r="M91" s="8"/>
    </x:row>
    <x:row r="92">
      <x:c r="A92" s="8" t="str">
        <x:v>rendering</x:v>
      </x:c>
      <x:c r="B92" s="8" t="str">
        <x:v>Windows</x:v>
      </x:c>
      <x:c r="C92" s="8" t="str">
        <x:v>scroll offset resets</x:v>
      </x:c>
      <x:c r="D92" s="8" t="str">
        <x:v>open case 1083; repeat after offline toggle.</x:v>
      </x:c>
      <x:c r="E92" s="8" t="str">
        <x:v>none yet</x:v>
      </x:c>
      <x:c r="F92" s="8" t="str">
        <x:v>Asha</x:v>
      </x:c>
      <x:c r="G92" s="8" t="str">
        <x:v>needs reproduction</x:v>
      </x:c>
      <x:c r="H92" s="8" t="str">
        <x:v>P1</x:v>
      </x:c>
      <x:c r="I92" s="8" t="str">
        <x:v>2026-03-01</x:v>
      </x:c>
      <x:c r="J92" s="8" t="str">
        <x:v>2026-05-23</x:v>
      </x:c>
      <x:c r="K92" s="8"/>
      <x:c r="L92" s="8"/>
      <x:c r="M92" s="8"/>
    </x:row>
    <x:row r="93">
      <x:c r="A93" s="8" t="str">
        <x:v>input</x:v>
      </x:c>
      <x:c r="B93" s="8" t="str">
        <x:v>Linux</x:v>
      </x:c>
      <x:c r="C93" s="8" t="str">
        <x:v>focus leaves native control</x:v>
      </x:c>
      <x:c r="D93" s="8" t="str">
        <x:v>open case 1084; repeat after reload.</x:v>
      </x:c>
      <x:c r="E93" s="8" t="str">
        <x:v>set explicit user agent</x:v>
      </x:c>
      <x:c r="F93" s="8" t="str">
        <x:v>Diego</x:v>
      </x:c>
      <x:c r="G93" s="8" t="str">
        <x:v>blocked</x:v>
      </x:c>
      <x:c r="H93" s="8" t="str">
        <x:v>P0</x:v>
      </x:c>
      <x:c r="I93" s="8" t="str">
        <x:v>2026-04-01</x:v>
      </x:c>
      <x:c r="J93" s="8" t="str">
        <x:v>2026-06-24</x:v>
      </x:c>
      <x:c r="K93" s="8" t="str">
        <x:v>https://github.com/react-native-webview/react-native-webview</x:v>
      </x:c>
      <x:c r="L93" s="8" t="str">
        <x:v>Verify behavior on a cold start and after the page reloads without destroying the native view.</x:v>
      </x:c>
      <x:c r="M93" s="8"/>
    </x:row>
    <x:row r="94">
      <x:c r="A94" s="8" t="str">
        <x:v>rendering</x:v>
      </x:c>
      <x:c r="B94" s="8" t="str">
        <x:v>iOS</x:v>
      </x:c>
      <x:c r="C94" s="8" t="str">
        <x:v>large response times out</x:v>
      </x:c>
      <x:c r="D94" s="8" t="str">
        <x:v>open case 1085; repeat after sleep.</x:v>
      </x:c>
      <x:c r="E94" s="8" t="str">
        <x:v>reproduce on clean profile</x:v>
      </x:c>
      <x:c r="F94" s="8" t="str">
        <x:v>Carla</x:v>
      </x:c>
      <x:c r="G94" s="8" t="str">
        <x:v>needs reproduction</x:v>
      </x:c>
      <x:c r="H94" s="8" t="str">
        <x:v>P1</x:v>
      </x:c>
      <x:c r="I94" s="8" t="str">
        <x:v>2026-05-01</x:v>
      </x:c>
      <x:c r="J94" s="8" t="str">
        <x:v>2026-07-25</x:v>
      </x:c>
      <x:c r="K94" s="8"/>
      <x:c r="L94" s="8"/>
      <x:c r="M94" s="8"/>
    </x:row>
    <x:row r="95">
      <x:c r="A95" s="8" t="str">
        <x:v>input</x:v>
      </x:c>
      <x:c r="B95" s="8" t="str">
        <x:v>iOS</x:v>
      </x:c>
      <x:c r="C95" s="8" t="str">
        <x:v>console event missing</x:v>
      </x:c>
      <x:c r="D95" s="8"/>
      <x:c r="E95" s="8" t="str">
        <x:v>reproduce on clean profile</x:v>
      </x:c>
      <x:c r="F95" s="8" t="str">
        <x:v>No owner</x:v>
      </x:c>
      <x:c r="G95" s="8" t="str">
        <x:v>blocked</x:v>
      </x:c>
      <x:c r="H95" s="8" t="str">
        <x:v>P0</x:v>
      </x:c>
      <x:c r="I95" s="8" t="str">
        <x:v>2026-06-01</x:v>
      </x:c>
      <x:c r="J95" s="8" t="str">
        <x:v>2026-08-26</x:v>
      </x:c>
      <x:c r="K95" s="8"/>
      <x:c r="L95" s="8" t="str">
        <x:v>The owner field was not captured in the original notes, so classification should remain conservative.</x:v>
      </x:c>
      <x:c r="M95" s="8"/>
    </x:row>
    <x:row r="96">
      <x:c r="A96" s="8" t="str">
        <x:v>rendering</x:v>
      </x:c>
      <x:c r="B96" s="8" t="str">
        <x:v>Linux</x:v>
      </x:c>
      <x:c r="C96" s="8" t="str">
        <x:v>resource blocked by policy</x:v>
      </x:c>
      <x:c r="D96" s="8" t="str">
        <x:v>open case 1087; repeat after cold start.</x:v>
      </x:c>
      <x:c r="E96" s="8" t="str">
        <x:v>use a bridge queue</x:v>
      </x:c>
      <x:c r="F96" s="8" t="str">
        <x:v>Mei</x:v>
      </x:c>
      <x:c r="G96" s="8" t="str">
        <x:v>blocked</x:v>
      </x:c>
      <x:c r="H96" s="8" t="str">
        <x:v>P2</x:v>
      </x:c>
      <x:c r="I96" s="8" t="str">
        <x:v>2026-07-01</x:v>
      </x:c>
      <x:c r="J96" s="8" t="str">
        <x:v>2026-09-27</x:v>
      </x:c>
      <x:c r="K96" s="8" t="str">
        <x:v>https://developer.apple.com/documentation/webkit/wkwebview</x:v>
      </x:c>
      <x:c r="L96" s="8"/>
      <x:c r="M96" s="8"/>
    </x:row>
    <x:row r="97">
      <x:c r="A97" s="8" t="str">
        <x:v>cookies</x:v>
      </x:c>
      <x:c r="B97" s="8" t="str">
        <x:v>Android</x:v>
      </x:c>
      <x:c r="C97" s="8" t="str">
        <x:v>console event missing</x:v>
      </x:c>
      <x:c r="D97" s="8" t="str">
        <x:v>open case 1088; repeat after sleep.</x:v>
      </x:c>
      <x:c r="E97" s="8" t="str">
        <x:v>reproduce on clean profile</x:v>
      </x:c>
      <x:c r="F97" s="8" t="str">
        <x:v>Carla</x:v>
      </x:c>
      <x:c r="G97" s="8" t="str">
        <x:v>open</x:v>
      </x:c>
      <x:c r="H97" s="8" t="str">
        <x:v>P1</x:v>
      </x:c>
      <x:c r="I97" s="8" t="str">
        <x:v>2026-08-01</x:v>
      </x:c>
      <x:c r="J97" s="8" t="str">
        <x:v>2026-01-20</x:v>
      </x:c>
      <x:c r="K97" s="8"/>
      <x:c r="L97" s="8"/>
      <x:c r="M97" s="8"/>
    </x:row>
    <x:row r="98">
      <x:c r="A98" s="8" t="str">
        <x:v>download</x:v>
      </x:c>
      <x:c r="B98" s="8" t="str">
        <x:v>macOS</x:v>
      </x:c>
      <x:c r="C98" s="8" t="str">
        <x:v>console event missing</x:v>
      </x:c>
      <x:c r="D98" s="8" t="str">
        <x:v>open case 1089; repeat after offline toggle.</x:v>
      </x:c>
      <x:c r="E98" s="8" t="str">
        <x:v>increase timeout</x:v>
      </x:c>
      <x:c r="F98" s="8" t="str">
        <x:v>Ben</x:v>
      </x:c>
      <x:c r="G98" s="8" t="str">
        <x:v>resolved</x:v>
      </x:c>
      <x:c r="H98" s="8" t="str">
        <x:v>P2</x:v>
      </x:c>
      <x:c r="I98" s="8" t="str">
        <x:v>2026-09-01</x:v>
      </x:c>
      <x:c r="J98" s="8" t="str">
        <x:v>2026-02-21</x:v>
      </x:c>
      <x:c r="K98" s="8" t="str">
        <x:v>https://developer.android.com/reference/android/webkit/WebView</x:v>
      </x:c>
      <x:c r="L98" s="8" t="str">
        <x:v>The bridge callback is stable for small payloads, but large JSON messages show visible delay during navigation.</x:v>
      </x:c>
      <x:c r="M98" s="8"/>
    </x:row>
    <x:row r="99">
      <x:c r="A99" s="8" t="str">
        <x:v>network</x:v>
      </x:c>
      <x:c r="B99" s="8" t="str">
        <x:v>Linux</x:v>
      </x:c>
      <x:c r="C99" s="8" t="str">
        <x:v>resource blocked by policy</x:v>
      </x:c>
      <x:c r="D99" s="8" t="str">
        <x:v>open case 1090; repeat after reload.</x:v>
      </x:c>
      <x:c r="E99" s="8" t="str">
        <x:v>increase timeout</x:v>
      </x:c>
      <x:c r="F99" s="8" t="str">
        <x:v>Asha</x:v>
      </x:c>
      <x:c r="G99" s="8" t="str">
        <x:v>blocked</x:v>
      </x:c>
      <x:c r="H99" s="8" t="str">
        <x:v>P0</x:v>
      </x:c>
      <x:c r="I99" s="8" t="str">
        <x:v>2026-01-01</x:v>
      </x:c>
      <x:c r="J99" s="8" t="str">
        <x:v>2026-03-22</x:v>
      </x:c>
      <x:c r="K99" s="8" t="str">
        <x:v>https://github.com/react-native-webview/react-native-webview</x:v>
      </x:c>
      <x:c r="L99" s="8" t="str">
        <x:v>The bridge callback is stable for small payloads, but large JSON messages show visible delay during navigation.</x:v>
      </x:c>
      <x:c r="M99" s="8"/>
    </x:row>
    <x:row r="100">
      <x:c r="A100" s="8" t="str">
        <x:v>input</x:v>
      </x:c>
      <x:c r="B100" s="8" t="str">
        <x:v>Linux</x:v>
      </x:c>
      <x:c r="C100" s="8" t="str">
        <x:v>large response times out</x:v>
      </x:c>
      <x:c r="D100" s="8" t="str">
        <x:v>open case 1091; repeat after sleep.</x:v>
      </x:c>
      <x:c r="E100" s="8" t="str">
        <x:v>increase timeout</x:v>
      </x:c>
      <x:c r="F100" s="8" t="str">
        <x:v>No owner</x:v>
      </x:c>
      <x:c r="G100" s="8" t="str">
        <x:v>open</x:v>
      </x:c>
      <x:c r="H100" s="8" t="str">
        <x:v>P1</x:v>
      </x:c>
      <x:c r="I100" s="8" t="str">
        <x:v>2026-02-01</x:v>
      </x:c>
      <x:c r="J100" s="8" t="str">
        <x:v>2026-04-23</x:v>
      </x:c>
      <x:c r="K100" s="8" t="str">
        <x:v>https://developer.android.com/reference/android/webkit/WebView</x:v>
      </x:c>
      <x:c r="L100" s="8" t="str">
        <x:v>This sentence is long enough to exercise wrapping and downstream chunk boundaries in Markdown output.</x:v>
      </x:c>
      <x:c r="M100" s="8"/>
    </x:row>
    <x:row r="101">
      <x:c r="A101" s="8" t="str">
        <x:v>input</x:v>
      </x:c>
      <x:c r="B101" s="8" t="str">
        <x:v>Windows</x:v>
      </x:c>
      <x:c r="C101" s="8" t="str">
        <x:v>console event missing</x:v>
      </x:c>
      <x:c r="D101" s="8" t="str">
        <x:v>open case 1092; repeat after cold start.</x:v>
      </x:c>
      <x:c r="E101" s="8" t="str">
        <x:v>set explicit user agent</x:v>
      </x:c>
      <x:c r="F101" s="8" t="str">
        <x:v>Mei</x:v>
      </x:c>
      <x:c r="G101" s="8" t="str">
        <x:v>needs reproduction</x:v>
      </x:c>
      <x:c r="H101" s="8" t="str">
        <x:v>P1</x:v>
      </x:c>
      <x:c r="I101" s="8" t="str">
        <x:v>2026-03-01</x:v>
      </x:c>
      <x:c r="J101" s="8" t="str">
        <x:v>2026-05-24</x:v>
      </x:c>
      <x:c r="K101" s="8"/>
      <x:c r="L101" s="8" t="str">
        <x:v>The owner field was not captured in the original notes, so classification should remain conservative.</x:v>
      </x:c>
      <x:c r="M101" s="8"/>
    </x:row>
    <x:row r="102">
      <x:c r="A102" s="8"/>
      <x:c r="B102" s="8"/>
      <x:c r="C102" s="8"/>
      <x:c r="D102" s="8"/>
      <x:c r="E102" s="8"/>
      <x:c r="F102" s="8"/>
      <x:c r="G102" s="8"/>
      <x:c r="H102" s="8"/>
      <x:c r="I102" s="8"/>
      <x:c r="J102" s="8"/>
      <x:c r="K102" s="8"/>
      <x:c r="L102" s="8"/>
      <x:c r="M102" s="8"/>
    </x:row>
    <x:row r="103">
      <x:c r="A103" s="8" t="str">
        <x:v>rendering</x:v>
      </x:c>
      <x:c r="B103" s="8" t="str">
        <x:v>iOS</x:v>
      </x:c>
      <x:c r="C103" s="8" t="str">
        <x:v>large response times out</x:v>
      </x:c>
      <x:c r="D103" s="8" t="str">
        <x:v>open case 1093; repeat after reload.</x:v>
      </x:c>
      <x:c r="E103" s="8" t="str">
        <x:v>none yet</x:v>
      </x:c>
      <x:c r="F103" s="8" t="str">
        <x:v>No owner</x:v>
      </x:c>
      <x:c r="G103" s="8" t="str">
        <x:v>resolved</x:v>
      </x:c>
      <x:c r="H103" s="8" t="str">
        <x:v>P0</x:v>
      </x:c>
      <x:c r="I103" s="8" t="str">
        <x:v>2026-04-01</x:v>
      </x:c>
      <x:c r="J103" s="8" t="str">
        <x:v>2026-06-25</x:v>
      </x:c>
      <x:c r="K103" s="8"/>
      <x:c r="L103" s="8" t="str">
        <x:v>The owner field was not captured in the original notes, so classification should remain conservative.</x:v>
      </x:c>
      <x:c r="M103" s="8"/>
    </x:row>
    <x:row r="104">
      <x:c r="A104" s="8" t="str">
        <x:v>Category</x:v>
      </x:c>
      <x:c r="B104" s="8" t="str">
        <x:v>Platform</x:v>
      </x:c>
      <x:c r="C104" s="8" t="str">
        <x:v>Symptom</x:v>
      </x:c>
      <x:c r="D104" s="8" t="str">
        <x:v>Reproduction</x:v>
      </x:c>
      <x:c r="E104" s="8" t="str">
        <x:v>Workaround</x:v>
      </x:c>
      <x:c r="F104" s="8" t="str">
        <x:v>Owner</x:v>
      </x:c>
      <x:c r="G104" s="8" t="str">
        <x:v>Status</x:v>
      </x:c>
      <x:c r="H104" s="8" t="str">
        <x:v>Severity</x:v>
      </x:c>
      <x:c r="I104" s="8" t="str">
        <x:v>First seen</x:v>
      </x:c>
      <x:c r="J104" s="8" t="str">
        <x:v>Last seen</x:v>
      </x:c>
      <x:c r="K104" s="8" t="str">
        <x:v>Reference</x:v>
      </x:c>
      <x:c r="L104" s="8" t="str">
        <x:v>Free note</x:v>
      </x:c>
      <x:c r="M104" s="8" t="str">
        <x:v>repeated header</x:v>
      </x:c>
    </x:row>
    <x:row r="105">
      <x:c r="A105" s="8" t="str">
        <x:v>input</x:v>
      </x:c>
      <x:c r="B105" s="8" t="str">
        <x:v>Windows</x:v>
      </x:c>
      <x:c r="C105" s="8" t="str">
        <x:v>scroll offset resets</x:v>
      </x:c>
      <x:c r="D105" s="8"/>
      <x:c r="E105" s="8" t="str">
        <x:v>reproduce on clean profile</x:v>
      </x:c>
      <x:c r="F105" s="8" t="str">
        <x:v>Carla</x:v>
      </x:c>
      <x:c r="G105" s="8" t="str">
        <x:v>blocked</x:v>
      </x:c>
      <x:c r="H105" s="8" t="str">
        <x:v>P1</x:v>
      </x:c>
      <x:c r="I105" s="8" t="str">
        <x:v>2026-05-01</x:v>
      </x:c>
      <x:c r="J105" s="8" t="str">
        <x:v>2026-07-26</x:v>
      </x:c>
      <x:c r="K105" s="8"/>
      <x:c r="L105" s="8"/>
      <x:c r="M105" s="8"/>
    </x:row>
    <x:row r="106">
      <x:c r="A106" s="8" t="str">
        <x:v>input</x:v>
      </x:c>
      <x:c r="B106" s="8" t="str">
        <x:v>iOS</x:v>
      </x:c>
      <x:c r="C106" s="8" t="str">
        <x:v>scroll offset resets</x:v>
      </x:c>
      <x:c r="D106" s="8" t="str">
        <x:v>open case 1095; repeat after cold start.</x:v>
      </x:c>
      <x:c r="E106" s="8" t="str">
        <x:v>increase timeout</x:v>
      </x:c>
      <x:c r="F106" s="8" t="str">
        <x:v>No owner</x:v>
      </x:c>
      <x:c r="G106" s="8" t="str">
        <x:v>open</x:v>
      </x:c>
      <x:c r="H106" s="8" t="str">
        <x:v>P2</x:v>
      </x:c>
      <x:c r="I106" s="8" t="str">
        <x:v>2026-06-01</x:v>
      </x:c>
      <x:c r="J106" s="8" t="str">
        <x:v>2026-08-27</x:v>
      </x:c>
      <x:c r="K106" s="8" t="str">
        <x:v>https://developer.microsoft.com/en-us/microsoft-edge/webview2/</x:v>
      </x:c>
      <x:c r="L106" s="8"/>
      <x:c r="M106" s="8"/>
    </x:row>
    <x:row r="107">
      <x:c r="A107" s="8" t="str">
        <x:v>rendering</x:v>
      </x:c>
      <x:c r="B107" s="8" t="str">
        <x:v>Linux</x:v>
      </x:c>
      <x:c r="C107" s="8" t="str">
        <x:v>resource blocked by policy</x:v>
      </x:c>
      <x:c r="D107" s="8" t="str">
        <x:v>open case 1096; repeat after cold start.</x:v>
      </x:c>
      <x:c r="E107" s="8" t="str">
        <x:v>use a bridge queue</x:v>
      </x:c>
      <x:c r="F107" s="8" t="str">
        <x:v>Ben</x:v>
      </x:c>
      <x:c r="G107" s="8" t="str">
        <x:v>blocked</x:v>
      </x:c>
      <x:c r="H107" s="8" t="str">
        <x:v>P2</x:v>
      </x:c>
      <x:c r="I107" s="8" t="str">
        <x:v>2026-07-01</x:v>
      </x:c>
      <x:c r="J107" s="8" t="str">
        <x:v>2026-09-20</x:v>
      </x:c>
      <x:c r="K107" s="8" t="str">
        <x:v>https://developer.android.com/reference/android/webkit/WebView</x:v>
      </x:c>
      <x:c r="L107" s="8" t="str">
        <x:v>The owner field was not captured in the original notes, so classification should remain conservative.</x:v>
      </x:c>
      <x:c r="M107" s="8"/>
    </x:row>
    <x:row r="108">
      <x:c r="A108" s="8" t="str">
        <x:v>network</x:v>
      </x:c>
      <x:c r="B108" s="8" t="str">
        <x:v>macOS</x:v>
      </x:c>
      <x:c r="C108" s="8" t="str">
        <x:v>scroll offset resets</x:v>
      </x:c>
      <x:c r="D108" s="8" t="str">
        <x:v>open case 1097; repeat after sleep.</x:v>
      </x:c>
      <x:c r="E108" s="8" t="str">
        <x:v>retry after NavigationCompleted</x:v>
      </x:c>
      <x:c r="F108" s="8" t="str">
        <x:v>Asha</x:v>
      </x:c>
      <x:c r="G108" s="8" t="str">
        <x:v>open</x:v>
      </x:c>
      <x:c r="H108" s="8" t="str">
        <x:v>P2</x:v>
      </x:c>
      <x:c r="I108" s="8" t="str">
        <x:v>2026-08-01</x:v>
      </x:c>
      <x:c r="J108" s="8" t="str">
        <x:v>2026-01-21</x:v>
      </x:c>
      <x:c r="K108" s="8"/>
      <x:c r="L108" s="8" t="str">
        <x:v>Verify behavior on a cold start and after the page reloads without destroying the native view.</x:v>
      </x:c>
      <x:c r="M108" s="8"/>
    </x:row>
    <x:row r="109">
      <x:c r="A109" s="8" t="str">
        <x:v>cookies</x:v>
      </x:c>
      <x:c r="B109" s="8" t="str">
        <x:v>macOS</x:v>
      </x:c>
      <x:c r="C109" s="8" t="str">
        <x:v>large response times out</x:v>
      </x:c>
      <x:c r="D109" s="8" t="str">
        <x:v>open case 1098; repeat after sleep.</x:v>
      </x:c>
      <x:c r="E109" s="8" t="str">
        <x:v>reproduce on clean profile</x:v>
      </x:c>
      <x:c r="F109" s="8" t="str">
        <x:v>Mei</x:v>
      </x:c>
      <x:c r="G109" s="8" t="str">
        <x:v>resolved</x:v>
      </x:c>
      <x:c r="H109" s="8" t="str">
        <x:v>P1</x:v>
      </x:c>
      <x:c r="I109" s="8" t="str">
        <x:v>2026-09-01</x:v>
      </x:c>
      <x:c r="J109" s="8" t="str">
        <x:v>2026-02-22</x:v>
      </x:c>
      <x:c r="K109" s="8"/>
      <x:c r="L109" s="8"/>
      <x:c r="M109" s="8"/>
    </x:row>
    <x:row r="110">
      <x:c r="A110" s="8" t="str">
        <x:v>input</x:v>
      </x:c>
      <x:c r="B110" s="8" t="str">
        <x:v>Linux</x:v>
      </x:c>
      <x:c r="C110" s="8" t="str">
        <x:v>large response times out</x:v>
      </x:c>
      <x:c r="D110" s="8" t="str">
        <x:v>open case 1099; repeat after cold start.</x:v>
      </x:c>
      <x:c r="E110" s="8" t="str">
        <x:v>increase timeout</x:v>
      </x:c>
      <x:c r="F110" s="8" t="str">
        <x:v>Carla</x:v>
      </x:c>
      <x:c r="G110" s="8" t="str">
        <x:v>investigating</x:v>
      </x:c>
      <x:c r="H110" s="8" t="str">
        <x:v>P2</x:v>
      </x:c>
      <x:c r="I110" s="8" t="str">
        <x:v>2026-01-01</x:v>
      </x:c>
      <x:c r="J110" s="8" t="str">
        <x:v>2026-03-23</x:v>
      </x:c>
      <x:c r="K110" s="8"/>
      <x:c r="L110" s="8" t="str">
        <x:v>Potential duplicate: this paragraph is repeated in another section to test deduplication and chunk metadata.</x:v>
      </x:c>
      <x:c r="M110" s="8"/>
    </x:row>
    <x:row r="111">
      <x:c r="A111" s="8" t="str">
        <x:v>cookies</x:v>
      </x:c>
      <x:c r="B111" s="8" t="str">
        <x:v>Android</x:v>
      </x:c>
      <x:c r="C111" s="8" t="str">
        <x:v>large response times out</x:v>
      </x:c>
      <x:c r="D111" s="8" t="str">
        <x:v>open case 1100; repeat after reload.</x:v>
      </x:c>
      <x:c r="E111" s="8" t="str">
        <x:v>none yet</x:v>
      </x:c>
      <x:c r="F111" s="8" t="str">
        <x:v>Diego</x:v>
      </x:c>
      <x:c r="G111" s="8" t="str">
        <x:v>open</x:v>
      </x:c>
      <x:c r="H111" s="8" t="str">
        <x:v>P0</x:v>
      </x:c>
      <x:c r="I111" s="8" t="str">
        <x:v>2026-02-01</x:v>
      </x:c>
      <x:c r="J111" s="8" t="str">
        <x:v>2026-04-24</x:v>
      </x:c>
      <x:c r="K111" s="8"/>
      <x:c r="L111" s="8" t="str">
        <x:v>Verify behavior on a cold start and after the page reloads without destroying the native view.</x:v>
      </x:c>
      <x:c r="M111" s="8"/>
    </x:row>
    <x:row r="112">
      <x:c r="A112" s="8" t="str">
        <x:v>rendering</x:v>
      </x:c>
      <x:c r="B112" s="8" t="str">
        <x:v>Windows</x:v>
      </x:c>
      <x:c r="C112" s="8" t="str">
        <x:v>blank page after reload</x:v>
      </x:c>
      <x:c r="D112" s="8"/>
      <x:c r="E112" s="8" t="str">
        <x:v>use a bridge queue</x:v>
      </x:c>
      <x:c r="F112" s="8" t="str">
        <x:v>Asha</x:v>
      </x:c>
      <x:c r="G112" s="8" t="str">
        <x:v>investigating</x:v>
      </x:c>
      <x:c r="H112" s="8" t="str">
        <x:v>P2</x:v>
      </x:c>
      <x:c r="I112" s="8" t="str">
        <x:v>2026-03-01</x:v>
      </x:c>
      <x:c r="J112" s="8" t="str">
        <x:v>2026-05-25</x:v>
      </x:c>
      <x:c r="K112" s="8"/>
      <x:c r="L112" s="8"/>
      <x:c r="M112" s="8"/>
    </x:row>
    <x:row r="113">
      <x:c r="A113" s="8" t="str">
        <x:v>rendering</x:v>
      </x:c>
      <x:c r="B113" s="8" t="str">
        <x:v>iOS</x:v>
      </x:c>
      <x:c r="C113" s="8" t="str">
        <x:v>focus leaves native control</x:v>
      </x:c>
      <x:c r="D113" s="8" t="str">
        <x:v>open case 1102; repeat after offline toggle.</x:v>
      </x:c>
      <x:c r="E113" s="8" t="str">
        <x:v>set explicit user agent</x:v>
      </x:c>
      <x:c r="F113" s="8" t="str">
        <x:v>Asha</x:v>
      </x:c>
      <x:c r="G113" s="8" t="str">
        <x:v>resolved</x:v>
      </x:c>
      <x:c r="H113" s="8" t="str">
        <x:v>P2</x:v>
      </x:c>
      <x:c r="I113" s="8" t="str">
        <x:v>2026-04-01</x:v>
      </x:c>
      <x:c r="J113" s="8" t="str">
        <x:v>2026-06-26</x:v>
      </x:c>
      <x:c r="K113" s="8" t="str">
        <x:v>https://github.com/react-native-webview/react-native-webview</x:v>
      </x:c>
      <x:c r="L113" s="8" t="str">
        <x:v>This sentence is long enough to exercise wrapping and downstream chunk boundaries in Markdown output.</x:v>
      </x:c>
      <x:c r="M113" s="8"/>
    </x:row>
    <x:row r="114">
      <x:c r="A114" s="8" t="str">
        <x:v>input</x:v>
      </x:c>
      <x:c r="B114" s="8" t="str">
        <x:v>Windows</x:v>
      </x:c>
      <x:c r="C114" s="8" t="str">
        <x:v>focus leaves native control</x:v>
      </x:c>
      <x:c r="D114" s="8" t="str">
        <x:v>open case 1103; repeat after reload.</x:v>
      </x:c>
      <x:c r="E114" s="8" t="str">
        <x:v>set explicit user agent</x:v>
      </x:c>
      <x:c r="F114" s="8" t="str">
        <x:v>No owner</x:v>
      </x:c>
      <x:c r="G114" s="8" t="str">
        <x:v>blocked</x:v>
      </x:c>
      <x:c r="H114" s="8" t="str">
        <x:v>P2</x:v>
      </x:c>
      <x:c r="I114" s="8" t="str">
        <x:v>2026-05-01</x:v>
      </x:c>
      <x:c r="J114" s="8" t="str">
        <x:v>2026-07-27</x:v>
      </x:c>
      <x:c r="K114" s="8"/>
      <x:c r="L114" s="8" t="str">
        <x:v>This sentence is long enough to exercise wrapping and downstream chunk boundaries in Markdown output.</x:v>
      </x:c>
      <x:c r="M114" s="8"/>
    </x:row>
    <x:row r="115">
      <x:c r="A115" s="8" t="str">
        <x:v>network</x:v>
      </x:c>
      <x:c r="B115" s="8" t="str">
        <x:v>Windows</x:v>
      </x:c>
      <x:c r="C115" s="8" t="str">
        <x:v>blank page after reload</x:v>
      </x:c>
      <x:c r="D115" s="8"/>
      <x:c r="E115" s="8" t="str">
        <x:v>set explicit user agent</x:v>
      </x:c>
      <x:c r="F115" s="8" t="str">
        <x:v>Ben</x:v>
      </x:c>
      <x:c r="G115" s="8" t="str">
        <x:v>needs reproduction</x:v>
      </x:c>
      <x:c r="H115" s="8" t="str">
        <x:v>P0</x:v>
      </x:c>
      <x:c r="I115" s="8" t="str">
        <x:v>2026-06-01</x:v>
      </x:c>
      <x:c r="J115" s="8" t="str">
        <x:v>2026-08-20</x:v>
      </x:c>
      <x:c r="K115" s="8" t="str">
        <x:v>https://developer.apple.com/documentation/webkit/wkwebview</x:v>
      </x:c>
      <x:c r="L115" s="8"/>
      <x:c r="M115" s="8"/>
    </x:row>
    <x:row r="116">
      <x:c r="A116" s="8" t="str">
        <x:v>input</x:v>
      </x:c>
      <x:c r="B116" s="8" t="str">
        <x:v>iOS</x:v>
      </x:c>
      <x:c r="C116" s="8" t="str">
        <x:v>console event missing</x:v>
      </x:c>
      <x:c r="D116" s="8"/>
      <x:c r="E116" s="8" t="str">
        <x:v>none yet</x:v>
      </x:c>
      <x:c r="F116" s="8" t="str">
        <x:v>Asha</x:v>
      </x:c>
      <x:c r="G116" s="8" t="str">
        <x:v>open</x:v>
      </x:c>
      <x:c r="H116" s="8" t="str">
        <x:v>P2</x:v>
      </x:c>
      <x:c r="I116" s="8" t="str">
        <x:v>2026-07-01</x:v>
      </x:c>
      <x:c r="J116" s="8" t="str">
        <x:v>2026-09-21</x:v>
      </x:c>
      <x:c r="K116" s="8" t="str">
        <x:v>https://developer.microsoft.com/en-us/microsoft-edge/webview2/</x:v>
      </x:c>
      <x:c r="L116" s="8" t="str">
        <x:v>Observed in a local test run: the content rendered, but the console warning appeared twice.</x:v>
      </x:c>
      <x:c r="M116" s="8"/>
    </x:row>
    <x:row r="117">
      <x:c r="A117" s="8" t="str">
        <x:v>rendering</x:v>
      </x:c>
      <x:c r="B117" s="8" t="str">
        <x:v>Android</x:v>
      </x:c>
      <x:c r="C117" s="8" t="str">
        <x:v>blank page after reload</x:v>
      </x:c>
      <x:c r="D117" s="8" t="str">
        <x:v>open case 1106; repeat after sleep.</x:v>
      </x:c>
      <x:c r="E117" s="8" t="str">
        <x:v>retry after NavigationCompleted</x:v>
      </x:c>
      <x:c r="F117" s="8" t="str">
        <x:v>Asha</x:v>
      </x:c>
      <x:c r="G117" s="8" t="str">
        <x:v>investigating</x:v>
      </x:c>
      <x:c r="H117" s="8" t="str">
        <x:v>P0</x:v>
      </x:c>
      <x:c r="I117" s="8" t="str">
        <x:v>2026-08-01</x:v>
      </x:c>
      <x:c r="J117" s="8" t="str">
        <x:v>2026-01-22</x:v>
      </x:c>
      <x:c r="K117" s="8" t="str">
        <x:v>https://developer.android.com/reference/android/webkit/WebView</x:v>
      </x:c>
      <x:c r="L117" s="8"/>
      <x:c r="M117" s="8"/>
    </x:row>
    <x:row r="118">
      <x:c r="A118" s="8" t="str">
        <x:v>input</x:v>
      </x:c>
      <x:c r="B118" s="8" t="str">
        <x:v>iOS</x:v>
      </x:c>
      <x:c r="C118" s="8" t="str">
        <x:v>scroll offset resets</x:v>
      </x:c>
      <x:c r="D118" s="8"/>
      <x:c r="E118" s="8" t="str">
        <x:v>increase timeout</x:v>
      </x:c>
      <x:c r="F118" s="8" t="str">
        <x:v>Ben</x:v>
      </x:c>
      <x:c r="G118" s="8" t="str">
        <x:v>blocked</x:v>
      </x:c>
      <x:c r="H118" s="8" t="str">
        <x:v>P2</x:v>
      </x:c>
      <x:c r="I118" s="8" t="str">
        <x:v>2026-09-01</x:v>
      </x:c>
      <x:c r="J118" s="8" t="str">
        <x:v>2026-02-23</x:v>
      </x:c>
      <x:c r="K118" s="8" t="str">
        <x:v>https://learn.microsoft.com/en-us/microsoft-edge/webview2/concepts/security</x:v>
      </x:c>
      <x:c r="L118" s="8" t="str">
        <x:v>Verify behavior on a cold start and after the page reloads without destroying the native view.</x:v>
      </x:c>
      <x:c r="M118" s="8"/>
    </x:row>
    <x:row r="119">
      <x:c r="A119" s="8" t="str">
        <x:v>input</x:v>
      </x:c>
      <x:c r="B119" s="8" t="str">
        <x:v>Android</x:v>
      </x:c>
      <x:c r="C119" s="8" t="str">
        <x:v>console event missing</x:v>
      </x:c>
      <x:c r="D119" s="8" t="str">
        <x:v>open case 1108; repeat after offline toggle.</x:v>
      </x:c>
      <x:c r="E119" s="8" t="str">
        <x:v>reproduce on clean profile</x:v>
      </x:c>
      <x:c r="F119" s="8" t="str">
        <x:v>Ben</x:v>
      </x:c>
      <x:c r="G119" s="8" t="str">
        <x:v>investigating</x:v>
      </x:c>
      <x:c r="H119" s="8" t="str">
        <x:v>P3</x:v>
      </x:c>
      <x:c r="I119" s="8" t="str">
        <x:v>2026-01-01</x:v>
      </x:c>
      <x:c r="J119" s="8" t="str">
        <x:v>2026-03-24</x:v>
      </x:c>
      <x:c r="K119" s="8"/>
      <x:c r="L119" s="8" t="str">
        <x:v>Observed in a local test run: the content rendered, but the console warning appeared twice.</x:v>
      </x:c>
      <x:c r="M119" s="8"/>
    </x:row>
    <x:row r="120">
      <x:c r="A120" s="8" t="str">
        <x:v>download</x:v>
      </x:c>
      <x:c r="B120" s="8" t="str">
        <x:v>Windows</x:v>
      </x:c>
      <x:c r="C120" s="8" t="str">
        <x:v>blank page after reload</x:v>
      </x:c>
      <x:c r="D120" s="8" t="str">
        <x:v>open case 1109; repeat after cold start.</x:v>
      </x:c>
      <x:c r="E120" s="8" t="str">
        <x:v>increase timeout</x:v>
      </x:c>
      <x:c r="F120" s="8" t="str">
        <x:v>Ben</x:v>
      </x:c>
      <x:c r="G120" s="8" t="str">
        <x:v>resolved</x:v>
      </x:c>
      <x:c r="H120" s="8" t="str">
        <x:v>P1</x:v>
      </x:c>
      <x:c r="I120" s="8" t="str">
        <x:v>2026-02-01</x:v>
      </x:c>
      <x:c r="J120" s="8" t="str">
        <x:v>2026-04-25</x:v>
      </x:c>
      <x:c r="K120" s="8" t="str">
        <x:v>https://developer.android.com/reference/android/webkit/WebView</x:v>
      </x:c>
      <x:c r="L120" s="8" t="str">
        <x:v>Follow-up: compare the result when the network security policy is relaxed versus when it is enforced.</x:v>
      </x:c>
      <x:c r="M120" s="8"/>
    </x:row>
    <x:row r="121">
      <x:c r="A121" s="8" t="str">
        <x:v>download</x:v>
      </x:c>
      <x:c r="B121" s="8" t="str">
        <x:v>Android</x:v>
      </x:c>
      <x:c r="C121" s="8" t="str">
        <x:v>console event missing</x:v>
      </x:c>
      <x:c r="D121" s="8"/>
      <x:c r="E121" s="8" t="str">
        <x:v>set explicit user agent</x:v>
      </x:c>
      <x:c r="F121" s="8" t="str">
        <x:v>Ben</x:v>
      </x:c>
      <x:c r="G121" s="8" t="str">
        <x:v>investigating</x:v>
      </x:c>
      <x:c r="H121" s="8" t="str">
        <x:v>P1</x:v>
      </x:c>
      <x:c r="I121" s="8" t="str">
        <x:v>2026-03-01</x:v>
      </x:c>
      <x:c r="J121" s="8" t="str">
        <x:v>2026-05-26</x:v>
      </x:c>
      <x:c r="K121" s="8"/>
      <x:c r="L121" s="8" t="str">
        <x:v>Follow-up: compare the result when the network security policy is relaxed versus when it is enforced.</x:v>
      </x:c>
      <x:c r="M121" s="8"/>
    </x:row>
    <x:row r="122">
      <x:c r="A122" s="8" t="str">
        <x:v>download</x:v>
      </x:c>
      <x:c r="B122" s="8" t="str">
        <x:v>iOS</x:v>
      </x:c>
      <x:c r="C122" s="8" t="str">
        <x:v>blank page after reload</x:v>
      </x:c>
      <x:c r="D122" s="8"/>
      <x:c r="E122" s="8" t="str">
        <x:v>set explicit user agent</x:v>
      </x:c>
      <x:c r="F122" s="8" t="str">
        <x:v>Diego</x:v>
      </x:c>
      <x:c r="G122" s="8" t="str">
        <x:v>open</x:v>
      </x:c>
      <x:c r="H122" s="8" t="str">
        <x:v>P0</x:v>
      </x:c>
      <x:c r="I122" s="8" t="str">
        <x:v>2026-04-01</x:v>
      </x:c>
      <x:c r="J122" s="8" t="str">
        <x:v>2026-06-27</x:v>
      </x:c>
      <x:c r="K122" s="8" t="str">
        <x:v>https://developer.microsoft.com/en-us/microsoft-edge/webview2/</x:v>
      </x:c>
      <x:c r="L122" s="8"/>
      <x:c r="M122" s="8"/>
    </x:row>
    <x:row r="123">
      <x:c r="A123" s="8" t="str">
        <x:v>download</x:v>
      </x:c>
      <x:c r="B123" s="8" t="str">
        <x:v>iOS</x:v>
      </x:c>
      <x:c r="C123" s="8" t="str">
        <x:v>focus leaves native control</x:v>
      </x:c>
      <x:c r="D123" s="8" t="str">
        <x:v>open case 1112; repeat after reload.</x:v>
      </x:c>
      <x:c r="E123" s="8" t="str">
        <x:v>increase timeout</x:v>
      </x:c>
      <x:c r="F123" s="8" t="str">
        <x:v>Ben</x:v>
      </x:c>
      <x:c r="G123" s="8" t="str">
        <x:v>investigating</x:v>
      </x:c>
      <x:c r="H123" s="8" t="str">
        <x:v>P2</x:v>
      </x:c>
      <x:c r="I123" s="8" t="str">
        <x:v>2026-05-01</x:v>
      </x:c>
      <x:c r="J123" s="8" t="str">
        <x:v>2026-07-20</x:v>
      </x:c>
      <x:c r="K123" s="8" t="str">
        <x:v>https://learn.microsoft.com/en-us/microsoft-edge/webview2/concepts/security</x:v>
      </x:c>
      <x:c r="L123" s="8"/>
      <x:c r="M123" s="8"/>
    </x:row>
    <x:row r="124">
      <x:c r="A124" s="8" t="str">
        <x:v>input</x:v>
      </x:c>
      <x:c r="B124" s="8" t="str">
        <x:v>macOS</x:v>
      </x:c>
      <x:c r="C124" s="8" t="str">
        <x:v>blank page after reload</x:v>
      </x:c>
      <x:c r="D124" s="8" t="str">
        <x:v>open case 1113; repeat after sleep.</x:v>
      </x:c>
      <x:c r="E124" s="8" t="str">
        <x:v>increase timeout</x:v>
      </x:c>
      <x:c r="F124" s="8" t="str">
        <x:v>Diego</x:v>
      </x:c>
      <x:c r="G124" s="8" t="str">
        <x:v>resolved</x:v>
      </x:c>
      <x:c r="H124" s="8" t="str">
        <x:v>P1</x:v>
      </x:c>
      <x:c r="I124" s="8" t="str">
        <x:v>2026-06-01</x:v>
      </x:c>
      <x:c r="J124" s="8" t="str">
        <x:v>2026-08-21</x:v>
      </x:c>
      <x:c r="K124" s="8" t="str">
        <x:v>https://learn.microsoft.com/en-us/microsoft-edge/webview2/concepts/security</x:v>
      </x:c>
      <x:c r="L124" s="8" t="str">
        <x:v>Observed in a local test run: the content rendered, but the console warning appeared twice.</x:v>
      </x:c>
      <x:c r="M124" s="8"/>
    </x:row>
    <x:row r="125">
      <x:c r="A125" s="8" t="str">
        <x:v>download</x:v>
      </x:c>
      <x:c r="B125" s="8" t="str">
        <x:v>Android</x:v>
      </x:c>
      <x:c r="C125" s="8" t="str">
        <x:v>large response times out</x:v>
      </x:c>
      <x:c r="D125" s="8" t="str">
        <x:v>open case 1114; repeat after reload.</x:v>
      </x:c>
      <x:c r="E125" s="8" t="str">
        <x:v>reproduce on clean profile</x:v>
      </x:c>
      <x:c r="F125" s="8" t="str">
        <x:v>Diego</x:v>
      </x:c>
      <x:c r="G125" s="8" t="str">
        <x:v>resolved</x:v>
      </x:c>
      <x:c r="H125" s="8" t="str">
        <x:v>P3</x:v>
      </x:c>
      <x:c r="I125" s="8" t="str">
        <x:v>2026-07-01</x:v>
      </x:c>
      <x:c r="J125" s="8" t="str">
        <x:v>2026-09-22</x:v>
      </x:c>
      <x:c r="K125" s="8" t="str">
        <x:v>https://developer.apple.com/documentation/webkit/wkwebview</x:v>
      </x:c>
      <x:c r="L125" s="8"/>
      <x:c r="M125" s="8"/>
    </x:row>
    <x:row r="126">
      <x:c r="A126" s="8" t="str">
        <x:v>download</x:v>
      </x:c>
      <x:c r="B126" s="8" t="str">
        <x:v>Linux</x:v>
      </x:c>
      <x:c r="C126" s="8" t="str">
        <x:v>scroll offset resets</x:v>
      </x:c>
      <x:c r="D126" s="8" t="str">
        <x:v>open case 1115; repeat after offline toggle.</x:v>
      </x:c>
      <x:c r="E126" s="8" t="str">
        <x:v>reproduce on clean profile</x:v>
      </x:c>
      <x:c r="F126" s="8" t="str">
        <x:v>No owner</x:v>
      </x:c>
      <x:c r="G126" s="8" t="str">
        <x:v>resolved</x:v>
      </x:c>
      <x:c r="H126" s="8" t="str">
        <x:v>P2</x:v>
      </x:c>
      <x:c r="I126" s="8" t="str">
        <x:v>2026-08-01</x:v>
      </x:c>
      <x:c r="J126" s="8" t="str">
        <x:v>2026-01-23</x:v>
      </x:c>
      <x:c r="K126" s="8"/>
      <x:c r="L126" s="8" t="str">
        <x:v>The owner field was not captured in the original notes, so classification should remain conservative.</x:v>
      </x:c>
      <x:c r="M126" s="8"/>
    </x:row>
    <x:row r="127">
      <x:c r="A127" s="8" t="str">
        <x:v>network</x:v>
      </x:c>
      <x:c r="B127" s="8" t="str">
        <x:v>Android</x:v>
      </x:c>
      <x:c r="C127" s="8" t="str">
        <x:v>large response times out</x:v>
      </x:c>
      <x:c r="D127" s="8"/>
      <x:c r="E127" s="8" t="str">
        <x:v>use a bridge queue</x:v>
      </x:c>
      <x:c r="F127" s="8" t="str">
        <x:v>Carla</x:v>
      </x:c>
      <x:c r="G127" s="8" t="str">
        <x:v>resolved</x:v>
      </x:c>
      <x:c r="H127" s="8" t="str">
        <x:v>P2</x:v>
      </x:c>
      <x:c r="I127" s="8" t="str">
        <x:v>2026-09-01</x:v>
      </x:c>
      <x:c r="J127" s="8" t="str">
        <x:v>2026-02-24</x:v>
      </x:c>
      <x:c r="K127" s="8"/>
      <x:c r="L127" s="8"/>
      <x:c r="M127" s="8"/>
    </x:row>
    <x:row r="128">
      <x:c r="A128" s="8" t="str">
        <x:v>rendering</x:v>
      </x:c>
      <x:c r="B128" s="8" t="str">
        <x:v>Android</x:v>
      </x:c>
      <x:c r="C128" s="8" t="str">
        <x:v>blank page after reload</x:v>
      </x:c>
      <x:c r="D128" s="8"/>
      <x:c r="E128" s="8" t="str">
        <x:v>set explicit user agent</x:v>
      </x:c>
      <x:c r="F128" s="8" t="str">
        <x:v>Carla</x:v>
      </x:c>
      <x:c r="G128" s="8" t="str">
        <x:v>blocked</x:v>
      </x:c>
      <x:c r="H128" s="8" t="str">
        <x:v>P3</x:v>
      </x:c>
      <x:c r="I128" s="8" t="str">
        <x:v>2026-01-01</x:v>
      </x:c>
      <x:c r="J128" s="8" t="str">
        <x:v>2026-03-25</x:v>
      </x:c>
      <x:c r="K128" s="8"/>
      <x:c r="L128" s="8" t="str">
        <x:v>This sentence is long enough to exercise wrapping and downstream chunk boundaries in Markdown output.</x:v>
      </x:c>
      <x:c r="M128" s="8"/>
    </x:row>
    <x:row r="129">
      <x:c r="A129" s="8" t="str">
        <x:v>download</x:v>
      </x:c>
      <x:c r="B129" s="8" t="str">
        <x:v>Linux</x:v>
      </x:c>
      <x:c r="C129" s="8" t="str">
        <x:v>scroll offset resets</x:v>
      </x:c>
      <x:c r="D129" s="8" t="str">
        <x:v>open case 1118; repeat after sleep.</x:v>
      </x:c>
      <x:c r="E129" s="8" t="str">
        <x:v>reproduce on clean profile</x:v>
      </x:c>
      <x:c r="F129" s="8" t="str">
        <x:v>Asha</x:v>
      </x:c>
      <x:c r="G129" s="8" t="str">
        <x:v>investigating</x:v>
      </x:c>
      <x:c r="H129" s="8" t="str">
        <x:v>P2</x:v>
      </x:c>
      <x:c r="I129" s="8" t="str">
        <x:v>2026-02-01</x:v>
      </x:c>
      <x:c r="J129" s="8" t="str">
        <x:v>2026-04-26</x:v>
      </x:c>
      <x:c r="K129" s="8" t="str">
        <x:v>https://developer.apple.com/documentation/webkit/wkwebview</x:v>
      </x:c>
      <x:c r="L129" s="8" t="str">
        <x:v>The bridge callback is stable for small payloads, but large JSON messages show visible delay during navigation.</x:v>
      </x:c>
      <x:c r="M129" s="8"/>
    </x:row>
    <x:row r="130">
      <x:c r="A130" s="8" t="str">
        <x:v>rendering</x:v>
      </x:c>
      <x:c r="B130" s="8" t="str">
        <x:v>macOS</x:v>
      </x:c>
      <x:c r="C130" s="8" t="str">
        <x:v>blank page after reload</x:v>
      </x:c>
      <x:c r="D130" s="8" t="str">
        <x:v>open case 1119; repeat after sleep.</x:v>
      </x:c>
      <x:c r="E130" s="8" t="str">
        <x:v>reproduce on clean profile</x:v>
      </x:c>
      <x:c r="F130" s="8" t="str">
        <x:v>Mei</x:v>
      </x:c>
      <x:c r="G130" s="8" t="str">
        <x:v>blocked</x:v>
      </x:c>
      <x:c r="H130" s="8" t="str">
        <x:v>P2</x:v>
      </x:c>
      <x:c r="I130" s="8" t="str">
        <x:v>2026-03-01</x:v>
      </x:c>
      <x:c r="J130" s="8" t="str">
        <x:v>2026-05-27</x:v>
      </x:c>
      <x:c r="K130" s="8"/>
      <x:c r="L130" s="8" t="str">
        <x:v>Observed in a local test run: the content rendered, but the console warning appeared twice.</x:v>
      </x:c>
      <x:c r="M130" s="8"/>
    </x:row>
    <x:row r="131">
      <x:c r="A131" s="8" t="str">
        <x:v>rendering</x:v>
      </x:c>
      <x:c r="B131" s="8" t="str">
        <x:v>Linux</x:v>
      </x:c>
      <x:c r="C131" s="8" t="str">
        <x:v>focus leaves native control</x:v>
      </x:c>
      <x:c r="D131" s="8" t="str">
        <x:v>open case 1120; repeat after sleep.</x:v>
      </x:c>
      <x:c r="E131" s="8" t="str">
        <x:v>increase timeout</x:v>
      </x:c>
      <x:c r="F131" s="8" t="str">
        <x:v>Diego</x:v>
      </x:c>
      <x:c r="G131" s="8" t="str">
        <x:v>resolved</x:v>
      </x:c>
      <x:c r="H131" s="8" t="str">
        <x:v>P0</x:v>
      </x:c>
      <x:c r="I131" s="8" t="str">
        <x:v>2026-04-01</x:v>
      </x:c>
      <x:c r="J131" s="8" t="str">
        <x:v>2026-06-20</x:v>
      </x:c>
      <x:c r="K131" s="8" t="str">
        <x:v>https://developer.apple.com/documentation/webkit/wkwebview</x:v>
      </x:c>
      <x:c r="L131" s="8"/>
      <x:c r="M131" s="8"/>
    </x:row>
    <x:row r="132">
      <x:c r="A132" s="8" t="str">
        <x:v>rendering</x:v>
      </x:c>
      <x:c r="B132" s="8" t="str">
        <x:v>Windows</x:v>
      </x:c>
      <x:c r="C132" s="8" t="str">
        <x:v>console event missing</x:v>
      </x:c>
      <x:c r="D132" s="8" t="str">
        <x:v>open case 1121; repeat after offline toggle.</x:v>
      </x:c>
      <x:c r="E132" s="8" t="str">
        <x:v>retry after NavigationCompleted</x:v>
      </x:c>
      <x:c r="F132" s="8" t="str">
        <x:v>No owner</x:v>
      </x:c>
      <x:c r="G132" s="8" t="str">
        <x:v>open</x:v>
      </x:c>
      <x:c r="H132" s="8" t="str">
        <x:v>P1</x:v>
      </x:c>
      <x:c r="I132" s="8" t="str">
        <x:v>2026-05-01</x:v>
      </x:c>
      <x:c r="J132" s="8" t="str">
        <x:v>2026-07-21</x:v>
      </x:c>
      <x:c r="K132" s="8" t="str">
        <x:v>https://learn.microsoft.com/en-us/microsoft-edge/webview2/concepts/security</x:v>
      </x:c>
      <x:c r="L132" s="8"/>
      <x:c r="M132" s="8"/>
    </x:row>
    <x:row r="133">
      <x:c r="A133" s="8" t="str">
        <x:v>input</x:v>
      </x:c>
      <x:c r="B133" s="8" t="str">
        <x:v>Windows</x:v>
      </x:c>
      <x:c r="C133" s="8" t="str">
        <x:v>blank page after reload</x:v>
      </x:c>
      <x:c r="D133" s="8"/>
      <x:c r="E133" s="8" t="str">
        <x:v>use a bridge queue</x:v>
      </x:c>
      <x:c r="F133" s="8" t="str">
        <x:v>Diego</x:v>
      </x:c>
      <x:c r="G133" s="8" t="str">
        <x:v>open</x:v>
      </x:c>
      <x:c r="H133" s="8" t="str">
        <x:v>P0</x:v>
      </x:c>
      <x:c r="I133" s="8" t="str">
        <x:v>2026-06-01</x:v>
      </x:c>
      <x:c r="J133" s="8" t="str">
        <x:v>2026-08-22</x:v>
      </x:c>
      <x:c r="K133" s="8" t="str">
        <x:v>https://developer.android.com/reference/android/webkit/WebView</x:v>
      </x:c>
      <x:c r="L133" s="8"/>
      <x:c r="M133" s="8"/>
    </x:row>
    <x:row r="134">
      <x:c r="A134" s="8" t="str">
        <x:v>input</x:v>
      </x:c>
      <x:c r="B134" s="8" t="str">
        <x:v>Windows</x:v>
      </x:c>
      <x:c r="C134" s="8" t="str">
        <x:v>resource blocked by policy</x:v>
      </x:c>
      <x:c r="D134" s="8"/>
      <x:c r="E134" s="8" t="str">
        <x:v>reproduce on clean profile</x:v>
      </x:c>
      <x:c r="F134" s="8" t="str">
        <x:v>Mei</x:v>
      </x:c>
      <x:c r="G134" s="8" t="str">
        <x:v>blocked</x:v>
      </x:c>
      <x:c r="H134" s="8" t="str">
        <x:v>P2</x:v>
      </x:c>
      <x:c r="I134" s="8" t="str">
        <x:v>2026-07-01</x:v>
      </x:c>
      <x:c r="J134" s="8" t="str">
        <x:v>2026-09-23</x:v>
      </x:c>
      <x:c r="K134" s="8" t="str">
        <x:v>https://developer.android.com/reference/android/webkit/WebView</x:v>
      </x:c>
      <x:c r="L134" s="8" t="str">
        <x:v>Follow-up: compare the result when the network security policy is relaxed versus when it is enforced.</x:v>
      </x:c>
      <x:c r="M134" s="8"/>
    </x:row>
    <x:row r="135">
      <x:c r="A135" s="8"/>
      <x:c r="B135" s="8"/>
      <x:c r="C135" s="8"/>
      <x:c r="D135" s="8"/>
      <x:c r="E135" s="8"/>
      <x:c r="F135" s="8"/>
      <x:c r="G135" s="8"/>
      <x:c r="H135" s="8"/>
      <x:c r="I135" s="8"/>
      <x:c r="J135" s="8"/>
      <x:c r="K135" s="8"/>
      <x:c r="L135" s="8"/>
      <x:c r="M135" s="8"/>
    </x:row>
    <x:row r="136">
      <x:c r="A136" s="8" t="str">
        <x:v>rendering</x:v>
      </x:c>
      <x:c r="B136" s="8" t="str">
        <x:v>Android</x:v>
      </x:c>
      <x:c r="C136" s="8" t="str">
        <x:v>blank page after reload</x:v>
      </x:c>
      <x:c r="D136" s="8"/>
      <x:c r="E136" s="8" t="str">
        <x:v>reproduce on clean profile</x:v>
      </x:c>
      <x:c r="F136" s="8" t="str">
        <x:v>Mei</x:v>
      </x:c>
      <x:c r="G136" s="8" t="str">
        <x:v>open</x:v>
      </x:c>
      <x:c r="H136" s="8" t="str">
        <x:v>P3</x:v>
      </x:c>
      <x:c r="I136" s="8" t="str">
        <x:v>2026-08-01</x:v>
      </x:c>
      <x:c r="J136" s="8" t="str">
        <x:v>2026-01-24</x:v>
      </x:c>
      <x:c r="K136" s="8" t="str">
        <x:v>https://github.com/react-native-webview/react-native-webview</x:v>
      </x:c>
      <x:c r="L136" s="8" t="str">
        <x:v>Verify behavior on a cold start and after the page reloads without destroying the native view.</x:v>
      </x:c>
      <x:c r="M136" s="8"/>
    </x:row>
    <x:row r="137">
      <x:c r="A137" s="8" t="str">
        <x:v>download</x:v>
      </x:c>
      <x:c r="B137" s="8" t="str">
        <x:v>Linux</x:v>
      </x:c>
      <x:c r="C137" s="8" t="str">
        <x:v>large response times out</x:v>
      </x:c>
      <x:c r="D137" s="8"/>
      <x:c r="E137" s="8" t="str">
        <x:v>reproduce on clean profile</x:v>
      </x:c>
      <x:c r="F137" s="8" t="str">
        <x:v>Asha</x:v>
      </x:c>
      <x:c r="G137" s="8" t="str">
        <x:v>investigating</x:v>
      </x:c>
      <x:c r="H137" s="8" t="str">
        <x:v>P1</x:v>
      </x:c>
      <x:c r="I137" s="8" t="str">
        <x:v>2026-09-01</x:v>
      </x:c>
      <x:c r="J137" s="8" t="str">
        <x:v>2026-02-25</x:v>
      </x:c>
      <x:c r="K137" s="8" t="str">
        <x:v>https://github.com/react-native-webview/react-native-webview</x:v>
      </x:c>
      <x:c r="L137" s="8" t="str">
        <x:v>Potential duplicate: this paragraph is repeated in another section to test deduplication and chunk metadata.</x:v>
      </x:c>
      <x:c r="M137" s="8"/>
    </x:row>
    <x:row r="138">
      <x:c r="A138" s="8" t="str">
        <x:v>network</x:v>
      </x:c>
      <x:c r="B138" s="8" t="str">
        <x:v>Windows</x:v>
      </x:c>
      <x:c r="C138" s="8" t="str">
        <x:v>resource blocked by policy</x:v>
      </x:c>
      <x:c r="D138" s="8"/>
      <x:c r="E138" s="8" t="str">
        <x:v>none yet</x:v>
      </x:c>
      <x:c r="F138" s="8" t="str">
        <x:v>Carla</x:v>
      </x:c>
      <x:c r="G138" s="8" t="str">
        <x:v>open</x:v>
      </x:c>
      <x:c r="H138" s="8" t="str">
        <x:v>P3</x:v>
      </x:c>
      <x:c r="I138" s="8" t="str">
        <x:v>2026-01-01</x:v>
      </x:c>
      <x:c r="J138" s="8" t="str">
        <x:v>2026-03-26</x:v>
      </x:c>
      <x:c r="K138" s="8" t="str">
        <x:v>https://developer.android.com/reference/android/webkit/WebView</x:v>
      </x:c>
      <x:c r="L138" s="8"/>
      <x:c r="M138" s="8"/>
    </x:row>
    <x:row r="139">
      <x:c r="A139" s="8" t="str">
        <x:v>cookies</x:v>
      </x:c>
      <x:c r="B139" s="8" t="str">
        <x:v>macOS</x:v>
      </x:c>
      <x:c r="C139" s="8" t="str">
        <x:v>large response times out</x:v>
      </x:c>
      <x:c r="D139" s="8" t="str">
        <x:v>open case 1127; repeat after offline toggle.</x:v>
      </x:c>
      <x:c r="E139" s="8" t="str">
        <x:v>retry after NavigationCompleted</x:v>
      </x:c>
      <x:c r="F139" s="8" t="str">
        <x:v>Asha</x:v>
      </x:c>
      <x:c r="G139" s="8" t="str">
        <x:v>needs reproduction</x:v>
      </x:c>
      <x:c r="H139" s="8" t="str">
        <x:v>P2</x:v>
      </x:c>
      <x:c r="I139" s="8" t="str">
        <x:v>2026-02-01</x:v>
      </x:c>
      <x:c r="J139" s="8" t="str">
        <x:v>2026-04-27</x:v>
      </x:c>
      <x:c r="K139" s="8"/>
      <x:c r="L139" s="8" t="str">
        <x:v>A blank cell here is intentional. The source workbook has notes placed away from the nearest table.</x:v>
      </x:c>
      <x:c r="M139" s="8"/>
    </x:row>
    <x:row r="140">
      <x:c r="A140" s="8" t="str">
        <x:v>cookies</x:v>
      </x:c>
      <x:c r="B140" s="8" t="str">
        <x:v>macOS</x:v>
      </x:c>
      <x:c r="C140" s="8" t="str">
        <x:v>console event missing</x:v>
      </x:c>
      <x:c r="D140" s="8"/>
      <x:c r="E140" s="8" t="str">
        <x:v>use a bridge queue</x:v>
      </x:c>
      <x:c r="F140" s="8" t="str">
        <x:v>Diego</x:v>
      </x:c>
      <x:c r="G140" s="8" t="str">
        <x:v>investigating</x:v>
      </x:c>
      <x:c r="H140" s="8" t="str">
        <x:v>P2</x:v>
      </x:c>
      <x:c r="I140" s="8" t="str">
        <x:v>2026-03-01</x:v>
      </x:c>
      <x:c r="J140" s="8" t="str">
        <x:v>2026-05-20</x:v>
      </x:c>
      <x:c r="K140" s="8" t="str">
        <x:v>https://github.com/react-native-webview/react-native-webview</x:v>
      </x:c>
      <x:c r="L140" s="8"/>
      <x:c r="M140" s="8"/>
    </x:row>
    <x:row r="141">
      <x:c r="A141" s="8" t="str">
        <x:v>cookies</x:v>
      </x:c>
      <x:c r="B141" s="8" t="str">
        <x:v>macOS</x:v>
      </x:c>
      <x:c r="C141" s="8" t="str">
        <x:v>focus leaves native control</x:v>
      </x:c>
      <x:c r="D141" s="8"/>
      <x:c r="E141" s="8" t="str">
        <x:v>retry after NavigationCompleted</x:v>
      </x:c>
      <x:c r="F141" s="8" t="str">
        <x:v>Mei</x:v>
      </x:c>
      <x:c r="G141" s="8" t="str">
        <x:v>blocked</x:v>
      </x:c>
      <x:c r="H141" s="8" t="str">
        <x:v>P2</x:v>
      </x:c>
      <x:c r="I141" s="8" t="str">
        <x:v>2026-04-01</x:v>
      </x:c>
      <x:c r="J141" s="8" t="str">
        <x:v>2026-06-21</x:v>
      </x:c>
      <x:c r="K141" s="8"/>
      <x:c r="L141" s="8"/>
      <x:c r="M141" s="8"/>
    </x:row>
    <x:row r="142">
      <x:c r="A142" s="8" t="str">
        <x:v>rendering</x:v>
      </x:c>
      <x:c r="B142" s="8" t="str">
        <x:v>macOS</x:v>
      </x:c>
      <x:c r="C142" s="8" t="str">
        <x:v>scroll offset resets</x:v>
      </x:c>
      <x:c r="D142" s="8"/>
      <x:c r="E142" s="8" t="str">
        <x:v>increase timeout</x:v>
      </x:c>
      <x:c r="F142" s="8" t="str">
        <x:v>Carla</x:v>
      </x:c>
      <x:c r="G142" s="8" t="str">
        <x:v>investigating</x:v>
      </x:c>
      <x:c r="H142" s="8" t="str">
        <x:v>P1</x:v>
      </x:c>
      <x:c r="I142" s="8" t="str">
        <x:v>2026-05-01</x:v>
      </x:c>
      <x:c r="J142" s="8" t="str">
        <x:v>2026-07-22</x:v>
      </x:c>
      <x:c r="K142" s="8" t="str">
        <x:v>https://learn.microsoft.com/en-us/microsoft-edge/webview2/concepts/security</x:v>
      </x:c>
      <x:c r="L142" s="8" t="str">
        <x:v>The owner field was not captured in the original notes, so classification should remain conservative.</x:v>
      </x:c>
      <x:c r="M142" s="8"/>
    </x:row>
    <x:row r="143">
      <x:c r="A143" s="8" t="str">
        <x:v>rendering</x:v>
      </x:c>
      <x:c r="B143" s="8" t="str">
        <x:v>iOS</x:v>
      </x:c>
      <x:c r="C143" s="8" t="str">
        <x:v>console event missing</x:v>
      </x:c>
      <x:c r="D143" s="8" t="str">
        <x:v>open case 1131; repeat after cold start.</x:v>
      </x:c>
      <x:c r="E143" s="8" t="str">
        <x:v>increase timeout</x:v>
      </x:c>
      <x:c r="F143" s="8" t="str">
        <x:v>Carla</x:v>
      </x:c>
      <x:c r="G143" s="8" t="str">
        <x:v>open</x:v>
      </x:c>
      <x:c r="H143" s="8" t="str">
        <x:v>P1</x:v>
      </x:c>
      <x:c r="I143" s="8" t="str">
        <x:v>2026-06-01</x:v>
      </x:c>
      <x:c r="J143" s="8" t="str">
        <x:v>2026-08-23</x:v>
      </x:c>
      <x:c r="K143" s="8" t="str">
        <x:v>https://github.com/react-native-webview/react-native-webview</x:v>
      </x:c>
      <x:c r="L143" s="8"/>
      <x:c r="M143" s="8"/>
    </x:row>
    <x:row r="144">
      <x:c r="A144" s="8" t="str">
        <x:v>network</x:v>
      </x:c>
      <x:c r="B144" s="8" t="str">
        <x:v>Linux</x:v>
      </x:c>
      <x:c r="C144" s="8" t="str">
        <x:v>focus leaves native control</x:v>
      </x:c>
      <x:c r="D144" s="8" t="str">
        <x:v>open case 1132; repeat after reload.</x:v>
      </x:c>
      <x:c r="E144" s="8" t="str">
        <x:v>retry after NavigationCompleted</x:v>
      </x:c>
      <x:c r="F144" s="8" t="str">
        <x:v>Carla</x:v>
      </x:c>
      <x:c r="G144" s="8" t="str">
        <x:v>resolved</x:v>
      </x:c>
      <x:c r="H144" s="8" t="str">
        <x:v>P3</x:v>
      </x:c>
      <x:c r="I144" s="8" t="str">
        <x:v>2026-07-01</x:v>
      </x:c>
      <x:c r="J144" s="8" t="str">
        <x:v>2026-09-24</x:v>
      </x:c>
      <x:c r="K144" s="8" t="str">
        <x:v>https://developer.android.com/reference/android/webkit/WebView</x:v>
      </x:c>
      <x:c r="L144" s="8"/>
      <x:c r="M144" s="8"/>
    </x:row>
    <x:row r="145">
      <x:c r="A145" s="8" t="str">
        <x:v>cookies</x:v>
      </x:c>
      <x:c r="B145" s="8" t="str">
        <x:v>iOS</x:v>
      </x:c>
      <x:c r="C145" s="8" t="str">
        <x:v>blank page after reload</x:v>
      </x:c>
      <x:c r="D145" s="8"/>
      <x:c r="E145" s="8" t="str">
        <x:v>increase timeout</x:v>
      </x:c>
      <x:c r="F145" s="8" t="str">
        <x:v>Asha</x:v>
      </x:c>
      <x:c r="G145" s="8" t="str">
        <x:v>resolved</x:v>
      </x:c>
      <x:c r="H145" s="8" t="str">
        <x:v>P2</x:v>
      </x:c>
      <x:c r="I145" s="8" t="str">
        <x:v>2026-08-01</x:v>
      </x:c>
      <x:c r="J145" s="8" t="str">
        <x:v>2026-01-25</x:v>
      </x:c>
      <x:c r="K145" s="8" t="str">
        <x:v>https://developer.android.com/reference/android/webkit/WebView</x:v>
      </x:c>
      <x:c r="L145" s="8"/>
      <x:c r="M145" s="8"/>
    </x:row>
    <x:row r="146">
      <x:c r="A146" s="8" t="str">
        <x:v>network</x:v>
      </x:c>
      <x:c r="B146" s="8" t="str">
        <x:v>Linux</x:v>
      </x:c>
      <x:c r="C146" s="8" t="str">
        <x:v>blank page after reload</x:v>
      </x:c>
      <x:c r="D146" s="8" t="str">
        <x:v>open case 1134; repeat after cold start.</x:v>
      </x:c>
      <x:c r="E146" s="8" t="str">
        <x:v>reproduce on clean profile</x:v>
      </x:c>
      <x:c r="F146" s="8" t="str">
        <x:v>Mei</x:v>
      </x:c>
      <x:c r="G146" s="8" t="str">
        <x:v>open</x:v>
      </x:c>
      <x:c r="H146" s="8" t="str">
        <x:v>P2</x:v>
      </x:c>
      <x:c r="I146" s="8" t="str">
        <x:v>2026-09-01</x:v>
      </x:c>
      <x:c r="J146" s="8" t="str">
        <x:v>2026-02-26</x:v>
      </x:c>
      <x:c r="K146" s="8" t="str">
        <x:v>https://developer.microsoft.com/en-us/microsoft-edge/webview2/</x:v>
      </x:c>
      <x:c r="L146" s="8"/>
      <x:c r="M146" s="8"/>
    </x:row>
    <x:row r="147">
      <x:c r="A147" s="8" t="str">
        <x:v>cookies</x:v>
      </x:c>
      <x:c r="B147" s="8" t="str">
        <x:v>Android</x:v>
      </x:c>
      <x:c r="C147" s="8" t="str">
        <x:v>scroll offset resets</x:v>
      </x:c>
      <x:c r="D147" s="8" t="str">
        <x:v>open case 1135; repeat after sleep.</x:v>
      </x:c>
      <x:c r="E147" s="8" t="str">
        <x:v>set explicit user agent</x:v>
      </x:c>
      <x:c r="F147" s="8" t="str">
        <x:v>No owner</x:v>
      </x:c>
      <x:c r="G147" s="8" t="str">
        <x:v>resolved</x:v>
      </x:c>
      <x:c r="H147" s="8" t="str">
        <x:v>P2</x:v>
      </x:c>
      <x:c r="I147" s="8" t="str">
        <x:v>2026-01-01</x:v>
      </x:c>
      <x:c r="J147" s="8" t="str">
        <x:v>2026-03-27</x:v>
      </x:c>
      <x:c r="K147" s="8"/>
      <x:c r="L147" s="8" t="str">
        <x:v>This sentence is long enough to exercise wrapping and downstream chunk boundaries in Markdown output.</x:v>
      </x:c>
      <x:c r="M147" s="8"/>
    </x:row>
    <x:row r="148">
      <x:c r="A148" s="8" t="str">
        <x:v>rendering</x:v>
      </x:c>
      <x:c r="B148" s="8" t="str">
        <x:v>Android</x:v>
      </x:c>
      <x:c r="C148" s="8" t="str">
        <x:v>focus leaves native control</x:v>
      </x:c>
      <x:c r="D148" s="8"/>
      <x:c r="E148" s="8" t="str">
        <x:v>increase timeout</x:v>
      </x:c>
      <x:c r="F148" s="8" t="str">
        <x:v>Diego</x:v>
      </x:c>
      <x:c r="G148" s="8" t="str">
        <x:v>blocked</x:v>
      </x:c>
      <x:c r="H148" s="8" t="str">
        <x:v>P2</x:v>
      </x:c>
      <x:c r="I148" s="8" t="str">
        <x:v>2026-02-01</x:v>
      </x:c>
      <x:c r="J148" s="8" t="str">
        <x:v>2026-04-20</x:v>
      </x:c>
      <x:c r="K148" s="8" t="str">
        <x:v>https://developer.android.com/reference/android/webkit/WebView</x:v>
      </x:c>
      <x:c r="L148" s="8"/>
      <x:c r="M148" s="8"/>
    </x:row>
    <x:row r="149">
      <x:c r="A149" s="8" t="str">
        <x:v>rendering</x:v>
      </x:c>
      <x:c r="B149" s="8" t="str">
        <x:v>iOS</x:v>
      </x:c>
      <x:c r="C149" s="8" t="str">
        <x:v>large response times out</x:v>
      </x:c>
      <x:c r="D149" s="8"/>
      <x:c r="E149" s="8" t="str">
        <x:v>increase timeout</x:v>
      </x:c>
      <x:c r="F149" s="8" t="str">
        <x:v>Mei</x:v>
      </x:c>
      <x:c r="G149" s="8" t="str">
        <x:v>resolved</x:v>
      </x:c>
      <x:c r="H149" s="8" t="str">
        <x:v>P2</x:v>
      </x:c>
      <x:c r="I149" s="8" t="str">
        <x:v>2026-03-01</x:v>
      </x:c>
      <x:c r="J149" s="8" t="str">
        <x:v>2026-05-21</x:v>
      </x:c>
      <x:c r="K149" s="8" t="str">
        <x:v>https://developer.apple.com/documentation/webkit/wkwebview</x:v>
      </x:c>
      <x:c r="L149" s="8" t="str">
        <x:v>Verify behavior on a cold start and after the page reloads without destroying the native view.</x:v>
      </x:c>
      <x:c r="M149" s="8"/>
    </x:row>
    <x:row r="150">
      <x:c r="A150" s="8" t="str">
        <x:v>rendering</x:v>
      </x:c>
      <x:c r="B150" s="8" t="str">
        <x:v>Windows</x:v>
      </x:c>
      <x:c r="C150" s="8" t="str">
        <x:v>scroll offset resets</x:v>
      </x:c>
      <x:c r="D150" s="8" t="str">
        <x:v>open case 1138; repeat after sleep.</x:v>
      </x:c>
      <x:c r="E150" s="8" t="str">
        <x:v>reproduce on clean profile</x:v>
      </x:c>
      <x:c r="F150" s="8" t="str">
        <x:v>No owner</x:v>
      </x:c>
      <x:c r="G150" s="8" t="str">
        <x:v>needs reproduction</x:v>
      </x:c>
      <x:c r="H150" s="8" t="str">
        <x:v>P2</x:v>
      </x:c>
      <x:c r="I150" s="8" t="str">
        <x:v>2026-04-01</x:v>
      </x:c>
      <x:c r="J150" s="8" t="str">
        <x:v>2026-06-22</x:v>
      </x:c>
      <x:c r="K150" s="8" t="str">
        <x:v>https://learn.microsoft.com/en-us/microsoft-edge/webview2/concepts/security</x:v>
      </x:c>
      <x:c r="L150" s="8"/>
      <x:c r="M150" s="8"/>
    </x:row>
    <x:row r="151">
      <x:c r="A151" s="8" t="str">
        <x:v>input</x:v>
      </x:c>
      <x:c r="B151" s="8" t="str">
        <x:v>iOS</x:v>
      </x:c>
      <x:c r="C151" s="8" t="str">
        <x:v>focus leaves native control</x:v>
      </x:c>
      <x:c r="D151" s="8" t="str">
        <x:v>open case 1139; repeat after sleep.</x:v>
      </x:c>
      <x:c r="E151" s="8" t="str">
        <x:v>none yet</x:v>
      </x:c>
      <x:c r="F151" s="8" t="str">
        <x:v>No owner</x:v>
      </x:c>
      <x:c r="G151" s="8" t="str">
        <x:v>needs reproduction</x:v>
      </x:c>
      <x:c r="H151" s="8" t="str">
        <x:v>P2</x:v>
      </x:c>
      <x:c r="I151" s="8" t="str">
        <x:v>2026-05-01</x:v>
      </x:c>
      <x:c r="J151" s="8" t="str">
        <x:v>2026-07-23</x:v>
      </x:c>
      <x:c r="K151" s="8" t="str">
        <x:v>https://learn.microsoft.com/en-us/microsoft-edge/webview2/concepts/security</x:v>
      </x:c>
      <x:c r="L151" s="8" t="str">
        <x:v>Potential duplicate: this paragraph is repeated in another section to test deduplication and chunk metadata.</x:v>
      </x:c>
      <x:c r="M151" s="8"/>
    </x:row>
    <x:row r="152">
      <x:c r="A152" s="8" t="str">
        <x:v>input</x:v>
      </x:c>
      <x:c r="B152" s="8" t="str">
        <x:v>Android</x:v>
      </x:c>
      <x:c r="C152" s="8" t="str">
        <x:v>blank page after reload</x:v>
      </x:c>
      <x:c r="D152" s="8" t="str">
        <x:v>open case 1140; repeat after sleep.</x:v>
      </x:c>
      <x:c r="E152" s="8" t="str">
        <x:v>set explicit user agent</x:v>
      </x:c>
      <x:c r="F152" s="8" t="str">
        <x:v>Carla</x:v>
      </x:c>
      <x:c r="G152" s="8" t="str">
        <x:v>blocked</x:v>
      </x:c>
      <x:c r="H152" s="8" t="str">
        <x:v>P1</x:v>
      </x:c>
      <x:c r="I152" s="8" t="str">
        <x:v>2026-06-01</x:v>
      </x:c>
      <x:c r="J152" s="8" t="str">
        <x:v>2026-08-24</x:v>
      </x:c>
      <x:c r="K152" s="8"/>
      <x:c r="L152" s="8" t="str">
        <x:v>This sentence is long enough to exercise wrapping and downstream chunk boundaries in Markdown output.</x:v>
      </x:c>
      <x:c r="M152" s="8"/>
    </x:row>
    <x:row r="153">
      <x:c r="A153" s="8" t="str">
        <x:v>Category</x:v>
      </x:c>
      <x:c r="B153" s="8" t="str">
        <x:v>Platform</x:v>
      </x:c>
      <x:c r="C153" s="8" t="str">
        <x:v>Symptom</x:v>
      </x:c>
      <x:c r="D153" s="8" t="str">
        <x:v>Reproduction</x:v>
      </x:c>
      <x:c r="E153" s="8" t="str">
        <x:v>Workaround</x:v>
      </x:c>
      <x:c r="F153" s="8" t="str">
        <x:v>Owner</x:v>
      </x:c>
      <x:c r="G153" s="8" t="str">
        <x:v>Status</x:v>
      </x:c>
      <x:c r="H153" s="8" t="str">
        <x:v>Severity</x:v>
      </x:c>
      <x:c r="I153" s="8" t="str">
        <x:v>First seen</x:v>
      </x:c>
      <x:c r="J153" s="8" t="str">
        <x:v>Last seen</x:v>
      </x:c>
      <x:c r="K153" s="8" t="str">
        <x:v>Reference</x:v>
      </x:c>
      <x:c r="L153" s="8" t="str">
        <x:v>Free note</x:v>
      </x:c>
      <x:c r="M153" s="8" t="str">
        <x:v>repeated header</x:v>
      </x:c>
    </x:row>
    <x:row r="154">
      <x:c r="A154" s="8" t="str">
        <x:v>rendering</x:v>
      </x:c>
      <x:c r="B154" s="8" t="str">
        <x:v>Linux</x:v>
      </x:c>
      <x:c r="C154" s="8" t="str">
        <x:v>blank page after reload</x:v>
      </x:c>
      <x:c r="D154" s="8" t="str">
        <x:v>open case 1141; repeat after reload.</x:v>
      </x:c>
      <x:c r="E154" s="8" t="str">
        <x:v>retry after NavigationCompleted</x:v>
      </x:c>
      <x:c r="F154" s="8" t="str">
        <x:v>Carla</x:v>
      </x:c>
      <x:c r="G154" s="8" t="str">
        <x:v>needs reproduction</x:v>
      </x:c>
      <x:c r="H154" s="8" t="str">
        <x:v>P3</x:v>
      </x:c>
      <x:c r="I154" s="8" t="str">
        <x:v>2026-07-01</x:v>
      </x:c>
      <x:c r="J154" s="8" t="str">
        <x:v>2026-09-25</x:v>
      </x:c>
      <x:c r="K154" s="8"/>
      <x:c r="L154" s="8"/>
      <x:c r="M154" s="8"/>
    </x:row>
    <x:row r="155">
      <x:c r="A155" s="8" t="str">
        <x:v>input</x:v>
      </x:c>
      <x:c r="B155" s="8" t="str">
        <x:v>Android</x:v>
      </x:c>
      <x:c r="C155" s="8" t="str">
        <x:v>focus leaves native control</x:v>
      </x:c>
      <x:c r="D155" s="8" t="str">
        <x:v>open case 1142; repeat after sleep.</x:v>
      </x:c>
      <x:c r="E155" s="8" t="str">
        <x:v>use a bridge queue</x:v>
      </x:c>
      <x:c r="F155" s="8" t="str">
        <x:v>No owner</x:v>
      </x:c>
      <x:c r="G155" s="8" t="str">
        <x:v>resolved</x:v>
      </x:c>
      <x:c r="H155" s="8" t="str">
        <x:v>P3</x:v>
      </x:c>
      <x:c r="I155" s="8" t="str">
        <x:v>2026-08-01</x:v>
      </x:c>
      <x:c r="J155" s="8" t="str">
        <x:v>2026-01-26</x:v>
      </x:c>
      <x:c r="K155" s="8" t="str">
        <x:v>https://learn.microsoft.com/en-us/microsoft-edge/webview2/concepts/security</x:v>
      </x:c>
      <x:c r="L155" s="8"/>
      <x:c r="M155" s="8"/>
    </x:row>
    <x:row r="156">
      <x:c r="A156" s="8" t="str">
        <x:v>input</x:v>
      </x:c>
      <x:c r="B156" s="8" t="str">
        <x:v>Windows</x:v>
      </x:c>
      <x:c r="C156" s="8" t="str">
        <x:v>large response times out</x:v>
      </x:c>
      <x:c r="D156" s="8" t="str">
        <x:v>open case 1143; repeat after offline toggle.</x:v>
      </x:c>
      <x:c r="E156" s="8" t="str">
        <x:v>use a bridge queue</x:v>
      </x:c>
      <x:c r="F156" s="8" t="str">
        <x:v>Diego</x:v>
      </x:c>
      <x:c r="G156" s="8" t="str">
        <x:v>blocked</x:v>
      </x:c>
      <x:c r="H156" s="8" t="str">
        <x:v>P1</x:v>
      </x:c>
      <x:c r="I156" s="8" t="str">
        <x:v>2026-09-01</x:v>
      </x:c>
      <x:c r="J156" s="8" t="str">
        <x:v>2026-02-27</x:v>
      </x:c>
      <x:c r="K156" s="8"/>
      <x:c r="L156" s="8"/>
      <x:c r="M156" s="8"/>
    </x:row>
    <x:row r="157">
      <x:c r="A157" s="8" t="str">
        <x:v>download</x:v>
      </x:c>
      <x:c r="B157" s="8" t="str">
        <x:v>iOS</x:v>
      </x:c>
      <x:c r="C157" s="8" t="str">
        <x:v>resource blocked by policy</x:v>
      </x:c>
      <x:c r="D157" s="8"/>
      <x:c r="E157" s="8" t="str">
        <x:v>none yet</x:v>
      </x:c>
      <x:c r="F157" s="8" t="str">
        <x:v>Asha</x:v>
      </x:c>
      <x:c r="G157" s="8" t="str">
        <x:v>blocked</x:v>
      </x:c>
      <x:c r="H157" s="8" t="str">
        <x:v>P0</x:v>
      </x:c>
      <x:c r="I157" s="8" t="str">
        <x:v>2026-01-01</x:v>
      </x:c>
      <x:c r="J157" s="8" t="str">
        <x:v>2026-03-20</x:v>
      </x:c>
      <x:c r="K157" s="8"/>
      <x:c r="L157" s="8"/>
      <x:c r="M157" s="8"/>
    </x:row>
    <x:row r="158">
      <x:c r="A158" s="8" t="str">
        <x:v>network</x:v>
      </x:c>
      <x:c r="B158" s="8" t="str">
        <x:v>Windows</x:v>
      </x:c>
      <x:c r="C158" s="8" t="str">
        <x:v>scroll offset resets</x:v>
      </x:c>
      <x:c r="D158" s="8" t="str">
        <x:v>open case 1145; repeat after reload.</x:v>
      </x:c>
      <x:c r="E158" s="8" t="str">
        <x:v>none yet</x:v>
      </x:c>
      <x:c r="F158" s="8" t="str">
        <x:v>Asha</x:v>
      </x:c>
      <x:c r="G158" s="8" t="str">
        <x:v>investigating</x:v>
      </x:c>
      <x:c r="H158" s="8" t="str">
        <x:v>P1</x:v>
      </x:c>
      <x:c r="I158" s="8" t="str">
        <x:v>2026-02-01</x:v>
      </x:c>
      <x:c r="J158" s="8" t="str">
        <x:v>2026-04-21</x:v>
      </x:c>
      <x:c r="K158" s="8" t="str">
        <x:v>https://developer.apple.com/documentation/webkit/wkwebview</x:v>
      </x:c>
      <x:c r="L158" s="8" t="str">
        <x:v>Observed in a local test run: the content rendered, but the console warning appeared twice.</x:v>
      </x:c>
      <x:c r="M158" s="8"/>
    </x:row>
    <x:row r="159">
      <x:c r="A159" s="8" t="str">
        <x:v>input</x:v>
      </x:c>
      <x:c r="B159" s="8" t="str">
        <x:v>Linux</x:v>
      </x:c>
      <x:c r="C159" s="8" t="str">
        <x:v>large response times out</x:v>
      </x:c>
      <x:c r="D159" s="8" t="str">
        <x:v>open case 1146; repeat after reload.</x:v>
      </x:c>
      <x:c r="E159" s="8" t="str">
        <x:v>none yet</x:v>
      </x:c>
      <x:c r="F159" s="8" t="str">
        <x:v>Mei</x:v>
      </x:c>
      <x:c r="G159" s="8" t="str">
        <x:v>needs reproduction</x:v>
      </x:c>
      <x:c r="H159" s="8" t="str">
        <x:v>P3</x:v>
      </x:c>
      <x:c r="I159" s="8" t="str">
        <x:v>2026-03-01</x:v>
      </x:c>
      <x:c r="J159" s="8" t="str">
        <x:v>2026-05-22</x:v>
      </x:c>
      <x:c r="K159" s="8"/>
      <x:c r="L159" s="8" t="str">
        <x:v>This sentence is long enough to exercise wrapping and downstream chunk boundaries in Markdown output.</x:v>
      </x:c>
      <x:c r="M159" s="8"/>
    </x:row>
    <x:row r="160">
      <x:c r="A160" s="8" t="str">
        <x:v>rendering</x:v>
      </x:c>
      <x:c r="B160" s="8" t="str">
        <x:v>Windows</x:v>
      </x:c>
      <x:c r="C160" s="8" t="str">
        <x:v>large response times out</x:v>
      </x:c>
      <x:c r="D160" s="8"/>
      <x:c r="E160" s="8" t="str">
        <x:v>set explicit user agent</x:v>
      </x:c>
      <x:c r="F160" s="8" t="str">
        <x:v>Ben</x:v>
      </x:c>
      <x:c r="G160" s="8" t="str">
        <x:v>investigating</x:v>
      </x:c>
      <x:c r="H160" s="8" t="str">
        <x:v>P0</x:v>
      </x:c>
      <x:c r="I160" s="8" t="str">
        <x:v>2026-04-01</x:v>
      </x:c>
      <x:c r="J160" s="8" t="str">
        <x:v>2026-06-23</x:v>
      </x:c>
      <x:c r="K160" s="8"/>
      <x:c r="L160" s="8"/>
      <x:c r="M160" s="8"/>
    </x:row>
    <x:row r="161">
      <x:c r="A161" s="8" t="str">
        <x:v>cookies</x:v>
      </x:c>
      <x:c r="B161" s="8" t="str">
        <x:v>Windows</x:v>
      </x:c>
      <x:c r="C161" s="8" t="str">
        <x:v>blank page after reload</x:v>
      </x:c>
      <x:c r="D161" s="8" t="str">
        <x:v>open case 1148; repeat after reload.</x:v>
      </x:c>
      <x:c r="E161" s="8" t="str">
        <x:v>increase timeout</x:v>
      </x:c>
      <x:c r="F161" s="8" t="str">
        <x:v>Ben</x:v>
      </x:c>
      <x:c r="G161" s="8" t="str">
        <x:v>resolved</x:v>
      </x:c>
      <x:c r="H161" s="8" t="str">
        <x:v>P0</x:v>
      </x:c>
      <x:c r="I161" s="8" t="str">
        <x:v>2026-05-01</x:v>
      </x:c>
      <x:c r="J161" s="8" t="str">
        <x:v>2026-07-24</x:v>
      </x:c>
      <x:c r="K161" s="8"/>
      <x:c r="L161" s="8" t="str">
        <x:v>Potential duplicate: this paragraph is repeated in another section to test deduplication and chunk metadata.</x:v>
      </x:c>
      <x:c r="M161" s="8"/>
    </x:row>
    <x:row r="162">
      <x:c r="A162" s="8" t="str">
        <x:v>network</x:v>
      </x:c>
      <x:c r="B162" s="8" t="str">
        <x:v>Windows</x:v>
      </x:c>
      <x:c r="C162" s="8" t="str">
        <x:v>resource blocked by policy</x:v>
      </x:c>
      <x:c r="D162" s="8"/>
      <x:c r="E162" s="8" t="str">
        <x:v>use a bridge queue</x:v>
      </x:c>
      <x:c r="F162" s="8" t="str">
        <x:v>No owner</x:v>
      </x:c>
      <x:c r="G162" s="8" t="str">
        <x:v>open</x:v>
      </x:c>
      <x:c r="H162" s="8" t="str">
        <x:v>P2</x:v>
      </x:c>
      <x:c r="I162" s="8" t="str">
        <x:v>2026-06-01</x:v>
      </x:c>
      <x:c r="J162" s="8" t="str">
        <x:v>2026-08-25</x:v>
      </x:c>
      <x:c r="K162" s="8"/>
      <x:c r="L162" s="8"/>
      <x:c r="M162" s="8"/>
    </x:row>
    <x:row r="163">
      <x:c r="A163" s="8" t="str">
        <x:v>network</x:v>
      </x:c>
      <x:c r="B163" s="8" t="str">
        <x:v>Windows</x:v>
      </x:c>
      <x:c r="C163" s="8" t="str">
        <x:v>focus leaves native control</x:v>
      </x:c>
      <x:c r="D163" s="8" t="str">
        <x:v>open case 1150; repeat after cold start.</x:v>
      </x:c>
      <x:c r="E163" s="8" t="str">
        <x:v>reproduce on clean profile</x:v>
      </x:c>
      <x:c r="F163" s="8" t="str">
        <x:v>Carla</x:v>
      </x:c>
      <x:c r="G163" s="8" t="str">
        <x:v>investigating</x:v>
      </x:c>
      <x:c r="H163" s="8" t="str">
        <x:v>P3</x:v>
      </x:c>
      <x:c r="I163" s="8" t="str">
        <x:v>2026-07-01</x:v>
      </x:c>
      <x:c r="J163" s="8" t="str">
        <x:v>2026-09-26</x:v>
      </x:c>
      <x:c r="K163" s="8"/>
      <x:c r="L163" s="8" t="str">
        <x:v>This sentence is long enough to exercise wrapping and downstream chunk boundaries in Markdown output.</x:v>
      </x:c>
      <x:c r="M163" s="8"/>
    </x:row>
    <x:row r="164">
      <x:c r="A164" s="8" t="str">
        <x:v>input</x:v>
      </x:c>
      <x:c r="B164" s="8" t="str">
        <x:v>macOS</x:v>
      </x:c>
      <x:c r="C164" s="8" t="str">
        <x:v>large response times out</x:v>
      </x:c>
      <x:c r="D164" s="8"/>
      <x:c r="E164" s="8" t="str">
        <x:v>set explicit user agent</x:v>
      </x:c>
      <x:c r="F164" s="8" t="str">
        <x:v>Mei</x:v>
      </x:c>
      <x:c r="G164" s="8" t="str">
        <x:v>investigating</x:v>
      </x:c>
      <x:c r="H164" s="8" t="str">
        <x:v>P2</x:v>
      </x:c>
      <x:c r="I164" s="8" t="str">
        <x:v>2026-08-01</x:v>
      </x:c>
      <x:c r="J164" s="8" t="str">
        <x:v>2026-01-27</x:v>
      </x:c>
      <x:c r="K164" s="8" t="str">
        <x:v>https://github.com/react-native-webview/react-native-webview</x:v>
      </x:c>
      <x:c r="L164" s="8"/>
      <x:c r="M164" s="8"/>
    </x:row>
    <x:row r="165">
      <x:c r="A165" s="8" t="str">
        <x:v>input</x:v>
      </x:c>
      <x:c r="B165" s="8" t="str">
        <x:v>iOS</x:v>
      </x:c>
      <x:c r="C165" s="8" t="str">
        <x:v>large response times out</x:v>
      </x:c>
      <x:c r="D165" s="8" t="str">
        <x:v>open case 1152; repeat after sleep.</x:v>
      </x:c>
      <x:c r="E165" s="8" t="str">
        <x:v>none yet</x:v>
      </x:c>
      <x:c r="F165" s="8" t="str">
        <x:v>Mei</x:v>
      </x:c>
      <x:c r="G165" s="8" t="str">
        <x:v>open</x:v>
      </x:c>
      <x:c r="H165" s="8" t="str">
        <x:v>P3</x:v>
      </x:c>
      <x:c r="I165" s="8" t="str">
        <x:v>2026-09-01</x:v>
      </x:c>
      <x:c r="J165" s="8" t="str">
        <x:v>2026-02-20</x:v>
      </x:c>
      <x:c r="K165" s="8" t="str">
        <x:v>https://developer.microsoft.com/en-us/microsoft-edge/webview2/</x:v>
      </x:c>
      <x:c r="L165" s="8" t="str">
        <x:v>Potential duplicate: this paragraph is repeated in another section to test deduplication and chunk metadata.</x:v>
      </x:c>
      <x:c r="M165" s="8"/>
    </x:row>
    <x:row r="166">
      <x:c r="A166" s="8" t="str">
        <x:v>network</x:v>
      </x:c>
      <x:c r="B166" s="8" t="str">
        <x:v>Windows</x:v>
      </x:c>
      <x:c r="C166" s="8" t="str">
        <x:v>resource blocked by policy</x:v>
      </x:c>
      <x:c r="D166" s="8"/>
      <x:c r="E166" s="8" t="str">
        <x:v>increase timeout</x:v>
      </x:c>
      <x:c r="F166" s="8" t="str">
        <x:v>Diego</x:v>
      </x:c>
      <x:c r="G166" s="8" t="str">
        <x:v>needs reproduction</x:v>
      </x:c>
      <x:c r="H166" s="8" t="str">
        <x:v>P3</x:v>
      </x:c>
      <x:c r="I166" s="8" t="str">
        <x:v>2026-01-01</x:v>
      </x:c>
      <x:c r="J166" s="8" t="str">
        <x:v>2026-03-21</x:v>
      </x:c>
      <x:c r="K166" s="8" t="str">
        <x:v>https://developer.microsoft.com/en-us/microsoft-edge/webview2/</x:v>
      </x:c>
      <x:c r="L166" s="8"/>
      <x:c r="M166" s="8"/>
    </x:row>
    <x:row r="167">
      <x:c r="A167" s="8" t="str">
        <x:v>rendering</x:v>
      </x:c>
      <x:c r="B167" s="8" t="str">
        <x:v>Android</x:v>
      </x:c>
      <x:c r="C167" s="8" t="str">
        <x:v>scroll offset resets</x:v>
      </x:c>
      <x:c r="D167" s="8" t="str">
        <x:v>open case 1154; repeat after cold start.</x:v>
      </x:c>
      <x:c r="E167" s="8" t="str">
        <x:v>use a bridge queue</x:v>
      </x:c>
      <x:c r="F167" s="8" t="str">
        <x:v>Carla</x:v>
      </x:c>
      <x:c r="G167" s="8" t="str">
        <x:v>needs reproduction</x:v>
      </x:c>
      <x:c r="H167" s="8" t="str">
        <x:v>P0</x:v>
      </x:c>
      <x:c r="I167" s="8" t="str">
        <x:v>2026-02-01</x:v>
      </x:c>
      <x:c r="J167" s="8" t="str">
        <x:v>2026-04-22</x:v>
      </x:c>
      <x:c r="K167" s="8" t="str">
        <x:v>https://developer.android.com/reference/android/webkit/WebView</x:v>
      </x:c>
      <x:c r="L167" s="8"/>
      <x:c r="M167" s="8"/>
    </x:row>
    <x:row r="168">
      <x:c r="A168" s="8"/>
      <x:c r="B168" s="8"/>
      <x:c r="C168" s="8"/>
      <x:c r="D168" s="8"/>
      <x:c r="E168" s="8"/>
      <x:c r="F168" s="8"/>
      <x:c r="G168" s="8"/>
      <x:c r="H168" s="8"/>
      <x:c r="I168" s="8"/>
      <x:c r="J168" s="8"/>
      <x:c r="K168" s="8"/>
      <x:c r="L168" s="8"/>
      <x:c r="M168" s="8"/>
    </x:row>
    <x:row r="169">
      <x:c r="A169" s="8" t="str">
        <x:v>cookies</x:v>
      </x:c>
      <x:c r="B169" s="8" t="str">
        <x:v>macOS</x:v>
      </x:c>
      <x:c r="C169" s="8" t="str">
        <x:v>large response times out</x:v>
      </x:c>
      <x:c r="D169" s="8"/>
      <x:c r="E169" s="8" t="str">
        <x:v>use a bridge queue</x:v>
      </x:c>
      <x:c r="F169" s="8" t="str">
        <x:v>Asha</x:v>
      </x:c>
      <x:c r="G169" s="8" t="str">
        <x:v>investigating</x:v>
      </x:c>
      <x:c r="H169" s="8" t="str">
        <x:v>P0</x:v>
      </x:c>
      <x:c r="I169" s="8" t="str">
        <x:v>2026-03-01</x:v>
      </x:c>
      <x:c r="J169" s="8" t="str">
        <x:v>2026-05-23</x:v>
      </x:c>
      <x:c r="K169" s="8"/>
      <x:c r="L169" s="8"/>
      <x:c r="M169" s="8"/>
    </x:row>
    <x:row r="170">
      <x:c r="A170" s="8" t="str">
        <x:v>input</x:v>
      </x:c>
      <x:c r="B170" s="8" t="str">
        <x:v>macOS</x:v>
      </x:c>
      <x:c r="C170" s="8" t="str">
        <x:v>focus leaves native control</x:v>
      </x:c>
      <x:c r="D170" s="8"/>
      <x:c r="E170" s="8" t="str">
        <x:v>increase timeout</x:v>
      </x:c>
      <x:c r="F170" s="8" t="str">
        <x:v>Mei</x:v>
      </x:c>
      <x:c r="G170" s="8" t="str">
        <x:v>open</x:v>
      </x:c>
      <x:c r="H170" s="8" t="str">
        <x:v>P0</x:v>
      </x:c>
      <x:c r="I170" s="8" t="str">
        <x:v>2026-04-01</x:v>
      </x:c>
      <x:c r="J170" s="8" t="str">
        <x:v>2026-06-24</x:v>
      </x:c>
      <x:c r="K170" s="8"/>
      <x:c r="L170" s="8" t="str">
        <x:v>This sentence is long enough to exercise wrapping and downstream chunk boundaries in Markdown output.</x:v>
      </x:c>
      <x:c r="M170" s="8"/>
    </x:row>
    <x:row r="171">
      <x:c r="A171" s="8" t="str">
        <x:v>download</x:v>
      </x:c>
      <x:c r="B171" s="8" t="str">
        <x:v>macOS</x:v>
      </x:c>
      <x:c r="C171" s="8" t="str">
        <x:v>blank page after reload</x:v>
      </x:c>
      <x:c r="D171" s="8" t="str">
        <x:v>open case 1157; repeat after reload.</x:v>
      </x:c>
      <x:c r="E171" s="8" t="str">
        <x:v>set explicit user agent</x:v>
      </x:c>
      <x:c r="F171" s="8" t="str">
        <x:v>Ben</x:v>
      </x:c>
      <x:c r="G171" s="8" t="str">
        <x:v>resolved</x:v>
      </x:c>
      <x:c r="H171" s="8" t="str">
        <x:v>P3</x:v>
      </x:c>
      <x:c r="I171" s="8" t="str">
        <x:v>2026-05-01</x:v>
      </x:c>
      <x:c r="J171" s="8" t="str">
        <x:v>2026-07-25</x:v>
      </x:c>
      <x:c r="K171" s="8"/>
      <x:c r="L171" s="8" t="str">
        <x:v>Follow-up: compare the result when the network security policy is relaxed versus when it is enforced.</x:v>
      </x:c>
      <x:c r="M171" s="8"/>
    </x:row>
    <x:row r="172">
      <x:c r="A172" s="8" t="str">
        <x:v>network</x:v>
      </x:c>
      <x:c r="B172" s="8" t="str">
        <x:v>Windows</x:v>
      </x:c>
      <x:c r="C172" s="8" t="str">
        <x:v>blank page after reload</x:v>
      </x:c>
      <x:c r="D172" s="8"/>
      <x:c r="E172" s="8" t="str">
        <x:v>set explicit user agent</x:v>
      </x:c>
      <x:c r="F172" s="8" t="str">
        <x:v>Asha</x:v>
      </x:c>
      <x:c r="G172" s="8" t="str">
        <x:v>needs reproduction</x:v>
      </x:c>
      <x:c r="H172" s="8" t="str">
        <x:v>P1</x:v>
      </x:c>
      <x:c r="I172" s="8" t="str">
        <x:v>2026-06-01</x:v>
      </x:c>
      <x:c r="J172" s="8" t="str">
        <x:v>2026-08-26</x:v>
      </x:c>
      <x:c r="K172" s="8" t="str">
        <x:v>https://developer.android.com/reference/android/webkit/WebView</x:v>
      </x:c>
      <x:c r="L172" s="8"/>
      <x:c r="M172" s="8"/>
    </x:row>
    <x:row r="173">
      <x:c r="A173" s="8" t="str">
        <x:v>network</x:v>
      </x:c>
      <x:c r="B173" s="8" t="str">
        <x:v>Windows</x:v>
      </x:c>
      <x:c r="C173" s="8" t="str">
        <x:v>focus leaves native control</x:v>
      </x:c>
      <x:c r="D173" s="8" t="str">
        <x:v>open case 1159; repeat after reload.</x:v>
      </x:c>
      <x:c r="E173" s="8" t="str">
        <x:v>set explicit user agent</x:v>
      </x:c>
      <x:c r="F173" s="8" t="str">
        <x:v>Asha</x:v>
      </x:c>
      <x:c r="G173" s="8" t="str">
        <x:v>blocked</x:v>
      </x:c>
      <x:c r="H173" s="8" t="str">
        <x:v>P0</x:v>
      </x:c>
      <x:c r="I173" s="8" t="str">
        <x:v>2026-07-01</x:v>
      </x:c>
      <x:c r="J173" s="8" t="str">
        <x:v>2026-09-27</x:v>
      </x:c>
      <x:c r="K173" s="8" t="str">
        <x:v>https://developer.microsoft.com/en-us/microsoft-edge/webview2/</x:v>
      </x:c>
      <x:c r="L173" s="8" t="str">
        <x:v>Observed in a local test run: the content rendered, but the console warning appeared twice.</x:v>
      </x:c>
      <x:c r="M173" s="8"/>
    </x:row>
    <x:row r="174">
      <x:c r="A174" s="8" t="str">
        <x:v>network</x:v>
      </x:c>
      <x:c r="B174" s="8" t="str">
        <x:v>Android</x:v>
      </x:c>
      <x:c r="C174" s="8" t="str">
        <x:v>large response times out</x:v>
      </x:c>
      <x:c r="D174" s="8" t="str">
        <x:v>open case 1160; repeat after offline toggle.</x:v>
      </x:c>
      <x:c r="E174" s="8" t="str">
        <x:v>none yet</x:v>
      </x:c>
      <x:c r="F174" s="8" t="str">
        <x:v>Asha</x:v>
      </x:c>
      <x:c r="G174" s="8" t="str">
        <x:v>investigating</x:v>
      </x:c>
      <x:c r="H174" s="8" t="str">
        <x:v>P2</x:v>
      </x:c>
      <x:c r="I174" s="8" t="str">
        <x:v>2026-08-01</x:v>
      </x:c>
      <x:c r="J174" s="8" t="str">
        <x:v>2026-01-20</x:v>
      </x:c>
      <x:c r="K174" s="8" t="str">
        <x:v>https://developer.apple.com/documentation/webkit/wkwebview</x:v>
      </x:c>
      <x:c r="L174" s="8" t="str">
        <x:v>The owner field was not captured in the original notes, so classification should remain conservative.</x:v>
      </x:c>
      <x:c r="M174" s="8"/>
    </x:row>
    <x:row r="175">
      <x:c r="A175" s="8" t="str">
        <x:v>cookies</x:v>
      </x:c>
      <x:c r="B175" s="8" t="str">
        <x:v>Linux</x:v>
      </x:c>
      <x:c r="C175" s="8" t="str">
        <x:v>focus leaves native control</x:v>
      </x:c>
      <x:c r="D175" s="8" t="str">
        <x:v>open case 1161; repeat after cold start.</x:v>
      </x:c>
      <x:c r="E175" s="8" t="str">
        <x:v>increase timeout</x:v>
      </x:c>
      <x:c r="F175" s="8" t="str">
        <x:v>Diego</x:v>
      </x:c>
      <x:c r="G175" s="8" t="str">
        <x:v>open</x:v>
      </x:c>
      <x:c r="H175" s="8" t="str">
        <x:v>P0</x:v>
      </x:c>
      <x:c r="I175" s="8" t="str">
        <x:v>2026-09-01</x:v>
      </x:c>
      <x:c r="J175" s="8" t="str">
        <x:v>2026-02-21</x:v>
      </x:c>
      <x:c r="K175" s="8"/>
      <x:c r="L175" s="8"/>
      <x:c r="M175" s="8"/>
    </x:row>
    <x:row r="176">
      <x:c r="A176" s="8" t="str">
        <x:v>network</x:v>
      </x:c>
      <x:c r="B176" s="8" t="str">
        <x:v>macOS</x:v>
      </x:c>
      <x:c r="C176" s="8" t="str">
        <x:v>large response times out</x:v>
      </x:c>
      <x:c r="D176" s="8" t="str">
        <x:v>open case 1162; repeat after sleep.</x:v>
      </x:c>
      <x:c r="E176" s="8" t="str">
        <x:v>increase timeout</x:v>
      </x:c>
      <x:c r="F176" s="8" t="str">
        <x:v>Asha</x:v>
      </x:c>
      <x:c r="G176" s="8" t="str">
        <x:v>blocked</x:v>
      </x:c>
      <x:c r="H176" s="8" t="str">
        <x:v>P2</x:v>
      </x:c>
      <x:c r="I176" s="8" t="str">
        <x:v>2026-01-01</x:v>
      </x:c>
      <x:c r="J176" s="8" t="str">
        <x:v>2026-03-22</x:v>
      </x:c>
      <x:c r="K176" s="8"/>
      <x:c r="L176" s="8" t="str">
        <x:v>Verify behavior on a cold start and after the page reloads without destroying the native view.</x:v>
      </x:c>
      <x:c r="M176" s="8"/>
    </x:row>
    <x:row r="177">
      <x:c r="A177" s="8" t="str">
        <x:v>network</x:v>
      </x:c>
      <x:c r="B177" s="8" t="str">
        <x:v>macOS</x:v>
      </x:c>
      <x:c r="C177" s="8" t="str">
        <x:v>large response times out</x:v>
      </x:c>
      <x:c r="D177" s="8" t="str">
        <x:v>open case 1163; repeat after cold start.</x:v>
      </x:c>
      <x:c r="E177" s="8" t="str">
        <x:v>reproduce on clean profile</x:v>
      </x:c>
      <x:c r="F177" s="8" t="str">
        <x:v>Asha</x:v>
      </x:c>
      <x:c r="G177" s="8" t="str">
        <x:v>open</x:v>
      </x:c>
      <x:c r="H177" s="8" t="str">
        <x:v>P3</x:v>
      </x:c>
      <x:c r="I177" s="8" t="str">
        <x:v>2026-02-01</x:v>
      </x:c>
      <x:c r="J177" s="8" t="str">
        <x:v>2026-04-23</x:v>
      </x:c>
      <x:c r="K177" s="8"/>
      <x:c r="L177" s="8" t="str">
        <x:v>This sentence is long enough to exercise wrapping and downstream chunk boundaries in Markdown output.</x:v>
      </x:c>
      <x:c r="M177" s="8"/>
    </x:row>
    <x:row r="178">
      <x:c r="A178" s="8" t="str">
        <x:v>rendering</x:v>
      </x:c>
      <x:c r="B178" s="8" t="str">
        <x:v>Linux</x:v>
      </x:c>
      <x:c r="C178" s="8" t="str">
        <x:v>scroll offset resets</x:v>
      </x:c>
      <x:c r="D178" s="8"/>
      <x:c r="E178" s="8" t="str">
        <x:v>use a bridge queue</x:v>
      </x:c>
      <x:c r="F178" s="8" t="str">
        <x:v>Ben</x:v>
      </x:c>
      <x:c r="G178" s="8" t="str">
        <x:v>blocked</x:v>
      </x:c>
      <x:c r="H178" s="8" t="str">
        <x:v>P1</x:v>
      </x:c>
      <x:c r="I178" s="8" t="str">
        <x:v>2026-03-01</x:v>
      </x:c>
      <x:c r="J178" s="8" t="str">
        <x:v>2026-05-24</x:v>
      </x:c>
      <x:c r="K178" s="8"/>
      <x:c r="L178" s="8" t="str">
        <x:v>Follow-up: compare the result when the network security policy is relaxed versus when it is enforced.</x:v>
      </x:c>
      <x:c r="M178" s="8"/>
    </x:row>
    <x:row r="179">
      <x:c r="A179" s="8" t="str">
        <x:v>network</x:v>
      </x:c>
      <x:c r="B179" s="8" t="str">
        <x:v>iOS</x:v>
      </x:c>
      <x:c r="C179" s="8" t="str">
        <x:v>console event missing</x:v>
      </x:c>
      <x:c r="D179" s="8" t="str">
        <x:v>open case 1165; repeat after sleep.</x:v>
      </x:c>
      <x:c r="E179" s="8" t="str">
        <x:v>increase timeout</x:v>
      </x:c>
      <x:c r="F179" s="8" t="str">
        <x:v>Carla</x:v>
      </x:c>
      <x:c r="G179" s="8" t="str">
        <x:v>open</x:v>
      </x:c>
      <x:c r="H179" s="8" t="str">
        <x:v>P1</x:v>
      </x:c>
      <x:c r="I179" s="8" t="str">
        <x:v>2026-04-01</x:v>
      </x:c>
      <x:c r="J179" s="8" t="str">
        <x:v>2026-06-25</x:v>
      </x:c>
      <x:c r="K179" s="8"/>
      <x:c r="L179" s="8"/>
      <x:c r="M179" s="8"/>
    </x:row>
    <x:row r="180">
      <x:c r="A180" s="8" t="str">
        <x:v>network</x:v>
      </x:c>
      <x:c r="B180" s="8" t="str">
        <x:v>iOS</x:v>
      </x:c>
      <x:c r="C180" s="8" t="str">
        <x:v>scroll offset resets</x:v>
      </x:c>
      <x:c r="D180" s="8" t="str">
        <x:v>open case 1166; repeat after cold start.</x:v>
      </x:c>
      <x:c r="E180" s="8" t="str">
        <x:v>set explicit user agent</x:v>
      </x:c>
      <x:c r="F180" s="8" t="str">
        <x:v>Asha</x:v>
      </x:c>
      <x:c r="G180" s="8" t="str">
        <x:v>needs reproduction</x:v>
      </x:c>
      <x:c r="H180" s="8" t="str">
        <x:v>P1</x:v>
      </x:c>
      <x:c r="I180" s="8" t="str">
        <x:v>2026-05-01</x:v>
      </x:c>
      <x:c r="J180" s="8" t="str">
        <x:v>2026-07-26</x:v>
      </x:c>
      <x:c r="K180" s="8" t="str">
        <x:v>https://developer.android.com/reference/android/webkit/WebView</x:v>
      </x:c>
      <x:c r="L180" s="8"/>
      <x:c r="M180" s="8"/>
    </x:row>
    <x:row r="181">
      <x:c r="A181" s="8" t="str">
        <x:v>rendering</x:v>
      </x:c>
      <x:c r="B181" s="8" t="str">
        <x:v>Linux</x:v>
      </x:c>
      <x:c r="C181" s="8" t="str">
        <x:v>console event missing</x:v>
      </x:c>
      <x:c r="D181" s="8" t="str">
        <x:v>open case 1167; repeat after reload.</x:v>
      </x:c>
      <x:c r="E181" s="8" t="str">
        <x:v>retry after NavigationCompleted</x:v>
      </x:c>
      <x:c r="F181" s="8" t="str">
        <x:v>No owner</x:v>
      </x:c>
      <x:c r="G181" s="8" t="str">
        <x:v>open</x:v>
      </x:c>
      <x:c r="H181" s="8" t="str">
        <x:v>P1</x:v>
      </x:c>
      <x:c r="I181" s="8" t="str">
        <x:v>2026-06-01</x:v>
      </x:c>
      <x:c r="J181" s="8" t="str">
        <x:v>2026-08-27</x:v>
      </x:c>
      <x:c r="K181" s="8" t="str">
        <x:v>https://developer.apple.com/documentation/webkit/wkwebview</x:v>
      </x:c>
      <x:c r="L181" s="8" t="str">
        <x:v>A blank cell here is intentional. The source workbook has notes placed away from the nearest table.</x:v>
      </x:c>
      <x:c r="M181" s="8"/>
    </x:row>
    <x:row r="182">
      <x:c r="A182" s="8" t="str">
        <x:v>rendering</x:v>
      </x:c>
      <x:c r="B182" s="8" t="str">
        <x:v>Android</x:v>
      </x:c>
      <x:c r="C182" s="8" t="str">
        <x:v>blank page after reload</x:v>
      </x:c>
      <x:c r="D182" s="8" t="str">
        <x:v>open case 1168; repeat after offline toggle.</x:v>
      </x:c>
      <x:c r="E182" s="8" t="str">
        <x:v>reproduce on clean profile</x:v>
      </x:c>
      <x:c r="F182" s="8" t="str">
        <x:v>Mei</x:v>
      </x:c>
      <x:c r="G182" s="8" t="str">
        <x:v>investigating</x:v>
      </x:c>
      <x:c r="H182" s="8" t="str">
        <x:v>P1</x:v>
      </x:c>
      <x:c r="I182" s="8" t="str">
        <x:v>2026-07-01</x:v>
      </x:c>
      <x:c r="J182" s="8" t="str">
        <x:v>2026-09-20</x:v>
      </x:c>
      <x:c r="K182" s="8" t="str">
        <x:v>https://developer.microsoft.com/en-us/microsoft-edge/webview2/</x:v>
      </x:c>
      <x:c r="L182" s="8"/>
      <x:c r="M182" s="8"/>
    </x:row>
    <x:row r="183">
      <x:c r="A183" s="8" t="str">
        <x:v>cookies</x:v>
      </x:c>
      <x:c r="B183" s="8" t="str">
        <x:v>iOS</x:v>
      </x:c>
      <x:c r="C183" s="8" t="str">
        <x:v>console event missing</x:v>
      </x:c>
      <x:c r="D183" s="8" t="str">
        <x:v>open case 1169; repeat after offline toggle.</x:v>
      </x:c>
      <x:c r="E183" s="8" t="str">
        <x:v>set explicit user agent</x:v>
      </x:c>
      <x:c r="F183" s="8" t="str">
        <x:v>Diego</x:v>
      </x:c>
      <x:c r="G183" s="8" t="str">
        <x:v>needs reproduction</x:v>
      </x:c>
      <x:c r="H183" s="8" t="str">
        <x:v>P0</x:v>
      </x:c>
      <x:c r="I183" s="8" t="str">
        <x:v>2026-08-01</x:v>
      </x:c>
      <x:c r="J183" s="8" t="str">
        <x:v>2026-01-21</x:v>
      </x:c>
      <x:c r="K183" s="8"/>
      <x:c r="L183" s="8"/>
      <x:c r="M183" s="8"/>
    </x:row>
    <x:row r="184">
      <x:c r="A184" s="8" t="str">
        <x:v>download</x:v>
      </x:c>
      <x:c r="B184" s="8" t="str">
        <x:v>iOS</x:v>
      </x:c>
      <x:c r="C184" s="8" t="str">
        <x:v>large response times out</x:v>
      </x:c>
      <x:c r="D184" s="8"/>
      <x:c r="E184" s="8" t="str">
        <x:v>use a bridge queue</x:v>
      </x:c>
      <x:c r="F184" s="8" t="str">
        <x:v>Asha</x:v>
      </x:c>
      <x:c r="G184" s="8" t="str">
        <x:v>open</x:v>
      </x:c>
      <x:c r="H184" s="8" t="str">
        <x:v>P1</x:v>
      </x:c>
      <x:c r="I184" s="8" t="str">
        <x:v>2026-09-01</x:v>
      </x:c>
      <x:c r="J184" s="8" t="str">
        <x:v>2026-02-22</x:v>
      </x:c>
      <x:c r="K184" s="8"/>
      <x:c r="L184" s="8" t="str">
        <x:v>Verify behavior on a cold start and after the page reloads without destroying the native view.</x:v>
      </x:c>
      <x:c r="M184" s="8"/>
    </x:row>
    <x:row r="185">
      <x:c r="A185" s="8" t="str">
        <x:v>input</x:v>
      </x:c>
      <x:c r="B185" s="8" t="str">
        <x:v>Windows</x:v>
      </x:c>
      <x:c r="C185" s="8" t="str">
        <x:v>resource blocked by policy</x:v>
      </x:c>
      <x:c r="D185" s="8" t="str">
        <x:v>open case 1171; repeat after sleep.</x:v>
      </x:c>
      <x:c r="E185" s="8" t="str">
        <x:v>use a bridge queue</x:v>
      </x:c>
      <x:c r="F185" s="8" t="str">
        <x:v>Ben</x:v>
      </x:c>
      <x:c r="G185" s="8" t="str">
        <x:v>open</x:v>
      </x:c>
      <x:c r="H185" s="8" t="str">
        <x:v>P3</x:v>
      </x:c>
      <x:c r="I185" s="8" t="str">
        <x:v>2026-01-01</x:v>
      </x:c>
      <x:c r="J185" s="8" t="str">
        <x:v>2026-03-23</x:v>
      </x:c>
      <x:c r="K185" s="8"/>
      <x:c r="L185" s="8" t="str">
        <x:v>The owner field was not captured in the original notes, so classification should remain conservative.</x:v>
      </x:c>
      <x:c r="M185" s="8"/>
    </x:row>
    <x:row r="186">
      <x:c r="A186" s="8" t="str">
        <x:v>rendering</x:v>
      </x:c>
      <x:c r="B186" s="8" t="str">
        <x:v>Linux</x:v>
      </x:c>
      <x:c r="C186" s="8" t="str">
        <x:v>resource blocked by policy</x:v>
      </x:c>
      <x:c r="D186" s="8"/>
      <x:c r="E186" s="8" t="str">
        <x:v>none yet</x:v>
      </x:c>
      <x:c r="F186" s="8" t="str">
        <x:v>Diego</x:v>
      </x:c>
      <x:c r="G186" s="8" t="str">
        <x:v>investigating</x:v>
      </x:c>
      <x:c r="H186" s="8" t="str">
        <x:v>P3</x:v>
      </x:c>
      <x:c r="I186" s="8" t="str">
        <x:v>2026-02-01</x:v>
      </x:c>
      <x:c r="J186" s="8" t="str">
        <x:v>2026-04-24</x:v>
      </x:c>
      <x:c r="K186" s="8" t="str">
        <x:v>https://learn.microsoft.com/en-us/microsoft-edge/webview2/concepts/security</x:v>
      </x:c>
      <x:c r="L186" s="8" t="str">
        <x:v>This sentence is long enough to exercise wrapping and downstream chunk boundaries in Markdown output.</x:v>
      </x:c>
      <x:c r="M186" s="8"/>
    </x:row>
    <x:row r="187">
      <x:c r="A187" s="8" t="str">
        <x:v>cookies</x:v>
      </x:c>
      <x:c r="B187" s="8" t="str">
        <x:v>Android</x:v>
      </x:c>
      <x:c r="C187" s="8" t="str">
        <x:v>blank page after reload</x:v>
      </x:c>
      <x:c r="D187" s="8" t="str">
        <x:v>open case 1173; repeat after reload.</x:v>
      </x:c>
      <x:c r="E187" s="8" t="str">
        <x:v>reproduce on clean profile</x:v>
      </x:c>
      <x:c r="F187" s="8" t="str">
        <x:v>Asha</x:v>
      </x:c>
      <x:c r="G187" s="8" t="str">
        <x:v>resolved</x:v>
      </x:c>
      <x:c r="H187" s="8" t="str">
        <x:v>P0</x:v>
      </x:c>
      <x:c r="I187" s="8" t="str">
        <x:v>2026-03-01</x:v>
      </x:c>
      <x:c r="J187" s="8" t="str">
        <x:v>2026-05-25</x:v>
      </x:c>
      <x:c r="K187" s="8"/>
      <x:c r="L187" s="8"/>
      <x:c r="M187" s="8"/>
    </x:row>
    <x:row r="188">
      <x:c r="A188" s="8" t="str">
        <x:v>input</x:v>
      </x:c>
      <x:c r="B188" s="8" t="str">
        <x:v>Windows</x:v>
      </x:c>
      <x:c r="C188" s="8" t="str">
        <x:v>resource blocked by policy</x:v>
      </x:c>
      <x:c r="D188" s="8" t="str">
        <x:v>open case 1174; repeat after sleep.</x:v>
      </x:c>
      <x:c r="E188" s="8" t="str">
        <x:v>reproduce on clean profile</x:v>
      </x:c>
      <x:c r="F188" s="8" t="str">
        <x:v>Mei</x:v>
      </x:c>
      <x:c r="G188" s="8" t="str">
        <x:v>needs reproduction</x:v>
      </x:c>
      <x:c r="H188" s="8" t="str">
        <x:v>P1</x:v>
      </x:c>
      <x:c r="I188" s="8" t="str">
        <x:v>2026-04-01</x:v>
      </x:c>
      <x:c r="J188" s="8" t="str">
        <x:v>2026-06-26</x:v>
      </x:c>
      <x:c r="K188" s="8" t="str">
        <x:v>https://github.com/react-native-webview/react-native-webview</x:v>
      </x:c>
      <x:c r="L188" s="8" t="str">
        <x:v>Observed in a local test run: the content rendered, but the console warning appeared twice.</x:v>
      </x:c>
      <x:c r="M188" s="8"/>
    </x:row>
    <x:row r="189">
      <x:c r="A189" s="8" t="str">
        <x:v>network</x:v>
      </x:c>
      <x:c r="B189" s="8" t="str">
        <x:v>iOS</x:v>
      </x:c>
      <x:c r="C189" s="8" t="str">
        <x:v>focus leaves native control</x:v>
      </x:c>
      <x:c r="D189" s="8" t="str">
        <x:v>open case 1175; repeat after cold start.</x:v>
      </x:c>
      <x:c r="E189" s="8" t="str">
        <x:v>retry after NavigationCompleted</x:v>
      </x:c>
      <x:c r="F189" s="8" t="str">
        <x:v>No owner</x:v>
      </x:c>
      <x:c r="G189" s="8" t="str">
        <x:v>needs reproduction</x:v>
      </x:c>
      <x:c r="H189" s="8" t="str">
        <x:v>P1</x:v>
      </x:c>
      <x:c r="I189" s="8" t="str">
        <x:v>2026-05-01</x:v>
      </x:c>
      <x:c r="J189" s="8" t="str">
        <x:v>2026-07-27</x:v>
      </x:c>
      <x:c r="K189" s="8"/>
      <x:c r="L189" s="8" t="str">
        <x:v>A blank cell here is intentional. The source workbook has notes placed away from the nearest table.</x:v>
      </x:c>
      <x:c r="M189" s="8"/>
    </x:row>
    <x:row r="190">
      <x:c r="A190" s="8" t="str">
        <x:v>input</x:v>
      </x:c>
      <x:c r="B190" s="8" t="str">
        <x:v>iOS</x:v>
      </x:c>
      <x:c r="C190" s="8" t="str">
        <x:v>resource blocked by policy</x:v>
      </x:c>
      <x:c r="D190" s="8"/>
      <x:c r="E190" s="8" t="str">
        <x:v>increase timeout</x:v>
      </x:c>
      <x:c r="F190" s="8" t="str">
        <x:v>No owner</x:v>
      </x:c>
      <x:c r="G190" s="8" t="str">
        <x:v>investigating</x:v>
      </x:c>
      <x:c r="H190" s="8" t="str">
        <x:v>P0</x:v>
      </x:c>
      <x:c r="I190" s="8" t="str">
        <x:v>2026-06-01</x:v>
      </x:c>
      <x:c r="J190" s="8" t="str">
        <x:v>2026-08-20</x:v>
      </x:c>
      <x:c r="K190" s="8"/>
      <x:c r="L190" s="8" t="str">
        <x:v>This sentence is long enough to exercise wrapping and downstream chunk boundaries in Markdown output.</x:v>
      </x:c>
      <x:c r="M190" s="8"/>
    </x:row>
    <x:row r="191">
      <x:c r="A191" s="8" t="str">
        <x:v>input</x:v>
      </x:c>
      <x:c r="B191" s="8" t="str">
        <x:v>macOS</x:v>
      </x:c>
      <x:c r="C191" s="8" t="str">
        <x:v>resource blocked by policy</x:v>
      </x:c>
      <x:c r="D191" s="8" t="str">
        <x:v>open case 1177; repeat after cold start.</x:v>
      </x:c>
      <x:c r="E191" s="8" t="str">
        <x:v>retry after NavigationCompleted</x:v>
      </x:c>
      <x:c r="F191" s="8" t="str">
        <x:v>No owner</x:v>
      </x:c>
      <x:c r="G191" s="8" t="str">
        <x:v>needs reproduction</x:v>
      </x:c>
      <x:c r="H191" s="8" t="str">
        <x:v>P1</x:v>
      </x:c>
      <x:c r="I191" s="8" t="str">
        <x:v>2026-07-01</x:v>
      </x:c>
      <x:c r="J191" s="8" t="str">
        <x:v>2026-09-21</x:v>
      </x:c>
      <x:c r="K191" s="8" t="str">
        <x:v>https://developer.microsoft.com/en-us/microsoft-edge/webview2/</x:v>
      </x:c>
      <x:c r="L191" s="8"/>
      <x:c r="M191" s="8"/>
    </x:row>
    <x:row r="192">
      <x:c r="A192" s="8" t="str">
        <x:v>input</x:v>
      </x:c>
      <x:c r="B192" s="8" t="str">
        <x:v>macOS</x:v>
      </x:c>
      <x:c r="C192" s="8" t="str">
        <x:v>scroll offset resets</x:v>
      </x:c>
      <x:c r="D192" s="8"/>
      <x:c r="E192" s="8" t="str">
        <x:v>retry after NavigationCompleted</x:v>
      </x:c>
      <x:c r="F192" s="8" t="str">
        <x:v>Asha</x:v>
      </x:c>
      <x:c r="G192" s="8" t="str">
        <x:v>open</x:v>
      </x:c>
      <x:c r="H192" s="8" t="str">
        <x:v>P0</x:v>
      </x:c>
      <x:c r="I192" s="8" t="str">
        <x:v>2026-08-01</x:v>
      </x:c>
      <x:c r="J192" s="8" t="str">
        <x:v>2026-01-22</x:v>
      </x:c>
      <x:c r="K192" s="8"/>
      <x:c r="L192" s="8"/>
      <x:c r="M192" s="8"/>
    </x:row>
    <x:row r="193">
      <x:c r="A193" s="8" t="str">
        <x:v>cookies</x:v>
      </x:c>
      <x:c r="B193" s="8" t="str">
        <x:v>Android</x:v>
      </x:c>
      <x:c r="C193" s="8" t="str">
        <x:v>console event missing</x:v>
      </x:c>
      <x:c r="D193" s="8" t="str">
        <x:v>open case 1179; repeat after offline toggle.</x:v>
      </x:c>
      <x:c r="E193" s="8" t="str">
        <x:v>reproduce on clean profile</x:v>
      </x:c>
      <x:c r="F193" s="8" t="str">
        <x:v>Asha</x:v>
      </x:c>
      <x:c r="G193" s="8" t="str">
        <x:v>investigating</x:v>
      </x:c>
      <x:c r="H193" s="8" t="str">
        <x:v>P0</x:v>
      </x:c>
      <x:c r="I193" s="8" t="str">
        <x:v>2026-09-01</x:v>
      </x:c>
      <x:c r="J193" s="8" t="str">
        <x:v>2026-02-23</x:v>
      </x:c>
      <x:c r="K193" s="8" t="str">
        <x:v>https://developer.apple.com/documentation/webkit/wkwebview</x:v>
      </x:c>
      <x:c r="L193" s="8"/>
      <x:c r="M193" s="8"/>
    </x:row>
  </x:sheetData>
  <x:mergeCells>
    <x:mergeCell ref="A1:M1"/>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8" hidden="0" customWidth="1"/>
    <x:col min="2" max="2" width="15" hidden="0" customWidth="1"/>
    <x:col min="3" max="3" width="30" hidden="0" customWidth="1"/>
    <x:col min="4" max="4" width="34" hidden="0" customWidth="1"/>
    <x:col min="5" max="5" width="30" hidden="0" customWidth="1"/>
    <x:col min="6" max="6" width="15" hidden="0" customWidth="1"/>
    <x:col min="7" max="7" width="18" hidden="0" customWidth="1"/>
    <x:col min="8" max="8" width="12" hidden="0" customWidth="1"/>
    <x:col min="9" max="9" width="14" hidden="0" customWidth="1"/>
    <x:col min="10" max="10" width="14" hidden="0" customWidth="1"/>
    <x:col min="11" max="11" width="38" hidden="0" customWidth="1"/>
    <x:col min="12" max="12" width="48" hidden="0" customWidth="1"/>
    <x:col min="13" max="13" width="24" hidden="0" customWidth="1"/>
  </x:cols>
  <x:sheetData>
    <x:row r="1">
      <x:c r="A1" s="7" t="str">
        <x:v>Android Chromium Field Notes</x:v>
      </x:c>
      <x:c r="B1" s="7"/>
      <x:c r="C1" s="7"/>
      <x:c r="D1" s="7"/>
      <x:c r="E1" s="7"/>
      <x:c r="F1" s="7"/>
      <x:c r="G1" s="7"/>
      <x:c r="H1" s="7"/>
      <x:c r="I1" s="7"/>
      <x:c r="J1" s="7"/>
      <x:c r="K1" s="7"/>
      <x:c r="L1" s="7"/>
      <x:c r="M1" s="7"/>
    </x:row>
    <x:row r="2">
      <x:c r="A2" s="8"/>
      <x:c r="B2" s="8"/>
      <x:c r="C2" s="8"/>
      <x:c r="D2" s="8"/>
      <x:c r="E2" s="8"/>
      <x:c r="F2" s="8"/>
      <x:c r="G2" s="8"/>
      <x:c r="H2" s="8"/>
      <x:c r="I2" s="8"/>
      <x:c r="J2" s="8"/>
      <x:c r="K2" s="8"/>
      <x:c r="L2" s="8"/>
      <x:c r="M2" s="8"/>
    </x:row>
    <x:row r="3">
      <x:c r="A3" s="4" t="str">
        <x:v>Category</x:v>
      </x:c>
      <x:c r="B3" s="4" t="str">
        <x:v>Platform</x:v>
      </x:c>
      <x:c r="C3" s="4" t="str">
        <x:v>Symptom</x:v>
      </x:c>
      <x:c r="D3" s="4" t="str">
        <x:v>Reproduction</x:v>
      </x:c>
      <x:c r="E3" s="4" t="str">
        <x:v>Workaround</x:v>
      </x:c>
      <x:c r="F3" s="4" t="str">
        <x:v>Owner</x:v>
      </x:c>
      <x:c r="G3" s="4" t="str">
        <x:v>Status</x:v>
      </x:c>
      <x:c r="H3" s="4" t="str">
        <x:v>Severity</x:v>
      </x:c>
      <x:c r="I3" s="4" t="str">
        <x:v>First seen</x:v>
      </x:c>
      <x:c r="J3" s="4" t="str">
        <x:v>Last seen</x:v>
      </x:c>
      <x:c r="K3" s="4" t="str">
        <x:v>Reference</x:v>
      </x:c>
      <x:c r="L3" s="4" t="str">
        <x:v>Free note</x:v>
      </x:c>
      <x:c r="M3" s="4"/>
    </x:row>
    <x:row r="4">
      <x:c r="A4" s="8"/>
      <x:c r="B4" s="8"/>
      <x:c r="C4" s="8"/>
      <x:c r="D4" s="8"/>
      <x:c r="E4" s="8"/>
      <x:c r="F4" s="8"/>
      <x:c r="G4" s="8"/>
      <x:c r="H4" s="8"/>
      <x:c r="I4" s="8"/>
      <x:c r="J4" s="8"/>
      <x:c r="K4" s="8"/>
      <x:c r="L4" s="8"/>
      <x:c r="M4" s="8"/>
    </x:row>
    <x:row r="5">
      <x:c r="A5" s="8" t="str">
        <x:v>Category</x:v>
      </x:c>
      <x:c r="B5" s="8" t="str">
        <x:v>Platform</x:v>
      </x:c>
      <x:c r="C5" s="8" t="str">
        <x:v>Symptom</x:v>
      </x:c>
      <x:c r="D5" s="8" t="str">
        <x:v>Reproduction</x:v>
      </x:c>
      <x:c r="E5" s="8" t="str">
        <x:v>Workaround</x:v>
      </x:c>
      <x:c r="F5" s="8" t="str">
        <x:v>Owner</x:v>
      </x:c>
      <x:c r="G5" s="8" t="str">
        <x:v>Status</x:v>
      </x:c>
      <x:c r="H5" s="8" t="str">
        <x:v>Severity</x:v>
      </x:c>
      <x:c r="I5" s="8" t="str">
        <x:v>First seen</x:v>
      </x:c>
      <x:c r="J5" s="8" t="str">
        <x:v>Last seen</x:v>
      </x:c>
      <x:c r="K5" s="8" t="str">
        <x:v>Reference</x:v>
      </x:c>
      <x:c r="L5" s="8" t="str">
        <x:v>Free note</x:v>
      </x:c>
      <x:c r="M5" s="8" t="str">
        <x:v>repeated header</x:v>
      </x:c>
    </x:row>
    <x:row r="6">
      <x:c r="A6" s="8" t="str">
        <x:v>cookies</x:v>
      </x:c>
      <x:c r="B6" s="8" t="str">
        <x:v>Android</x:v>
      </x:c>
      <x:c r="C6" s="8" t="str">
        <x:v>resource blocked by policy</x:v>
      </x:c>
      <x:c r="D6" s="8"/>
      <x:c r="E6" s="8" t="str">
        <x:v>none yet</x:v>
      </x:c>
      <x:c r="F6" s="8" t="str">
        <x:v>Ben</x:v>
      </x:c>
      <x:c r="G6" s="8" t="str">
        <x:v>needs reproduction</x:v>
      </x:c>
      <x:c r="H6" s="8" t="str">
        <x:v>P2</x:v>
      </x:c>
      <x:c r="I6" s="8" t="str">
        <x:v>2026-01-01</x:v>
      </x:c>
      <x:c r="J6" s="8" t="str">
        <x:v>2026-03-20</x:v>
      </x:c>
      <x:c r="K6" s="8" t="str">
        <x:v>https://github.com/react-native-webview/react-native-webview</x:v>
      </x:c>
      <x:c r="L6" s="8"/>
      <x:c r="M6" s="8"/>
    </x:row>
    <x:row r="7">
      <x:c r="A7" s="8" t="str">
        <x:v>network</x:v>
      </x:c>
      <x:c r="B7" s="8" t="str">
        <x:v>Android</x:v>
      </x:c>
      <x:c r="C7" s="8" t="str">
        <x:v>scroll offset resets</x:v>
      </x:c>
      <x:c r="D7" s="8" t="str">
        <x:v>open case 1001; repeat after reload.</x:v>
      </x:c>
      <x:c r="E7" s="8" t="str">
        <x:v>increase timeout</x:v>
      </x:c>
      <x:c r="F7" s="8" t="str">
        <x:v>No owner</x:v>
      </x:c>
      <x:c r="G7" s="8" t="str">
        <x:v>investigating</x:v>
      </x:c>
      <x:c r="H7" s="8" t="str">
        <x:v>P0</x:v>
      </x:c>
      <x:c r="I7" s="8" t="str">
        <x:v>2026-02-01</x:v>
      </x:c>
      <x:c r="J7" s="8" t="str">
        <x:v>2026-04-21</x:v>
      </x:c>
      <x:c r="K7" s="8" t="str">
        <x:v>https://github.com/react-native-webview/react-native-webview</x:v>
      </x:c>
      <x:c r="L7" s="8" t="str">
        <x:v>This sentence is long enough to exercise wrapping and downstream chunk boundaries in Markdown output.</x:v>
      </x:c>
      <x:c r="M7" s="8"/>
    </x:row>
    <x:row r="8">
      <x:c r="A8" s="8" t="str">
        <x:v>network</x:v>
      </x:c>
      <x:c r="B8" s="8" t="str">
        <x:v>iOS</x:v>
      </x:c>
      <x:c r="C8" s="8" t="str">
        <x:v>blank page after reload</x:v>
      </x:c>
      <x:c r="D8" s="8"/>
      <x:c r="E8" s="8" t="str">
        <x:v>reproduce on clean profile</x:v>
      </x:c>
      <x:c r="F8" s="8" t="str">
        <x:v>No owner</x:v>
      </x:c>
      <x:c r="G8" s="8" t="str">
        <x:v>needs reproduction</x:v>
      </x:c>
      <x:c r="H8" s="8" t="str">
        <x:v>P0</x:v>
      </x:c>
      <x:c r="I8" s="8" t="str">
        <x:v>2026-03-01</x:v>
      </x:c>
      <x:c r="J8" s="8" t="str">
        <x:v>2026-05-22</x:v>
      </x:c>
      <x:c r="K8" s="8" t="str">
        <x:v>https://developer.microsoft.com/en-us/microsoft-edge/webview2/</x:v>
      </x:c>
      <x:c r="L8" s="8" t="str">
        <x:v>Verify behavior on a cold start and after the page reloads without destroying the native view.</x:v>
      </x:c>
      <x:c r="M8" s="8"/>
    </x:row>
    <x:row r="9">
      <x:c r="A9" s="8" t="str">
        <x:v>input</x:v>
      </x:c>
      <x:c r="B9" s="8" t="str">
        <x:v>Linux</x:v>
      </x:c>
      <x:c r="C9" s="8" t="str">
        <x:v>resource blocked by policy</x:v>
      </x:c>
      <x:c r="D9" s="8" t="str">
        <x:v>open case 1003; repeat after cold start.</x:v>
      </x:c>
      <x:c r="E9" s="8" t="str">
        <x:v>reproduce on clean profile</x:v>
      </x:c>
      <x:c r="F9" s="8" t="str">
        <x:v>Ben</x:v>
      </x:c>
      <x:c r="G9" s="8" t="str">
        <x:v>blocked</x:v>
      </x:c>
      <x:c r="H9" s="8" t="str">
        <x:v>P0</x:v>
      </x:c>
      <x:c r="I9" s="8" t="str">
        <x:v>2026-04-01</x:v>
      </x:c>
      <x:c r="J9" s="8" t="str">
        <x:v>2026-06-23</x:v>
      </x:c>
      <x:c r="K9" s="8" t="str">
        <x:v>https://learn.microsoft.com/en-us/microsoft-edge/webview2/concepts/security</x:v>
      </x:c>
      <x:c r="L9" s="8" t="str">
        <x:v>Potential duplicate: this paragraph is repeated in another section to test deduplication and chunk metadata.</x:v>
      </x:c>
      <x:c r="M9" s="8"/>
    </x:row>
    <x:row r="10">
      <x:c r="A10" s="8" t="str">
        <x:v>input</x:v>
      </x:c>
      <x:c r="B10" s="8" t="str">
        <x:v>Linux</x:v>
      </x:c>
      <x:c r="C10" s="8" t="str">
        <x:v>scroll offset resets</x:v>
      </x:c>
      <x:c r="D10" s="8" t="str">
        <x:v>open case 1004; repeat after sleep.</x:v>
      </x:c>
      <x:c r="E10" s="8" t="str">
        <x:v>retry after NavigationCompleted</x:v>
      </x:c>
      <x:c r="F10" s="8" t="str">
        <x:v>Ben</x:v>
      </x:c>
      <x:c r="G10" s="8" t="str">
        <x:v>blocked</x:v>
      </x:c>
      <x:c r="H10" s="8" t="str">
        <x:v>P3</x:v>
      </x:c>
      <x:c r="I10" s="8" t="str">
        <x:v>2026-05-01</x:v>
      </x:c>
      <x:c r="J10" s="8" t="str">
        <x:v>2026-07-24</x:v>
      </x:c>
      <x:c r="K10" s="8"/>
      <x:c r="L10" s="8"/>
      <x:c r="M10" s="8"/>
    </x:row>
    <x:row r="11">
      <x:c r="A11" s="8" t="str">
        <x:v>rendering</x:v>
      </x:c>
      <x:c r="B11" s="8" t="str">
        <x:v>iOS</x:v>
      </x:c>
      <x:c r="C11" s="8" t="str">
        <x:v>console event missing</x:v>
      </x:c>
      <x:c r="D11" s="8"/>
      <x:c r="E11" s="8" t="str">
        <x:v>reproduce on clean profile</x:v>
      </x:c>
      <x:c r="F11" s="8" t="str">
        <x:v>Asha</x:v>
      </x:c>
      <x:c r="G11" s="8" t="str">
        <x:v>needs reproduction</x:v>
      </x:c>
      <x:c r="H11" s="8" t="str">
        <x:v>P3</x:v>
      </x:c>
      <x:c r="I11" s="8" t="str">
        <x:v>2026-06-01</x:v>
      </x:c>
      <x:c r="J11" s="8" t="str">
        <x:v>2026-08-25</x:v>
      </x:c>
      <x:c r="K11" s="8" t="str">
        <x:v>https://learn.microsoft.com/en-us/microsoft-edge/webview2/concepts/security</x:v>
      </x:c>
      <x:c r="L11" s="8" t="str">
        <x:v>Verify behavior on a cold start and after the page reloads without destroying the native view.</x:v>
      </x:c>
      <x:c r="M11" s="8"/>
    </x:row>
    <x:row r="12">
      <x:c r="A12" s="8" t="str">
        <x:v>input</x:v>
      </x:c>
      <x:c r="B12" s="8" t="str">
        <x:v>macOS</x:v>
      </x:c>
      <x:c r="C12" s="8" t="str">
        <x:v>large response times out</x:v>
      </x:c>
      <x:c r="D12" s="8" t="str">
        <x:v>open case 1006; repeat after cold start.</x:v>
      </x:c>
      <x:c r="E12" s="8" t="str">
        <x:v>use a bridge queue</x:v>
      </x:c>
      <x:c r="F12" s="8" t="str">
        <x:v>Ben</x:v>
      </x:c>
      <x:c r="G12" s="8" t="str">
        <x:v>resolved</x:v>
      </x:c>
      <x:c r="H12" s="8" t="str">
        <x:v>P1</x:v>
      </x:c>
      <x:c r="I12" s="8" t="str">
        <x:v>2026-07-01</x:v>
      </x:c>
      <x:c r="J12" s="8" t="str">
        <x:v>2026-09-26</x:v>
      </x:c>
      <x:c r="K12" s="8"/>
      <x:c r="L12" s="8" t="str">
        <x:v>Potential duplicate: this paragraph is repeated in another section to test deduplication and chunk metadata.</x:v>
      </x:c>
      <x:c r="M12" s="8"/>
    </x:row>
    <x:row r="13">
      <x:c r="A13" s="8" t="str">
        <x:v>network</x:v>
      </x:c>
      <x:c r="B13" s="8" t="str">
        <x:v>macOS</x:v>
      </x:c>
      <x:c r="C13" s="8" t="str">
        <x:v>scroll offset resets</x:v>
      </x:c>
      <x:c r="D13" s="8" t="str">
        <x:v>open case 1007; repeat after offline toggle.</x:v>
      </x:c>
      <x:c r="E13" s="8" t="str">
        <x:v>retry after NavigationCompleted</x:v>
      </x:c>
      <x:c r="F13" s="8" t="str">
        <x:v>Mei</x:v>
      </x:c>
      <x:c r="G13" s="8" t="str">
        <x:v>open</x:v>
      </x:c>
      <x:c r="H13" s="8" t="str">
        <x:v>P3</x:v>
      </x:c>
      <x:c r="I13" s="8" t="str">
        <x:v>2026-08-01</x:v>
      </x:c>
      <x:c r="J13" s="8" t="str">
        <x:v>2026-01-27</x:v>
      </x:c>
      <x:c r="K13" s="8"/>
      <x:c r="L13" s="8" t="str">
        <x:v>The bridge callback is stable for small payloads, but large JSON messages show visible delay during navigation.</x:v>
      </x:c>
      <x:c r="M13" s="8"/>
    </x:row>
    <x:row r="14">
      <x:c r="A14" s="8" t="str">
        <x:v>network</x:v>
      </x:c>
      <x:c r="B14" s="8" t="str">
        <x:v>macOS</x:v>
      </x:c>
      <x:c r="C14" s="8" t="str">
        <x:v>blank page after reload</x:v>
      </x:c>
      <x:c r="D14" s="8" t="str">
        <x:v>open case 1008; repeat after sleep.</x:v>
      </x:c>
      <x:c r="E14" s="8" t="str">
        <x:v>reproduce on clean profile</x:v>
      </x:c>
      <x:c r="F14" s="8" t="str">
        <x:v>Carla</x:v>
      </x:c>
      <x:c r="G14" s="8" t="str">
        <x:v>resolved</x:v>
      </x:c>
      <x:c r="H14" s="8" t="str">
        <x:v>P1</x:v>
      </x:c>
      <x:c r="I14" s="8" t="str">
        <x:v>2026-09-01</x:v>
      </x:c>
      <x:c r="J14" s="8" t="str">
        <x:v>2026-02-20</x:v>
      </x:c>
      <x:c r="K14" s="8" t="str">
        <x:v>https://learn.microsoft.com/en-us/microsoft-edge/webview2/concepts/security</x:v>
      </x:c>
      <x:c r="L14" s="8" t="str">
        <x:v>The owner field was not captured in the original notes, so classification should remain conservative.</x:v>
      </x:c>
      <x:c r="M14" s="8"/>
    </x:row>
    <x:row r="15">
      <x:c r="A15" s="8" t="str">
        <x:v>input</x:v>
      </x:c>
      <x:c r="B15" s="8" t="str">
        <x:v>Linux</x:v>
      </x:c>
      <x:c r="C15" s="8" t="str">
        <x:v>focus leaves native control</x:v>
      </x:c>
      <x:c r="D15" s="8" t="str">
        <x:v>open case 1009; repeat after cold start.</x:v>
      </x:c>
      <x:c r="E15" s="8" t="str">
        <x:v>retry after NavigationCompleted</x:v>
      </x:c>
      <x:c r="F15" s="8" t="str">
        <x:v>No owner</x:v>
      </x:c>
      <x:c r="G15" s="8" t="str">
        <x:v>blocked</x:v>
      </x:c>
      <x:c r="H15" s="8" t="str">
        <x:v>P0</x:v>
      </x:c>
      <x:c r="I15" s="8" t="str">
        <x:v>2026-01-01</x:v>
      </x:c>
      <x:c r="J15" s="8" t="str">
        <x:v>2026-03-21</x:v>
      </x:c>
      <x:c r="K15" s="8" t="str">
        <x:v>https://developer.microsoft.com/en-us/microsoft-edge/webview2/</x:v>
      </x:c>
      <x:c r="L15" s="8"/>
      <x:c r="M15" s="8"/>
    </x:row>
    <x:row r="16">
      <x:c r="A16" s="8" t="str">
        <x:v>input</x:v>
      </x:c>
      <x:c r="B16" s="8" t="str">
        <x:v>Android</x:v>
      </x:c>
      <x:c r="C16" s="8" t="str">
        <x:v>blank page after reload</x:v>
      </x:c>
      <x:c r="D16" s="8"/>
      <x:c r="E16" s="8" t="str">
        <x:v>retry after NavigationCompleted</x:v>
      </x:c>
      <x:c r="F16" s="8" t="str">
        <x:v>Diego</x:v>
      </x:c>
      <x:c r="G16" s="8" t="str">
        <x:v>needs reproduction</x:v>
      </x:c>
      <x:c r="H16" s="8" t="str">
        <x:v>P3</x:v>
      </x:c>
      <x:c r="I16" s="8" t="str">
        <x:v>2026-02-01</x:v>
      </x:c>
      <x:c r="J16" s="8" t="str">
        <x:v>2026-04-22</x:v>
      </x:c>
      <x:c r="K16" s="8"/>
      <x:c r="L16" s="8"/>
      <x:c r="M16" s="8"/>
    </x:row>
    <x:row r="17">
      <x:c r="A17" s="8" t="str">
        <x:v>network</x:v>
      </x:c>
      <x:c r="B17" s="8" t="str">
        <x:v>Windows</x:v>
      </x:c>
      <x:c r="C17" s="8" t="str">
        <x:v>console event missing</x:v>
      </x:c>
      <x:c r="D17" s="8" t="str">
        <x:v>open case 1011; repeat after sleep.</x:v>
      </x:c>
      <x:c r="E17" s="8" t="str">
        <x:v>use a bridge queue</x:v>
      </x:c>
      <x:c r="F17" s="8" t="str">
        <x:v>Mei</x:v>
      </x:c>
      <x:c r="G17" s="8" t="str">
        <x:v>needs reproduction</x:v>
      </x:c>
      <x:c r="H17" s="8" t="str">
        <x:v>P0</x:v>
      </x:c>
      <x:c r="I17" s="8" t="str">
        <x:v>2026-03-01</x:v>
      </x:c>
      <x:c r="J17" s="8" t="str">
        <x:v>2026-05-23</x:v>
      </x:c>
      <x:c r="K17" s="8" t="str">
        <x:v>https://developer.android.com/reference/android/webkit/WebView</x:v>
      </x:c>
      <x:c r="L17" s="8"/>
      <x:c r="M17" s="8"/>
    </x:row>
    <x:row r="18">
      <x:c r="A18" s="8" t="str">
        <x:v>network</x:v>
      </x:c>
      <x:c r="B18" s="8" t="str">
        <x:v>Windows</x:v>
      </x:c>
      <x:c r="C18" s="8" t="str">
        <x:v>focus leaves native control</x:v>
      </x:c>
      <x:c r="D18" s="8"/>
      <x:c r="E18" s="8" t="str">
        <x:v>use a bridge queue</x:v>
      </x:c>
      <x:c r="F18" s="8" t="str">
        <x:v>No owner</x:v>
      </x:c>
      <x:c r="G18" s="8" t="str">
        <x:v>investigating</x:v>
      </x:c>
      <x:c r="H18" s="8" t="str">
        <x:v>P0</x:v>
      </x:c>
      <x:c r="I18" s="8" t="str">
        <x:v>2026-04-01</x:v>
      </x:c>
      <x:c r="J18" s="8" t="str">
        <x:v>2026-06-24</x:v>
      </x:c>
      <x:c r="K18" s="8" t="str">
        <x:v>https://learn.microsoft.com/en-us/microsoft-edge/webview2/concepts/security</x:v>
      </x:c>
      <x:c r="L18" s="8" t="str">
        <x:v>This sentence is long enough to exercise wrapping and downstream chunk boundaries in Markdown output.</x:v>
      </x:c>
      <x:c r="M18" s="8"/>
    </x:row>
    <x:row r="19">
      <x:c r="A19" s="8" t="str">
        <x:v>rendering</x:v>
      </x:c>
      <x:c r="B19" s="8" t="str">
        <x:v>macOS</x:v>
      </x:c>
      <x:c r="C19" s="8" t="str">
        <x:v>console event missing</x:v>
      </x:c>
      <x:c r="D19" s="8"/>
      <x:c r="E19" s="8" t="str">
        <x:v>increase timeout</x:v>
      </x:c>
      <x:c r="F19" s="8" t="str">
        <x:v>No owner</x:v>
      </x:c>
      <x:c r="G19" s="8" t="str">
        <x:v>blocked</x:v>
      </x:c>
      <x:c r="H19" s="8" t="str">
        <x:v>P0</x:v>
      </x:c>
      <x:c r="I19" s="8" t="str">
        <x:v>2026-05-01</x:v>
      </x:c>
      <x:c r="J19" s="8" t="str">
        <x:v>2026-07-25</x:v>
      </x:c>
      <x:c r="K19" s="8" t="str">
        <x:v>https://developer.microsoft.com/en-us/microsoft-edge/webview2/</x:v>
      </x:c>
      <x:c r="L19" s="8" t="str">
        <x:v>Verify behavior on a cold start and after the page reloads without destroying the native view.</x:v>
      </x:c>
      <x:c r="M19" s="8"/>
    </x:row>
    <x:row r="20">
      <x:c r="A20" s="8" t="str">
        <x:v>rendering</x:v>
      </x:c>
      <x:c r="B20" s="8" t="str">
        <x:v>Linux</x:v>
      </x:c>
      <x:c r="C20" s="8" t="str">
        <x:v>scroll offset resets</x:v>
      </x:c>
      <x:c r="D20" s="8"/>
      <x:c r="E20" s="8" t="str">
        <x:v>increase timeout</x:v>
      </x:c>
      <x:c r="F20" s="8" t="str">
        <x:v>Carla</x:v>
      </x:c>
      <x:c r="G20" s="8" t="str">
        <x:v>investigating</x:v>
      </x:c>
      <x:c r="H20" s="8" t="str">
        <x:v>P1</x:v>
      </x:c>
      <x:c r="I20" s="8" t="str">
        <x:v>2026-06-01</x:v>
      </x:c>
      <x:c r="J20" s="8" t="str">
        <x:v>2026-08-26</x:v>
      </x:c>
      <x:c r="K20" s="8"/>
      <x:c r="L20" s="8" t="str">
        <x:v>Potential duplicate: this paragraph is repeated in another section to test deduplication and chunk metadata.</x:v>
      </x:c>
      <x:c r="M20" s="8"/>
    </x:row>
    <x:row r="21">
      <x:c r="A21" s="8" t="str">
        <x:v>download</x:v>
      </x:c>
      <x:c r="B21" s="8" t="str">
        <x:v>iOS</x:v>
      </x:c>
      <x:c r="C21" s="8" t="str">
        <x:v>blank page after reload</x:v>
      </x:c>
      <x:c r="D21" s="8" t="str">
        <x:v>open case 1015; repeat after offline toggle.</x:v>
      </x:c>
      <x:c r="E21" s="8" t="str">
        <x:v>reproduce on clean profile</x:v>
      </x:c>
      <x:c r="F21" s="8" t="str">
        <x:v>Diego</x:v>
      </x:c>
      <x:c r="G21" s="8" t="str">
        <x:v>needs reproduction</x:v>
      </x:c>
      <x:c r="H21" s="8" t="str">
        <x:v>P3</x:v>
      </x:c>
      <x:c r="I21" s="8" t="str">
        <x:v>2026-07-01</x:v>
      </x:c>
      <x:c r="J21" s="8" t="str">
        <x:v>2026-09-27</x:v>
      </x:c>
      <x:c r="K21" s="8"/>
      <x:c r="L21" s="8"/>
      <x:c r="M21" s="8"/>
    </x:row>
    <x:row r="22">
      <x:c r="A22" s="8" t="str">
        <x:v>rendering</x:v>
      </x:c>
      <x:c r="B22" s="8" t="str">
        <x:v>macOS</x:v>
      </x:c>
      <x:c r="C22" s="8" t="str">
        <x:v>large response times out</x:v>
      </x:c>
      <x:c r="D22" s="8" t="str">
        <x:v>open case 1016; repeat after reload.</x:v>
      </x:c>
      <x:c r="E22" s="8" t="str">
        <x:v>use a bridge queue</x:v>
      </x:c>
      <x:c r="F22" s="8" t="str">
        <x:v>Diego</x:v>
      </x:c>
      <x:c r="G22" s="8" t="str">
        <x:v>needs reproduction</x:v>
      </x:c>
      <x:c r="H22" s="8" t="str">
        <x:v>P3</x:v>
      </x:c>
      <x:c r="I22" s="8" t="str">
        <x:v>2026-08-01</x:v>
      </x:c>
      <x:c r="J22" s="8" t="str">
        <x:v>2026-01-20</x:v>
      </x:c>
      <x:c r="K22" s="8" t="str">
        <x:v>https://github.com/react-native-webview/react-native-webview</x:v>
      </x:c>
      <x:c r="L22" s="8"/>
      <x:c r="M22" s="8"/>
    </x:row>
    <x:row r="23">
      <x:c r="A23" s="8" t="str">
        <x:v>cookies</x:v>
      </x:c>
      <x:c r="B23" s="8" t="str">
        <x:v>Linux</x:v>
      </x:c>
      <x:c r="C23" s="8" t="str">
        <x:v>scroll offset resets</x:v>
      </x:c>
      <x:c r="D23" s="8"/>
      <x:c r="E23" s="8" t="str">
        <x:v>none yet</x:v>
      </x:c>
      <x:c r="F23" s="8" t="str">
        <x:v>Ben</x:v>
      </x:c>
      <x:c r="G23" s="8" t="str">
        <x:v>blocked</x:v>
      </x:c>
      <x:c r="H23" s="8" t="str">
        <x:v>P2</x:v>
      </x:c>
      <x:c r="I23" s="8" t="str">
        <x:v>2026-09-01</x:v>
      </x:c>
      <x:c r="J23" s="8" t="str">
        <x:v>2026-02-21</x:v>
      </x:c>
      <x:c r="K23" s="8" t="str">
        <x:v>https://developer.apple.com/documentation/webkit/wkwebview</x:v>
      </x:c>
      <x:c r="L23" s="8"/>
      <x:c r="M23" s="8"/>
    </x:row>
    <x:row r="24">
      <x:c r="A24" s="8" t="str">
        <x:v>download</x:v>
      </x:c>
      <x:c r="B24" s="8" t="str">
        <x:v>macOS</x:v>
      </x:c>
      <x:c r="C24" s="8" t="str">
        <x:v>large response times out</x:v>
      </x:c>
      <x:c r="D24" s="8" t="str">
        <x:v>open case 1018; repeat after sleep.</x:v>
      </x:c>
      <x:c r="E24" s="8" t="str">
        <x:v>none yet</x:v>
      </x:c>
      <x:c r="F24" s="8" t="str">
        <x:v>Diego</x:v>
      </x:c>
      <x:c r="G24" s="8" t="str">
        <x:v>open</x:v>
      </x:c>
      <x:c r="H24" s="8" t="str">
        <x:v>P2</x:v>
      </x:c>
      <x:c r="I24" s="8" t="str">
        <x:v>2026-01-01</x:v>
      </x:c>
      <x:c r="J24" s="8" t="str">
        <x:v>2026-03-22</x:v>
      </x:c>
      <x:c r="K24" s="8"/>
      <x:c r="L24" s="8"/>
      <x:c r="M24" s="8"/>
    </x:row>
    <x:row r="25">
      <x:c r="A25" s="8" t="str">
        <x:v>network</x:v>
      </x:c>
      <x:c r="B25" s="8" t="str">
        <x:v>Windows</x:v>
      </x:c>
      <x:c r="C25" s="8" t="str">
        <x:v>large response times out</x:v>
      </x:c>
      <x:c r="D25" s="8" t="str">
        <x:v>open case 1019; repeat after offline toggle.</x:v>
      </x:c>
      <x:c r="E25" s="8" t="str">
        <x:v>retry after NavigationCompleted</x:v>
      </x:c>
      <x:c r="F25" s="8" t="str">
        <x:v>Mei</x:v>
      </x:c>
      <x:c r="G25" s="8" t="str">
        <x:v>investigating</x:v>
      </x:c>
      <x:c r="H25" s="8" t="str">
        <x:v>P3</x:v>
      </x:c>
      <x:c r="I25" s="8" t="str">
        <x:v>2026-02-01</x:v>
      </x:c>
      <x:c r="J25" s="8" t="str">
        <x:v>2026-04-23</x:v>
      </x:c>
      <x:c r="K25" s="8" t="str">
        <x:v>https://github.com/react-native-webview/react-native-webview</x:v>
      </x:c>
      <x:c r="L25" s="8" t="str">
        <x:v>This sentence is long enough to exercise wrapping and downstream chunk boundaries in Markdown output.</x:v>
      </x:c>
      <x:c r="M25" s="8"/>
    </x:row>
    <x:row r="26">
      <x:c r="A26" s="8" t="str">
        <x:v>rendering</x:v>
      </x:c>
      <x:c r="B26" s="8" t="str">
        <x:v>Windows</x:v>
      </x:c>
      <x:c r="C26" s="8" t="str">
        <x:v>large response times out</x:v>
      </x:c>
      <x:c r="D26" s="8"/>
      <x:c r="E26" s="8" t="str">
        <x:v>use a bridge queue</x:v>
      </x:c>
      <x:c r="F26" s="8" t="str">
        <x:v>Asha</x:v>
      </x:c>
      <x:c r="G26" s="8" t="str">
        <x:v>resolved</x:v>
      </x:c>
      <x:c r="H26" s="8" t="str">
        <x:v>P2</x:v>
      </x:c>
      <x:c r="I26" s="8" t="str">
        <x:v>2026-03-01</x:v>
      </x:c>
      <x:c r="J26" s="8" t="str">
        <x:v>2026-05-24</x:v>
      </x:c>
      <x:c r="K26" s="8" t="str">
        <x:v>https://developer.microsoft.com/en-us/microsoft-edge/webview2/</x:v>
      </x:c>
      <x:c r="L26" s="8" t="str">
        <x:v>Verify behavior on a cold start and after the page reloads without destroying the native view.</x:v>
      </x:c>
      <x:c r="M26" s="8"/>
    </x:row>
    <x:row r="27">
      <x:c r="A27" s="8" t="str">
        <x:v>rendering</x:v>
      </x:c>
      <x:c r="B27" s="8" t="str">
        <x:v>Linux</x:v>
      </x:c>
      <x:c r="C27" s="8" t="str">
        <x:v>blank page after reload</x:v>
      </x:c>
      <x:c r="D27" s="8"/>
      <x:c r="E27" s="8" t="str">
        <x:v>use a bridge queue</x:v>
      </x:c>
      <x:c r="F27" s="8" t="str">
        <x:v>Diego</x:v>
      </x:c>
      <x:c r="G27" s="8" t="str">
        <x:v>open</x:v>
      </x:c>
      <x:c r="H27" s="8" t="str">
        <x:v>P3</x:v>
      </x:c>
      <x:c r="I27" s="8" t="str">
        <x:v>2026-04-01</x:v>
      </x:c>
      <x:c r="J27" s="8" t="str">
        <x:v>2026-06-25</x:v>
      </x:c>
      <x:c r="K27" s="8" t="str">
        <x:v>https://github.com/react-native-webview/react-native-webview</x:v>
      </x:c>
      <x:c r="L27" s="8" t="str">
        <x:v>This sentence is long enough to exercise wrapping and downstream chunk boundaries in Markdown output.</x:v>
      </x:c>
      <x:c r="M27" s="8"/>
    </x:row>
    <x:row r="28">
      <x:c r="A28" s="8" t="str">
        <x:v>network</x:v>
      </x:c>
      <x:c r="B28" s="8" t="str">
        <x:v>Linux</x:v>
      </x:c>
      <x:c r="C28" s="8" t="str">
        <x:v>large response times out</x:v>
      </x:c>
      <x:c r="D28" s="8" t="str">
        <x:v>open case 1022; repeat after sleep.</x:v>
      </x:c>
      <x:c r="E28" s="8" t="str">
        <x:v>none yet</x:v>
      </x:c>
      <x:c r="F28" s="8" t="str">
        <x:v>Diego</x:v>
      </x:c>
      <x:c r="G28" s="8" t="str">
        <x:v>needs reproduction</x:v>
      </x:c>
      <x:c r="H28" s="8" t="str">
        <x:v>P3</x:v>
      </x:c>
      <x:c r="I28" s="8" t="str">
        <x:v>2026-05-01</x:v>
      </x:c>
      <x:c r="J28" s="8" t="str">
        <x:v>2026-07-26</x:v>
      </x:c>
      <x:c r="K28" s="8" t="str">
        <x:v>https://developer.microsoft.com/en-us/microsoft-edge/webview2/</x:v>
      </x:c>
      <x:c r="L28" s="8" t="str">
        <x:v>Follow-up: compare the result when the network security policy is relaxed versus when it is enforced.</x:v>
      </x:c>
      <x:c r="M28" s="8"/>
    </x:row>
    <x:row r="29">
      <x:c r="A29" s="8" t="str">
        <x:v>cookies</x:v>
      </x:c>
      <x:c r="B29" s="8" t="str">
        <x:v>Windows</x:v>
      </x:c>
      <x:c r="C29" s="8" t="str">
        <x:v>focus leaves native control</x:v>
      </x:c>
      <x:c r="D29" s="8" t="str">
        <x:v>open case 1023; repeat after offline toggle.</x:v>
      </x:c>
      <x:c r="E29" s="8" t="str">
        <x:v>retry after NavigationCompleted</x:v>
      </x:c>
      <x:c r="F29" s="8" t="str">
        <x:v>Ben</x:v>
      </x:c>
      <x:c r="G29" s="8" t="str">
        <x:v>open</x:v>
      </x:c>
      <x:c r="H29" s="8" t="str">
        <x:v>P2</x:v>
      </x:c>
      <x:c r="I29" s="8" t="str">
        <x:v>2026-06-01</x:v>
      </x:c>
      <x:c r="J29" s="8" t="str">
        <x:v>2026-08-27</x:v>
      </x:c>
      <x:c r="K29" s="8"/>
      <x:c r="L29" s="8" t="str">
        <x:v>This sentence is long enough to exercise wrapping and downstream chunk boundaries in Markdown output.</x:v>
      </x:c>
      <x:c r="M29" s="8"/>
    </x:row>
    <x:row r="30">
      <x:c r="A30" s="8" t="str">
        <x:v>input</x:v>
      </x:c>
      <x:c r="B30" s="8" t="str">
        <x:v>Linux</x:v>
      </x:c>
      <x:c r="C30" s="8" t="str">
        <x:v>focus leaves native control</x:v>
      </x:c>
      <x:c r="D30" s="8" t="str">
        <x:v>open case 1024; repeat after cold start.</x:v>
      </x:c>
      <x:c r="E30" s="8" t="str">
        <x:v>none yet</x:v>
      </x:c>
      <x:c r="F30" s="8" t="str">
        <x:v>Carla</x:v>
      </x:c>
      <x:c r="G30" s="8" t="str">
        <x:v>needs reproduction</x:v>
      </x:c>
      <x:c r="H30" s="8" t="str">
        <x:v>P2</x:v>
      </x:c>
      <x:c r="I30" s="8" t="str">
        <x:v>2026-07-01</x:v>
      </x:c>
      <x:c r="J30" s="8" t="str">
        <x:v>2026-09-20</x:v>
      </x:c>
      <x:c r="K30" s="8"/>
      <x:c r="L30" s="8" t="str">
        <x:v>The owner field was not captured in the original notes, so classification should remain conservative.</x:v>
      </x:c>
      <x:c r="M30" s="8"/>
    </x:row>
    <x:row r="31">
      <x:c r="A31" s="8" t="str">
        <x:v>download</x:v>
      </x:c>
      <x:c r="B31" s="8" t="str">
        <x:v>macOS</x:v>
      </x:c>
      <x:c r="C31" s="8" t="str">
        <x:v>blank page after reload</x:v>
      </x:c>
      <x:c r="D31" s="8" t="str">
        <x:v>open case 1025; repeat after cold start.</x:v>
      </x:c>
      <x:c r="E31" s="8" t="str">
        <x:v>none yet</x:v>
      </x:c>
      <x:c r="F31" s="8" t="str">
        <x:v>Diego</x:v>
      </x:c>
      <x:c r="G31" s="8" t="str">
        <x:v>open</x:v>
      </x:c>
      <x:c r="H31" s="8" t="str">
        <x:v>P3</x:v>
      </x:c>
      <x:c r="I31" s="8" t="str">
        <x:v>2026-08-01</x:v>
      </x:c>
      <x:c r="J31" s="8" t="str">
        <x:v>2026-01-21</x:v>
      </x:c>
      <x:c r="K31" s="8" t="str">
        <x:v>https://learn.microsoft.com/en-us/microsoft-edge/webview2/concepts/security</x:v>
      </x:c>
      <x:c r="L31" s="8" t="str">
        <x:v>The owner field was not captured in the original notes, so classification should remain conservative.</x:v>
      </x:c>
      <x:c r="M31" s="8"/>
    </x:row>
    <x:row r="32">
      <x:c r="A32" s="8" t="str">
        <x:v>input</x:v>
      </x:c>
      <x:c r="B32" s="8" t="str">
        <x:v>Windows</x:v>
      </x:c>
      <x:c r="C32" s="8" t="str">
        <x:v>console event missing</x:v>
      </x:c>
      <x:c r="D32" s="8" t="str">
        <x:v>open case 1026; repeat after offline toggle.</x:v>
      </x:c>
      <x:c r="E32" s="8" t="str">
        <x:v>none yet</x:v>
      </x:c>
      <x:c r="F32" s="8" t="str">
        <x:v>No owner</x:v>
      </x:c>
      <x:c r="G32" s="8" t="str">
        <x:v>needs reproduction</x:v>
      </x:c>
      <x:c r="H32" s="8" t="str">
        <x:v>P3</x:v>
      </x:c>
      <x:c r="I32" s="8" t="str">
        <x:v>2026-09-01</x:v>
      </x:c>
      <x:c r="J32" s="8" t="str">
        <x:v>2026-02-22</x:v>
      </x:c>
      <x:c r="K32" s="8"/>
      <x:c r="L32" s="8"/>
      <x:c r="M32" s="8"/>
    </x:row>
    <x:row r="33">
      <x:c r="A33" s="8" t="str">
        <x:v>cookies</x:v>
      </x:c>
      <x:c r="B33" s="8" t="str">
        <x:v>Windows</x:v>
      </x:c>
      <x:c r="C33" s="8" t="str">
        <x:v>scroll offset resets</x:v>
      </x:c>
      <x:c r="D33" s="8" t="str">
        <x:v>open case 1027; repeat after offline toggle.</x:v>
      </x:c>
      <x:c r="E33" s="8" t="str">
        <x:v>reproduce on clean profile</x:v>
      </x:c>
      <x:c r="F33" s="8" t="str">
        <x:v>Mei</x:v>
      </x:c>
      <x:c r="G33" s="8" t="str">
        <x:v>investigating</x:v>
      </x:c>
      <x:c r="H33" s="8" t="str">
        <x:v>P2</x:v>
      </x:c>
      <x:c r="I33" s="8" t="str">
        <x:v>2026-01-01</x:v>
      </x:c>
      <x:c r="J33" s="8" t="str">
        <x:v>2026-03-23</x:v>
      </x:c>
      <x:c r="K33" s="8"/>
      <x:c r="L33" s="8"/>
      <x:c r="M33" s="8"/>
    </x:row>
    <x:row r="34">
      <x:c r="A34" s="8" t="str">
        <x:v>download</x:v>
      </x:c>
      <x:c r="B34" s="8" t="str">
        <x:v>Android</x:v>
      </x:c>
      <x:c r="C34" s="8" t="str">
        <x:v>scroll offset resets</x:v>
      </x:c>
      <x:c r="D34" s="8"/>
      <x:c r="E34" s="8" t="str">
        <x:v>retry after NavigationCompleted</x:v>
      </x:c>
      <x:c r="F34" s="8" t="str">
        <x:v>No owner</x:v>
      </x:c>
      <x:c r="G34" s="8" t="str">
        <x:v>blocked</x:v>
      </x:c>
      <x:c r="H34" s="8" t="str">
        <x:v>P0</x:v>
      </x:c>
      <x:c r="I34" s="8" t="str">
        <x:v>2026-02-01</x:v>
      </x:c>
      <x:c r="J34" s="8" t="str">
        <x:v>2026-04-24</x:v>
      </x:c>
      <x:c r="K34" s="8" t="str">
        <x:v>https://learn.microsoft.com/en-us/microsoft-edge/webview2/concepts/security</x:v>
      </x:c>
      <x:c r="L34" s="8" t="str">
        <x:v>The owner field was not captured in the original notes, so classification should remain conservative.</x:v>
      </x:c>
      <x:c r="M34" s="8"/>
    </x:row>
    <x:row r="35">
      <x:c r="A35" s="8" t="str">
        <x:v>network</x:v>
      </x:c>
      <x:c r="B35" s="8" t="str">
        <x:v>Windows</x:v>
      </x:c>
      <x:c r="C35" s="8" t="str">
        <x:v>resource blocked by policy</x:v>
      </x:c>
      <x:c r="D35" s="8" t="str">
        <x:v>open case 1029; repeat after reload.</x:v>
      </x:c>
      <x:c r="E35" s="8" t="str">
        <x:v>retry after NavigationCompleted</x:v>
      </x:c>
      <x:c r="F35" s="8" t="str">
        <x:v>Mei</x:v>
      </x:c>
      <x:c r="G35" s="8" t="str">
        <x:v>needs reproduction</x:v>
      </x:c>
      <x:c r="H35" s="8" t="str">
        <x:v>P2</x:v>
      </x:c>
      <x:c r="I35" s="8" t="str">
        <x:v>2026-03-01</x:v>
      </x:c>
      <x:c r="J35" s="8" t="str">
        <x:v>2026-05-25</x:v>
      </x:c>
      <x:c r="K35" s="8" t="str">
        <x:v>https://developer.android.com/reference/android/webkit/WebView</x:v>
      </x:c>
      <x:c r="L35" s="8" t="str">
        <x:v>Observed in a local test run: the content rendered, but the console warning appeared twice.</x:v>
      </x:c>
      <x:c r="M35" s="8"/>
    </x:row>
    <x:row r="36">
      <x:c r="A36" s="8" t="str">
        <x:v>cookies</x:v>
      </x:c>
      <x:c r="B36" s="8" t="str">
        <x:v>Linux</x:v>
      </x:c>
      <x:c r="C36" s="8" t="str">
        <x:v>large response times out</x:v>
      </x:c>
      <x:c r="D36" s="8" t="str">
        <x:v>open case 1030; repeat after reload.</x:v>
      </x:c>
      <x:c r="E36" s="8" t="str">
        <x:v>increase timeout</x:v>
      </x:c>
      <x:c r="F36" s="8" t="str">
        <x:v>Ben</x:v>
      </x:c>
      <x:c r="G36" s="8" t="str">
        <x:v>investigating</x:v>
      </x:c>
      <x:c r="H36" s="8" t="str">
        <x:v>P1</x:v>
      </x:c>
      <x:c r="I36" s="8" t="str">
        <x:v>2026-04-01</x:v>
      </x:c>
      <x:c r="J36" s="8" t="str">
        <x:v>2026-06-26</x:v>
      </x:c>
      <x:c r="K36" s="8" t="str">
        <x:v>https://github.com/react-native-webview/react-native-webview</x:v>
      </x:c>
      <x:c r="L36" s="8"/>
      <x:c r="M36" s="8"/>
    </x:row>
    <x:row r="37">
      <x:c r="A37" s="8"/>
      <x:c r="B37" s="8"/>
      <x:c r="C37" s="8"/>
      <x:c r="D37" s="8"/>
      <x:c r="E37" s="8"/>
      <x:c r="F37" s="8"/>
      <x:c r="G37" s="8"/>
      <x:c r="H37" s="8"/>
      <x:c r="I37" s="8"/>
      <x:c r="J37" s="8"/>
      <x:c r="K37" s="8"/>
      <x:c r="L37" s="8"/>
      <x:c r="M37" s="8"/>
    </x:row>
    <x:row r="38">
      <x:c r="A38" s="8" t="str">
        <x:v>cookies</x:v>
      </x:c>
      <x:c r="B38" s="8" t="str">
        <x:v>iOS</x:v>
      </x:c>
      <x:c r="C38" s="8" t="str">
        <x:v>scroll offset resets</x:v>
      </x:c>
      <x:c r="D38" s="8" t="str">
        <x:v>open case 1031; repeat after offline toggle.</x:v>
      </x:c>
      <x:c r="E38" s="8" t="str">
        <x:v>reproduce on clean profile</x:v>
      </x:c>
      <x:c r="F38" s="8" t="str">
        <x:v>Mei</x:v>
      </x:c>
      <x:c r="G38" s="8" t="str">
        <x:v>resolved</x:v>
      </x:c>
      <x:c r="H38" s="8" t="str">
        <x:v>P3</x:v>
      </x:c>
      <x:c r="I38" s="8" t="str">
        <x:v>2026-05-01</x:v>
      </x:c>
      <x:c r="J38" s="8" t="str">
        <x:v>2026-07-27</x:v>
      </x:c>
      <x:c r="K38" s="8"/>
      <x:c r="L38" s="8" t="str">
        <x:v>This sentence is long enough to exercise wrapping and downstream chunk boundaries in Markdown output.</x:v>
      </x:c>
      <x:c r="M38" s="8"/>
    </x:row>
    <x:row r="39">
      <x:c r="A39" s="8" t="str">
        <x:v>cookies</x:v>
      </x:c>
      <x:c r="B39" s="8" t="str">
        <x:v>macOS</x:v>
      </x:c>
      <x:c r="C39" s="8" t="str">
        <x:v>large response times out</x:v>
      </x:c>
      <x:c r="D39" s="8" t="str">
        <x:v>open case 1032; repeat after reload.</x:v>
      </x:c>
      <x:c r="E39" s="8" t="str">
        <x:v>none yet</x:v>
      </x:c>
      <x:c r="F39" s="8" t="str">
        <x:v>Asha</x:v>
      </x:c>
      <x:c r="G39" s="8" t="str">
        <x:v>needs reproduction</x:v>
      </x:c>
      <x:c r="H39" s="8" t="str">
        <x:v>P3</x:v>
      </x:c>
      <x:c r="I39" s="8" t="str">
        <x:v>2026-06-01</x:v>
      </x:c>
      <x:c r="J39" s="8" t="str">
        <x:v>2026-08-20</x:v>
      </x:c>
      <x:c r="K39" s="8" t="str">
        <x:v>https://github.com/react-native-webview/react-native-webview</x:v>
      </x:c>
      <x:c r="L39" s="8"/>
      <x:c r="M39" s="8"/>
    </x:row>
    <x:row r="40">
      <x:c r="A40" s="8" t="str">
        <x:v>input</x:v>
      </x:c>
      <x:c r="B40" s="8" t="str">
        <x:v>Linux</x:v>
      </x:c>
      <x:c r="C40" s="8" t="str">
        <x:v>scroll offset resets</x:v>
      </x:c>
      <x:c r="D40" s="8"/>
      <x:c r="E40" s="8" t="str">
        <x:v>none yet</x:v>
      </x:c>
      <x:c r="F40" s="8" t="str">
        <x:v>Diego</x:v>
      </x:c>
      <x:c r="G40" s="8" t="str">
        <x:v>resolved</x:v>
      </x:c>
      <x:c r="H40" s="8" t="str">
        <x:v>P2</x:v>
      </x:c>
      <x:c r="I40" s="8" t="str">
        <x:v>2026-07-01</x:v>
      </x:c>
      <x:c r="J40" s="8" t="str">
        <x:v>2026-09-21</x:v>
      </x:c>
      <x:c r="K40" s="8"/>
      <x:c r="L40" s="8"/>
      <x:c r="M40" s="8"/>
    </x:row>
    <x:row r="41">
      <x:c r="A41" s="8" t="str">
        <x:v>network</x:v>
      </x:c>
      <x:c r="B41" s="8" t="str">
        <x:v>Android</x:v>
      </x:c>
      <x:c r="C41" s="8" t="str">
        <x:v>resource blocked by policy</x:v>
      </x:c>
      <x:c r="D41" s="8" t="str">
        <x:v>open case 1034; repeat after cold start.</x:v>
      </x:c>
      <x:c r="E41" s="8" t="str">
        <x:v>retry after NavigationCompleted</x:v>
      </x:c>
      <x:c r="F41" s="8" t="str">
        <x:v>Asha</x:v>
      </x:c>
      <x:c r="G41" s="8" t="str">
        <x:v>investigating</x:v>
      </x:c>
      <x:c r="H41" s="8" t="str">
        <x:v>P1</x:v>
      </x:c>
      <x:c r="I41" s="8" t="str">
        <x:v>2026-08-01</x:v>
      </x:c>
      <x:c r="J41" s="8" t="str">
        <x:v>2026-01-22</x:v>
      </x:c>
      <x:c r="K41" s="8" t="str">
        <x:v>https://github.com/react-native-webview/react-native-webview</x:v>
      </x:c>
      <x:c r="L41" s="8"/>
      <x:c r="M41" s="8"/>
    </x:row>
    <x:row r="42">
      <x:c r="A42" s="8" t="str">
        <x:v>network</x:v>
      </x:c>
      <x:c r="B42" s="8" t="str">
        <x:v>Linux</x:v>
      </x:c>
      <x:c r="C42" s="8" t="str">
        <x:v>blank page after reload</x:v>
      </x:c>
      <x:c r="D42" s="8"/>
      <x:c r="E42" s="8" t="str">
        <x:v>increase timeout</x:v>
      </x:c>
      <x:c r="F42" s="8" t="str">
        <x:v>Mei</x:v>
      </x:c>
      <x:c r="G42" s="8" t="str">
        <x:v>needs reproduction</x:v>
      </x:c>
      <x:c r="H42" s="8" t="str">
        <x:v>P1</x:v>
      </x:c>
      <x:c r="I42" s="8" t="str">
        <x:v>2026-09-01</x:v>
      </x:c>
      <x:c r="J42" s="8" t="str">
        <x:v>2026-02-23</x:v>
      </x:c>
      <x:c r="K42" s="8"/>
      <x:c r="L42" s="8" t="str">
        <x:v>The bridge callback is stable for small payloads, but large JSON messages show visible delay during navigation.</x:v>
      </x:c>
      <x:c r="M42" s="8"/>
    </x:row>
    <x:row r="43">
      <x:c r="A43" s="8" t="str">
        <x:v>network</x:v>
      </x:c>
      <x:c r="B43" s="8" t="str">
        <x:v>Linux</x:v>
      </x:c>
      <x:c r="C43" s="8" t="str">
        <x:v>scroll offset resets</x:v>
      </x:c>
      <x:c r="D43" s="8" t="str">
        <x:v>open case 1036; repeat after reload.</x:v>
      </x:c>
      <x:c r="E43" s="8" t="str">
        <x:v>retry after NavigationCompleted</x:v>
      </x:c>
      <x:c r="F43" s="8" t="str">
        <x:v>Asha</x:v>
      </x:c>
      <x:c r="G43" s="8" t="str">
        <x:v>investigating</x:v>
      </x:c>
      <x:c r="H43" s="8" t="str">
        <x:v>P0</x:v>
      </x:c>
      <x:c r="I43" s="8" t="str">
        <x:v>2026-01-01</x:v>
      </x:c>
      <x:c r="J43" s="8" t="str">
        <x:v>2026-03-24</x:v>
      </x:c>
      <x:c r="K43" s="8"/>
      <x:c r="L43" s="8" t="str">
        <x:v>This sentence is long enough to exercise wrapping and downstream chunk boundaries in Markdown output.</x:v>
      </x:c>
      <x:c r="M43" s="8"/>
    </x:row>
    <x:row r="44">
      <x:c r="A44" s="8" t="str">
        <x:v>cookies</x:v>
      </x:c>
      <x:c r="B44" s="8" t="str">
        <x:v>macOS</x:v>
      </x:c>
      <x:c r="C44" s="8" t="str">
        <x:v>resource blocked by policy</x:v>
      </x:c>
      <x:c r="D44" s="8" t="str">
        <x:v>open case 1037; repeat after reload.</x:v>
      </x:c>
      <x:c r="E44" s="8" t="str">
        <x:v>retry after NavigationCompleted</x:v>
      </x:c>
      <x:c r="F44" s="8" t="str">
        <x:v>Carla</x:v>
      </x:c>
      <x:c r="G44" s="8" t="str">
        <x:v>open</x:v>
      </x:c>
      <x:c r="H44" s="8" t="str">
        <x:v>P0</x:v>
      </x:c>
      <x:c r="I44" s="8" t="str">
        <x:v>2026-02-01</x:v>
      </x:c>
      <x:c r="J44" s="8" t="str">
        <x:v>2026-04-25</x:v>
      </x:c>
      <x:c r="K44" s="8" t="str">
        <x:v>https://developer.android.com/reference/android/webkit/WebView</x:v>
      </x:c>
      <x:c r="L44" s="8" t="str">
        <x:v>Follow-up: compare the result when the network security policy is relaxed versus when it is enforced.</x:v>
      </x:c>
      <x:c r="M44" s="8"/>
    </x:row>
    <x:row r="45">
      <x:c r="A45" s="8" t="str">
        <x:v>cookies</x:v>
      </x:c>
      <x:c r="B45" s="8" t="str">
        <x:v>Android</x:v>
      </x:c>
      <x:c r="C45" s="8" t="str">
        <x:v>blank page after reload</x:v>
      </x:c>
      <x:c r="D45" s="8" t="str">
        <x:v>open case 1038; repeat after cold start.</x:v>
      </x:c>
      <x:c r="E45" s="8" t="str">
        <x:v>none yet</x:v>
      </x:c>
      <x:c r="F45" s="8" t="str">
        <x:v>Mei</x:v>
      </x:c>
      <x:c r="G45" s="8" t="str">
        <x:v>open</x:v>
      </x:c>
      <x:c r="H45" s="8" t="str">
        <x:v>P1</x:v>
      </x:c>
      <x:c r="I45" s="8" t="str">
        <x:v>2026-03-01</x:v>
      </x:c>
      <x:c r="J45" s="8" t="str">
        <x:v>2026-05-26</x:v>
      </x:c>
      <x:c r="K45" s="8" t="str">
        <x:v>https://github.com/react-native-webview/react-native-webview</x:v>
      </x:c>
      <x:c r="L45" s="8"/>
      <x:c r="M45" s="8"/>
    </x:row>
    <x:row r="46">
      <x:c r="A46" s="8" t="str">
        <x:v>network</x:v>
      </x:c>
      <x:c r="B46" s="8" t="str">
        <x:v>macOS</x:v>
      </x:c>
      <x:c r="C46" s="8" t="str">
        <x:v>scroll offset resets</x:v>
      </x:c>
      <x:c r="D46" s="8" t="str">
        <x:v>open case 1039; repeat after reload.</x:v>
      </x:c>
      <x:c r="E46" s="8" t="str">
        <x:v>none yet</x:v>
      </x:c>
      <x:c r="F46" s="8" t="str">
        <x:v>Mei</x:v>
      </x:c>
      <x:c r="G46" s="8" t="str">
        <x:v>open</x:v>
      </x:c>
      <x:c r="H46" s="8" t="str">
        <x:v>P0</x:v>
      </x:c>
      <x:c r="I46" s="8" t="str">
        <x:v>2026-04-01</x:v>
      </x:c>
      <x:c r="J46" s="8" t="str">
        <x:v>2026-06-27</x:v>
      </x:c>
      <x:c r="K46" s="8"/>
      <x:c r="L46" s="8" t="str">
        <x:v>Verify behavior on a cold start and after the page reloads without destroying the native view.</x:v>
      </x:c>
      <x:c r="M46" s="8"/>
    </x:row>
    <x:row r="47">
      <x:c r="A47" s="8" t="str">
        <x:v>download</x:v>
      </x:c>
      <x:c r="B47" s="8" t="str">
        <x:v>Windows</x:v>
      </x:c>
      <x:c r="C47" s="8" t="str">
        <x:v>large response times out</x:v>
      </x:c>
      <x:c r="D47" s="8" t="str">
        <x:v>open case 1040; repeat after cold start.</x:v>
      </x:c>
      <x:c r="E47" s="8" t="str">
        <x:v>none yet</x:v>
      </x:c>
      <x:c r="F47" s="8" t="str">
        <x:v>Ben</x:v>
      </x:c>
      <x:c r="G47" s="8" t="str">
        <x:v>resolved</x:v>
      </x:c>
      <x:c r="H47" s="8" t="str">
        <x:v>P0</x:v>
      </x:c>
      <x:c r="I47" s="8" t="str">
        <x:v>2026-05-01</x:v>
      </x:c>
      <x:c r="J47" s="8" t="str">
        <x:v>2026-07-20</x:v>
      </x:c>
      <x:c r="K47" s="8"/>
      <x:c r="L47" s="8"/>
      <x:c r="M47" s="8"/>
    </x:row>
    <x:row r="48">
      <x:c r="A48" s="8" t="str">
        <x:v>cookies</x:v>
      </x:c>
      <x:c r="B48" s="8" t="str">
        <x:v>iOS</x:v>
      </x:c>
      <x:c r="C48" s="8" t="str">
        <x:v>large response times out</x:v>
      </x:c>
      <x:c r="D48" s="8"/>
      <x:c r="E48" s="8" t="str">
        <x:v>retry after NavigationCompleted</x:v>
      </x:c>
      <x:c r="F48" s="8" t="str">
        <x:v>No owner</x:v>
      </x:c>
      <x:c r="G48" s="8" t="str">
        <x:v>investigating</x:v>
      </x:c>
      <x:c r="H48" s="8" t="str">
        <x:v>P1</x:v>
      </x:c>
      <x:c r="I48" s="8" t="str">
        <x:v>2026-06-01</x:v>
      </x:c>
      <x:c r="J48" s="8" t="str">
        <x:v>2026-08-21</x:v>
      </x:c>
      <x:c r="K48" s="8"/>
      <x:c r="L48" s="8" t="str">
        <x:v>The owner field was not captured in the original notes, so classification should remain conservative.</x:v>
      </x:c>
      <x:c r="M48" s="8"/>
    </x:row>
    <x:row r="49">
      <x:c r="A49" s="8" t="str">
        <x:v>rendering</x:v>
      </x:c>
      <x:c r="B49" s="8" t="str">
        <x:v>Android</x:v>
      </x:c>
      <x:c r="C49" s="8" t="str">
        <x:v>blank page after reload</x:v>
      </x:c>
      <x:c r="D49" s="8" t="str">
        <x:v>open case 1042; repeat after cold start.</x:v>
      </x:c>
      <x:c r="E49" s="8" t="str">
        <x:v>retry after NavigationCompleted</x:v>
      </x:c>
      <x:c r="F49" s="8" t="str">
        <x:v>Asha</x:v>
      </x:c>
      <x:c r="G49" s="8" t="str">
        <x:v>blocked</x:v>
      </x:c>
      <x:c r="H49" s="8" t="str">
        <x:v>P3</x:v>
      </x:c>
      <x:c r="I49" s="8" t="str">
        <x:v>2026-07-01</x:v>
      </x:c>
      <x:c r="J49" s="8" t="str">
        <x:v>2026-09-22</x:v>
      </x:c>
      <x:c r="K49" s="8"/>
      <x:c r="L49" s="8"/>
      <x:c r="M49" s="8"/>
    </x:row>
    <x:row r="50">
      <x:c r="A50" s="8" t="str">
        <x:v>download</x:v>
      </x:c>
      <x:c r="B50" s="8" t="str">
        <x:v>Android</x:v>
      </x:c>
      <x:c r="C50" s="8" t="str">
        <x:v>resource blocked by policy</x:v>
      </x:c>
      <x:c r="D50" s="8" t="str">
        <x:v>open case 1043; repeat after cold start.</x:v>
      </x:c>
      <x:c r="E50" s="8" t="str">
        <x:v>retry after NavigationCompleted</x:v>
      </x:c>
      <x:c r="F50" s="8" t="str">
        <x:v>Mei</x:v>
      </x:c>
      <x:c r="G50" s="8" t="str">
        <x:v>open</x:v>
      </x:c>
      <x:c r="H50" s="8" t="str">
        <x:v>P1</x:v>
      </x:c>
      <x:c r="I50" s="8" t="str">
        <x:v>2026-08-01</x:v>
      </x:c>
      <x:c r="J50" s="8" t="str">
        <x:v>2026-01-23</x:v>
      </x:c>
      <x:c r="K50" s="8"/>
      <x:c r="L50" s="8" t="str">
        <x:v>Follow-up: compare the result when the network security policy is relaxed versus when it is enforced.</x:v>
      </x:c>
      <x:c r="M50" s="8"/>
    </x:row>
    <x:row r="51">
      <x:c r="A51" s="8" t="str">
        <x:v>rendering</x:v>
      </x:c>
      <x:c r="B51" s="8" t="str">
        <x:v>iOS</x:v>
      </x:c>
      <x:c r="C51" s="8" t="str">
        <x:v>resource blocked by policy</x:v>
      </x:c>
      <x:c r="D51" s="8"/>
      <x:c r="E51" s="8" t="str">
        <x:v>reproduce on clean profile</x:v>
      </x:c>
      <x:c r="F51" s="8" t="str">
        <x:v>No owner</x:v>
      </x:c>
      <x:c r="G51" s="8" t="str">
        <x:v>investigating</x:v>
      </x:c>
      <x:c r="H51" s="8" t="str">
        <x:v>P1</x:v>
      </x:c>
      <x:c r="I51" s="8" t="str">
        <x:v>2026-09-01</x:v>
      </x:c>
      <x:c r="J51" s="8" t="str">
        <x:v>2026-02-24</x:v>
      </x:c>
      <x:c r="K51" s="8"/>
      <x:c r="L51" s="8"/>
      <x:c r="M51" s="8"/>
    </x:row>
    <x:row r="52">
      <x:c r="A52" s="8" t="str">
        <x:v>download</x:v>
      </x:c>
      <x:c r="B52" s="8" t="str">
        <x:v>Windows</x:v>
      </x:c>
      <x:c r="C52" s="8" t="str">
        <x:v>blank page after reload</x:v>
      </x:c>
      <x:c r="D52" s="8"/>
      <x:c r="E52" s="8" t="str">
        <x:v>retry after NavigationCompleted</x:v>
      </x:c>
      <x:c r="F52" s="8" t="str">
        <x:v>Carla</x:v>
      </x:c>
      <x:c r="G52" s="8" t="str">
        <x:v>resolved</x:v>
      </x:c>
      <x:c r="H52" s="8" t="str">
        <x:v>P0</x:v>
      </x:c>
      <x:c r="I52" s="8" t="str">
        <x:v>2026-01-01</x:v>
      </x:c>
      <x:c r="J52" s="8" t="str">
        <x:v>2026-03-25</x:v>
      </x:c>
      <x:c r="K52" s="8" t="str">
        <x:v>https://learn.microsoft.com/en-us/microsoft-edge/webview2/concepts/security</x:v>
      </x:c>
      <x:c r="L52" s="8"/>
      <x:c r="M52" s="8"/>
    </x:row>
    <x:row r="53">
      <x:c r="A53" s="8" t="str">
        <x:v>download</x:v>
      </x:c>
      <x:c r="B53" s="8" t="str">
        <x:v>Windows</x:v>
      </x:c>
      <x:c r="C53" s="8" t="str">
        <x:v>focus leaves native control</x:v>
      </x:c>
      <x:c r="D53" s="8" t="str">
        <x:v>open case 1046; repeat after cold start.</x:v>
      </x:c>
      <x:c r="E53" s="8" t="str">
        <x:v>reproduce on clean profile</x:v>
      </x:c>
      <x:c r="F53" s="8" t="str">
        <x:v>Mei</x:v>
      </x:c>
      <x:c r="G53" s="8" t="str">
        <x:v>blocked</x:v>
      </x:c>
      <x:c r="H53" s="8" t="str">
        <x:v>P2</x:v>
      </x:c>
      <x:c r="I53" s="8" t="str">
        <x:v>2026-02-01</x:v>
      </x:c>
      <x:c r="J53" s="8" t="str">
        <x:v>2026-04-26</x:v>
      </x:c>
      <x:c r="K53" s="8"/>
      <x:c r="L53" s="8" t="str">
        <x:v>This sentence is long enough to exercise wrapping and downstream chunk boundaries in Markdown output.</x:v>
      </x:c>
      <x:c r="M53" s="8"/>
    </x:row>
    <x:row r="54">
      <x:c r="A54" s="8" t="str">
        <x:v>Category</x:v>
      </x:c>
      <x:c r="B54" s="8" t="str">
        <x:v>Platform</x:v>
      </x:c>
      <x:c r="C54" s="8" t="str">
        <x:v>Symptom</x:v>
      </x:c>
      <x:c r="D54" s="8" t="str">
        <x:v>Reproduction</x:v>
      </x:c>
      <x:c r="E54" s="8" t="str">
        <x:v>Workaround</x:v>
      </x:c>
      <x:c r="F54" s="8" t="str">
        <x:v>Owner</x:v>
      </x:c>
      <x:c r="G54" s="8" t="str">
        <x:v>Status</x:v>
      </x:c>
      <x:c r="H54" s="8" t="str">
        <x:v>Severity</x:v>
      </x:c>
      <x:c r="I54" s="8" t="str">
        <x:v>First seen</x:v>
      </x:c>
      <x:c r="J54" s="8" t="str">
        <x:v>Last seen</x:v>
      </x:c>
      <x:c r="K54" s="8" t="str">
        <x:v>Reference</x:v>
      </x:c>
      <x:c r="L54" s="8" t="str">
        <x:v>Free note</x:v>
      </x:c>
      <x:c r="M54" s="8" t="str">
        <x:v>repeated header</x:v>
      </x:c>
    </x:row>
    <x:row r="55">
      <x:c r="A55" s="8" t="str">
        <x:v>download</x:v>
      </x:c>
      <x:c r="B55" s="8" t="str">
        <x:v>Android</x:v>
      </x:c>
      <x:c r="C55" s="8" t="str">
        <x:v>scroll offset resets</x:v>
      </x:c>
      <x:c r="D55" s="8"/>
      <x:c r="E55" s="8" t="str">
        <x:v>reproduce on clean profile</x:v>
      </x:c>
      <x:c r="F55" s="8" t="str">
        <x:v>Mei</x:v>
      </x:c>
      <x:c r="G55" s="8" t="str">
        <x:v>needs reproduction</x:v>
      </x:c>
      <x:c r="H55" s="8" t="str">
        <x:v>P2</x:v>
      </x:c>
      <x:c r="I55" s="8" t="str">
        <x:v>2026-03-01</x:v>
      </x:c>
      <x:c r="J55" s="8" t="str">
        <x:v>2026-05-27</x:v>
      </x:c>
      <x:c r="K55" s="8"/>
      <x:c r="L55" s="8"/>
      <x:c r="M55" s="8"/>
    </x:row>
    <x:row r="56">
      <x:c r="A56" s="8" t="str">
        <x:v>cookies</x:v>
      </x:c>
      <x:c r="B56" s="8" t="str">
        <x:v>macOS</x:v>
      </x:c>
      <x:c r="C56" s="8" t="str">
        <x:v>resource blocked by policy</x:v>
      </x:c>
      <x:c r="D56" s="8" t="str">
        <x:v>open case 1048; repeat after offline toggle.</x:v>
      </x:c>
      <x:c r="E56" s="8" t="str">
        <x:v>set explicit user agent</x:v>
      </x:c>
      <x:c r="F56" s="8" t="str">
        <x:v>Mei</x:v>
      </x:c>
      <x:c r="G56" s="8" t="str">
        <x:v>investigating</x:v>
      </x:c>
      <x:c r="H56" s="8" t="str">
        <x:v>P2</x:v>
      </x:c>
      <x:c r="I56" s="8" t="str">
        <x:v>2026-04-01</x:v>
      </x:c>
      <x:c r="J56" s="8" t="str">
        <x:v>2026-06-20</x:v>
      </x:c>
      <x:c r="K56" s="8"/>
      <x:c r="L56" s="8"/>
      <x:c r="M56" s="8"/>
    </x:row>
    <x:row r="57">
      <x:c r="A57" s="8" t="str">
        <x:v>input</x:v>
      </x:c>
      <x:c r="B57" s="8" t="str">
        <x:v>Android</x:v>
      </x:c>
      <x:c r="C57" s="8" t="str">
        <x:v>focus leaves native control</x:v>
      </x:c>
      <x:c r="D57" s="8" t="str">
        <x:v>open case 1049; repeat after reload.</x:v>
      </x:c>
      <x:c r="E57" s="8" t="str">
        <x:v>retry after NavigationCompleted</x:v>
      </x:c>
      <x:c r="F57" s="8" t="str">
        <x:v>Ben</x:v>
      </x:c>
      <x:c r="G57" s="8" t="str">
        <x:v>resolved</x:v>
      </x:c>
      <x:c r="H57" s="8" t="str">
        <x:v>P1</x:v>
      </x:c>
      <x:c r="I57" s="8" t="str">
        <x:v>2026-05-01</x:v>
      </x:c>
      <x:c r="J57" s="8" t="str">
        <x:v>2026-07-21</x:v>
      </x:c>
      <x:c r="K57" s="8" t="str">
        <x:v>https://developer.microsoft.com/en-us/microsoft-edge/webview2/</x:v>
      </x:c>
      <x:c r="L57" s="8" t="str">
        <x:v>The owner field was not captured in the original notes, so classification should remain conservative.</x:v>
      </x:c>
      <x:c r="M57" s="8"/>
    </x:row>
    <x:row r="58">
      <x:c r="A58" s="8" t="str">
        <x:v>rendering</x:v>
      </x:c>
      <x:c r="B58" s="8" t="str">
        <x:v>Windows</x:v>
      </x:c>
      <x:c r="C58" s="8" t="str">
        <x:v>large response times out</x:v>
      </x:c>
      <x:c r="D58" s="8" t="str">
        <x:v>open case 1050; repeat after cold start.</x:v>
      </x:c>
      <x:c r="E58" s="8" t="str">
        <x:v>none yet</x:v>
      </x:c>
      <x:c r="F58" s="8" t="str">
        <x:v>No owner</x:v>
      </x:c>
      <x:c r="G58" s="8" t="str">
        <x:v>needs reproduction</x:v>
      </x:c>
      <x:c r="H58" s="8" t="str">
        <x:v>P0</x:v>
      </x:c>
      <x:c r="I58" s="8" t="str">
        <x:v>2026-06-01</x:v>
      </x:c>
      <x:c r="J58" s="8" t="str">
        <x:v>2026-08-22</x:v>
      </x:c>
      <x:c r="K58" s="8" t="str">
        <x:v>https://learn.microsoft.com/en-us/microsoft-edge/webview2/concepts/security</x:v>
      </x:c>
      <x:c r="L58" s="8" t="str">
        <x:v>This sentence is long enough to exercise wrapping and downstream chunk boundaries in Markdown output.</x:v>
      </x:c>
      <x:c r="M58" s="8"/>
    </x:row>
    <x:row r="59">
      <x:c r="A59" s="8" t="str">
        <x:v>network</x:v>
      </x:c>
      <x:c r="B59" s="8" t="str">
        <x:v>iOS</x:v>
      </x:c>
      <x:c r="C59" s="8" t="str">
        <x:v>focus leaves native control</x:v>
      </x:c>
      <x:c r="D59" s="8"/>
      <x:c r="E59" s="8" t="str">
        <x:v>reproduce on clean profile</x:v>
      </x:c>
      <x:c r="F59" s="8" t="str">
        <x:v>Mei</x:v>
      </x:c>
      <x:c r="G59" s="8" t="str">
        <x:v>needs reproduction</x:v>
      </x:c>
      <x:c r="H59" s="8" t="str">
        <x:v>P0</x:v>
      </x:c>
      <x:c r="I59" s="8" t="str">
        <x:v>2026-07-01</x:v>
      </x:c>
      <x:c r="J59" s="8" t="str">
        <x:v>2026-09-23</x:v>
      </x:c>
      <x:c r="K59" s="8" t="str">
        <x:v>https://github.com/react-native-webview/react-native-webview</x:v>
      </x:c>
      <x:c r="L59" s="8" t="str">
        <x:v>A blank cell here is intentional. The source workbook has notes placed away from the nearest table.</x:v>
      </x:c>
      <x:c r="M59" s="8"/>
    </x:row>
    <x:row r="60">
      <x:c r="A60" s="8" t="str">
        <x:v>network</x:v>
      </x:c>
      <x:c r="B60" s="8" t="str">
        <x:v>iOS</x:v>
      </x:c>
      <x:c r="C60" s="8" t="str">
        <x:v>blank page after reload</x:v>
      </x:c>
      <x:c r="D60" s="8"/>
      <x:c r="E60" s="8" t="str">
        <x:v>none yet</x:v>
      </x:c>
      <x:c r="F60" s="8" t="str">
        <x:v>Mei</x:v>
      </x:c>
      <x:c r="G60" s="8" t="str">
        <x:v>investigating</x:v>
      </x:c>
      <x:c r="H60" s="8" t="str">
        <x:v>P1</x:v>
      </x:c>
      <x:c r="I60" s="8" t="str">
        <x:v>2026-08-01</x:v>
      </x:c>
      <x:c r="J60" s="8" t="str">
        <x:v>2026-01-24</x:v>
      </x:c>
      <x:c r="K60" s="8"/>
      <x:c r="L60" s="8"/>
      <x:c r="M60" s="8"/>
    </x:row>
    <x:row r="61">
      <x:c r="A61" s="8" t="str">
        <x:v>download</x:v>
      </x:c>
      <x:c r="B61" s="8" t="str">
        <x:v>Android</x:v>
      </x:c>
      <x:c r="C61" s="8" t="str">
        <x:v>resource blocked by policy</x:v>
      </x:c>
      <x:c r="D61" s="8" t="str">
        <x:v>open case 1053; repeat after sleep.</x:v>
      </x:c>
      <x:c r="E61" s="8" t="str">
        <x:v>increase timeout</x:v>
      </x:c>
      <x:c r="F61" s="8" t="str">
        <x:v>Diego</x:v>
      </x:c>
      <x:c r="G61" s="8" t="str">
        <x:v>blocked</x:v>
      </x:c>
      <x:c r="H61" s="8" t="str">
        <x:v>P1</x:v>
      </x:c>
      <x:c r="I61" s="8" t="str">
        <x:v>2026-09-01</x:v>
      </x:c>
      <x:c r="J61" s="8" t="str">
        <x:v>2026-02-25</x:v>
      </x:c>
      <x:c r="K61" s="8" t="str">
        <x:v>https://developer.microsoft.com/en-us/microsoft-edge/webview2/</x:v>
      </x:c>
      <x:c r="L61" s="8"/>
      <x:c r="M61" s="8"/>
    </x:row>
    <x:row r="62">
      <x:c r="A62" s="8" t="str">
        <x:v>rendering</x:v>
      </x:c>
      <x:c r="B62" s="8" t="str">
        <x:v>iOS</x:v>
      </x:c>
      <x:c r="C62" s="8" t="str">
        <x:v>resource blocked by policy</x:v>
      </x:c>
      <x:c r="D62" s="8" t="str">
        <x:v>open case 1054; repeat after cold start.</x:v>
      </x:c>
      <x:c r="E62" s="8" t="str">
        <x:v>retry after NavigationCompleted</x:v>
      </x:c>
      <x:c r="F62" s="8" t="str">
        <x:v>Asha</x:v>
      </x:c>
      <x:c r="G62" s="8" t="str">
        <x:v>investigating</x:v>
      </x:c>
      <x:c r="H62" s="8" t="str">
        <x:v>P0</x:v>
      </x:c>
      <x:c r="I62" s="8" t="str">
        <x:v>2026-01-01</x:v>
      </x:c>
      <x:c r="J62" s="8" t="str">
        <x:v>2026-03-26</x:v>
      </x:c>
      <x:c r="K62" s="8" t="str">
        <x:v>https://github.com/react-native-webview/react-native-webview</x:v>
      </x:c>
      <x:c r="L62" s="8" t="str">
        <x:v>This sentence is long enough to exercise wrapping and downstream chunk boundaries in Markdown output.</x:v>
      </x:c>
      <x:c r="M62" s="8"/>
    </x:row>
    <x:row r="63">
      <x:c r="A63" s="8" t="str">
        <x:v>cookies</x:v>
      </x:c>
      <x:c r="B63" s="8" t="str">
        <x:v>Linux</x:v>
      </x:c>
      <x:c r="C63" s="8" t="str">
        <x:v>resource blocked by policy</x:v>
      </x:c>
      <x:c r="D63" s="8" t="str">
        <x:v>open case 1055; repeat after reload.</x:v>
      </x:c>
      <x:c r="E63" s="8" t="str">
        <x:v>retry after NavigationCompleted</x:v>
      </x:c>
      <x:c r="F63" s="8" t="str">
        <x:v>No owner</x:v>
      </x:c>
      <x:c r="G63" s="8" t="str">
        <x:v>investigating</x:v>
      </x:c>
      <x:c r="H63" s="8" t="str">
        <x:v>P1</x:v>
      </x:c>
      <x:c r="I63" s="8" t="str">
        <x:v>2026-02-01</x:v>
      </x:c>
      <x:c r="J63" s="8" t="str">
        <x:v>2026-04-27</x:v>
      </x:c>
      <x:c r="K63" s="8" t="str">
        <x:v>https://developer.microsoft.com/en-us/microsoft-edge/webview2/</x:v>
      </x:c>
      <x:c r="L63" s="8" t="str">
        <x:v>The bridge callback is stable for small payloads, but large JSON messages show visible delay during navigation.</x:v>
      </x:c>
      <x:c r="M63" s="8"/>
    </x:row>
    <x:row r="64">
      <x:c r="A64" s="8" t="str">
        <x:v>rendering</x:v>
      </x:c>
      <x:c r="B64" s="8" t="str">
        <x:v>iOS</x:v>
      </x:c>
      <x:c r="C64" s="8" t="str">
        <x:v>resource blocked by policy</x:v>
      </x:c>
      <x:c r="D64" s="8" t="str">
        <x:v>open case 1056; repeat after offline toggle.</x:v>
      </x:c>
      <x:c r="E64" s="8" t="str">
        <x:v>increase timeout</x:v>
      </x:c>
      <x:c r="F64" s="8" t="str">
        <x:v>Ben</x:v>
      </x:c>
      <x:c r="G64" s="8" t="str">
        <x:v>needs reproduction</x:v>
      </x:c>
      <x:c r="H64" s="8" t="str">
        <x:v>P2</x:v>
      </x:c>
      <x:c r="I64" s="8" t="str">
        <x:v>2026-03-01</x:v>
      </x:c>
      <x:c r="J64" s="8" t="str">
        <x:v>2026-05-20</x:v>
      </x:c>
      <x:c r="K64" s="8" t="str">
        <x:v>https://developer.apple.com/documentation/webkit/wkwebview</x:v>
      </x:c>
      <x:c r="L64" s="8" t="str">
        <x:v>Potential duplicate: this paragraph is repeated in another section to test deduplication and chunk metadata.</x:v>
      </x:c>
      <x:c r="M64" s="8"/>
    </x:row>
    <x:row r="65">
      <x:c r="A65" s="8" t="str">
        <x:v>network</x:v>
      </x:c>
      <x:c r="B65" s="8" t="str">
        <x:v>macOS</x:v>
      </x:c>
      <x:c r="C65" s="8" t="str">
        <x:v>resource blocked by policy</x:v>
      </x:c>
      <x:c r="D65" s="8"/>
      <x:c r="E65" s="8" t="str">
        <x:v>none yet</x:v>
      </x:c>
      <x:c r="F65" s="8" t="str">
        <x:v>Ben</x:v>
      </x:c>
      <x:c r="G65" s="8" t="str">
        <x:v>investigating</x:v>
      </x:c>
      <x:c r="H65" s="8" t="str">
        <x:v>P1</x:v>
      </x:c>
      <x:c r="I65" s="8" t="str">
        <x:v>2026-04-01</x:v>
      </x:c>
      <x:c r="J65" s="8" t="str">
        <x:v>2026-06-21</x:v>
      </x:c>
      <x:c r="K65" s="8"/>
      <x:c r="L65" s="8" t="str">
        <x:v>A blank cell here is intentional. The source workbook has notes placed away from the nearest table.</x:v>
      </x:c>
      <x:c r="M65" s="8"/>
    </x:row>
    <x:row r="66">
      <x:c r="A66" s="8" t="str">
        <x:v>network</x:v>
      </x:c>
      <x:c r="B66" s="8" t="str">
        <x:v>iOS</x:v>
      </x:c>
      <x:c r="C66" s="8" t="str">
        <x:v>scroll offset resets</x:v>
      </x:c>
      <x:c r="D66" s="8"/>
      <x:c r="E66" s="8" t="str">
        <x:v>retry after NavigationCompleted</x:v>
      </x:c>
      <x:c r="F66" s="8" t="str">
        <x:v>No owner</x:v>
      </x:c>
      <x:c r="G66" s="8" t="str">
        <x:v>resolved</x:v>
      </x:c>
      <x:c r="H66" s="8" t="str">
        <x:v>P3</x:v>
      </x:c>
      <x:c r="I66" s="8" t="str">
        <x:v>2026-05-01</x:v>
      </x:c>
      <x:c r="J66" s="8" t="str">
        <x:v>2026-07-22</x:v>
      </x:c>
      <x:c r="K66" s="8"/>
      <x:c r="L66" s="8" t="str">
        <x:v>The bridge callback is stable for small payloads, but large JSON messages show visible delay during navigation.</x:v>
      </x:c>
      <x:c r="M66" s="8"/>
    </x:row>
    <x:row r="67">
      <x:c r="A67" s="8" t="str">
        <x:v>download</x:v>
      </x:c>
      <x:c r="B67" s="8" t="str">
        <x:v>macOS</x:v>
      </x:c>
      <x:c r="C67" s="8" t="str">
        <x:v>scroll offset resets</x:v>
      </x:c>
      <x:c r="D67" s="8" t="str">
        <x:v>open case 1059; repeat after offline toggle.</x:v>
      </x:c>
      <x:c r="E67" s="8" t="str">
        <x:v>increase timeout</x:v>
      </x:c>
      <x:c r="F67" s="8" t="str">
        <x:v>Diego</x:v>
      </x:c>
      <x:c r="G67" s="8" t="str">
        <x:v>needs reproduction</x:v>
      </x:c>
      <x:c r="H67" s="8" t="str">
        <x:v>P0</x:v>
      </x:c>
      <x:c r="I67" s="8" t="str">
        <x:v>2026-06-01</x:v>
      </x:c>
      <x:c r="J67" s="8" t="str">
        <x:v>2026-08-23</x:v>
      </x:c>
      <x:c r="K67" s="8"/>
      <x:c r="L67" s="8" t="str">
        <x:v>Verify behavior on a cold start and after the page reloads without destroying the native view.</x:v>
      </x:c>
      <x:c r="M67" s="8"/>
    </x:row>
    <x:row r="68">
      <x:c r="A68" s="8" t="str">
        <x:v>rendering</x:v>
      </x:c>
      <x:c r="B68" s="8" t="str">
        <x:v>iOS</x:v>
      </x:c>
      <x:c r="C68" s="8" t="str">
        <x:v>console event missing</x:v>
      </x:c>
      <x:c r="D68" s="8" t="str">
        <x:v>open case 1060; repeat after sleep.</x:v>
      </x:c>
      <x:c r="E68" s="8" t="str">
        <x:v>set explicit user agent</x:v>
      </x:c>
      <x:c r="F68" s="8" t="str">
        <x:v>Diego</x:v>
      </x:c>
      <x:c r="G68" s="8" t="str">
        <x:v>investigating</x:v>
      </x:c>
      <x:c r="H68" s="8" t="str">
        <x:v>P3</x:v>
      </x:c>
      <x:c r="I68" s="8" t="str">
        <x:v>2026-07-01</x:v>
      </x:c>
      <x:c r="J68" s="8" t="str">
        <x:v>2026-09-24</x:v>
      </x:c>
      <x:c r="K68" s="8"/>
      <x:c r="L68" s="8"/>
      <x:c r="M68" s="8"/>
    </x:row>
    <x:row r="69">
      <x:c r="A69" s="8" t="str">
        <x:v>network</x:v>
      </x:c>
      <x:c r="B69" s="8" t="str">
        <x:v>Android</x:v>
      </x:c>
      <x:c r="C69" s="8" t="str">
        <x:v>focus leaves native control</x:v>
      </x:c>
      <x:c r="D69" s="8" t="str">
        <x:v>open case 1061; repeat after offline toggle.</x:v>
      </x:c>
      <x:c r="E69" s="8" t="str">
        <x:v>reproduce on clean profile</x:v>
      </x:c>
      <x:c r="F69" s="8" t="str">
        <x:v>Carla</x:v>
      </x:c>
      <x:c r="G69" s="8" t="str">
        <x:v>resolved</x:v>
      </x:c>
      <x:c r="H69" s="8" t="str">
        <x:v>P2</x:v>
      </x:c>
      <x:c r="I69" s="8" t="str">
        <x:v>2026-08-01</x:v>
      </x:c>
      <x:c r="J69" s="8" t="str">
        <x:v>2026-01-25</x:v>
      </x:c>
      <x:c r="K69" s="8" t="str">
        <x:v>https://github.com/react-native-webview/react-native-webview</x:v>
      </x:c>
      <x:c r="L69" s="8"/>
      <x:c r="M69" s="8"/>
    </x:row>
    <x:row r="70">
      <x:c r="A70" s="8"/>
      <x:c r="B70" s="8"/>
      <x:c r="C70" s="8"/>
      <x:c r="D70" s="8"/>
      <x:c r="E70" s="8"/>
      <x:c r="F70" s="8"/>
      <x:c r="G70" s="8"/>
      <x:c r="H70" s="8"/>
      <x:c r="I70" s="8"/>
      <x:c r="J70" s="8"/>
      <x:c r="K70" s="8"/>
      <x:c r="L70" s="8"/>
      <x:c r="M70" s="8"/>
    </x:row>
    <x:row r="71">
      <x:c r="A71" s="8" t="str">
        <x:v>download</x:v>
      </x:c>
      <x:c r="B71" s="8" t="str">
        <x:v>Linux</x:v>
      </x:c>
      <x:c r="C71" s="8" t="str">
        <x:v>focus leaves native control</x:v>
      </x:c>
      <x:c r="D71" s="8" t="str">
        <x:v>open case 1062; repeat after cold start.</x:v>
      </x:c>
      <x:c r="E71" s="8" t="str">
        <x:v>set explicit user agent</x:v>
      </x:c>
      <x:c r="F71" s="8" t="str">
        <x:v>Ben</x:v>
      </x:c>
      <x:c r="G71" s="8" t="str">
        <x:v>needs reproduction</x:v>
      </x:c>
      <x:c r="H71" s="8" t="str">
        <x:v>P3</x:v>
      </x:c>
      <x:c r="I71" s="8" t="str">
        <x:v>2026-09-01</x:v>
      </x:c>
      <x:c r="J71" s="8" t="str">
        <x:v>2026-02-26</x:v>
      </x:c>
      <x:c r="K71" s="8"/>
      <x:c r="L71" s="8" t="str">
        <x:v>Observed in a local test run: the content rendered, but the console warning appeared twice.</x:v>
      </x:c>
      <x:c r="M71" s="8"/>
    </x:row>
    <x:row r="72">
      <x:c r="A72" s="8" t="str">
        <x:v>download</x:v>
      </x:c>
      <x:c r="B72" s="8" t="str">
        <x:v>iOS</x:v>
      </x:c>
      <x:c r="C72" s="8" t="str">
        <x:v>focus leaves native control</x:v>
      </x:c>
      <x:c r="D72" s="8"/>
      <x:c r="E72" s="8" t="str">
        <x:v>none yet</x:v>
      </x:c>
      <x:c r="F72" s="8" t="str">
        <x:v>Ben</x:v>
      </x:c>
      <x:c r="G72" s="8" t="str">
        <x:v>open</x:v>
      </x:c>
      <x:c r="H72" s="8" t="str">
        <x:v>P2</x:v>
      </x:c>
      <x:c r="I72" s="8" t="str">
        <x:v>2026-01-01</x:v>
      </x:c>
      <x:c r="J72" s="8" t="str">
        <x:v>2026-03-27</x:v>
      </x:c>
      <x:c r="K72" s="8" t="str">
        <x:v>https://developer.android.com/reference/android/webkit/WebView</x:v>
      </x:c>
      <x:c r="L72" s="8"/>
      <x:c r="M72" s="8"/>
    </x:row>
    <x:row r="73">
      <x:c r="A73" s="8" t="str">
        <x:v>network</x:v>
      </x:c>
      <x:c r="B73" s="8" t="str">
        <x:v>Android</x:v>
      </x:c>
      <x:c r="C73" s="8" t="str">
        <x:v>large response times out</x:v>
      </x:c>
      <x:c r="D73" s="8"/>
      <x:c r="E73" s="8" t="str">
        <x:v>retry after NavigationCompleted</x:v>
      </x:c>
      <x:c r="F73" s="8" t="str">
        <x:v>Carla</x:v>
      </x:c>
      <x:c r="G73" s="8" t="str">
        <x:v>open</x:v>
      </x:c>
      <x:c r="H73" s="8" t="str">
        <x:v>P0</x:v>
      </x:c>
      <x:c r="I73" s="8" t="str">
        <x:v>2026-02-01</x:v>
      </x:c>
      <x:c r="J73" s="8" t="str">
        <x:v>2026-04-20</x:v>
      </x:c>
      <x:c r="K73" s="8"/>
      <x:c r="L73" s="8"/>
      <x:c r="M73" s="8"/>
    </x:row>
    <x:row r="74">
      <x:c r="A74" s="8" t="str">
        <x:v>network</x:v>
      </x:c>
      <x:c r="B74" s="8" t="str">
        <x:v>iOS</x:v>
      </x:c>
      <x:c r="C74" s="8" t="str">
        <x:v>resource blocked by policy</x:v>
      </x:c>
      <x:c r="D74" s="8"/>
      <x:c r="E74" s="8" t="str">
        <x:v>use a bridge queue</x:v>
      </x:c>
      <x:c r="F74" s="8" t="str">
        <x:v>Diego</x:v>
      </x:c>
      <x:c r="G74" s="8" t="str">
        <x:v>investigating</x:v>
      </x:c>
      <x:c r="H74" s="8" t="str">
        <x:v>P0</x:v>
      </x:c>
      <x:c r="I74" s="8" t="str">
        <x:v>2026-03-01</x:v>
      </x:c>
      <x:c r="J74" s="8" t="str">
        <x:v>2026-05-21</x:v>
      </x:c>
      <x:c r="K74" s="8"/>
      <x:c r="L74" s="8"/>
      <x:c r="M74" s="8"/>
    </x:row>
    <x:row r="75">
      <x:c r="A75" s="8" t="str">
        <x:v>rendering</x:v>
      </x:c>
      <x:c r="B75" s="8" t="str">
        <x:v>macOS</x:v>
      </x:c>
      <x:c r="C75" s="8" t="str">
        <x:v>focus leaves native control</x:v>
      </x:c>
      <x:c r="D75" s="8" t="str">
        <x:v>open case 1066; repeat after reload.</x:v>
      </x:c>
      <x:c r="E75" s="8" t="str">
        <x:v>retry after NavigationCompleted</x:v>
      </x:c>
      <x:c r="F75" s="8" t="str">
        <x:v>Ben</x:v>
      </x:c>
      <x:c r="G75" s="8" t="str">
        <x:v>needs reproduction</x:v>
      </x:c>
      <x:c r="H75" s="8" t="str">
        <x:v>P0</x:v>
      </x:c>
      <x:c r="I75" s="8" t="str">
        <x:v>2026-04-01</x:v>
      </x:c>
      <x:c r="J75" s="8" t="str">
        <x:v>2026-06-22</x:v>
      </x:c>
      <x:c r="K75" s="8" t="str">
        <x:v>https://developer.microsoft.com/en-us/microsoft-edge/webview2/</x:v>
      </x:c>
      <x:c r="L75" s="8"/>
      <x:c r="M75" s="8"/>
    </x:row>
    <x:row r="76">
      <x:c r="A76" s="8" t="str">
        <x:v>cookies</x:v>
      </x:c>
      <x:c r="B76" s="8" t="str">
        <x:v>Android</x:v>
      </x:c>
      <x:c r="C76" s="8" t="str">
        <x:v>blank page after reload</x:v>
      </x:c>
      <x:c r="D76" s="8" t="str">
        <x:v>open case 1067; repeat after sleep.</x:v>
      </x:c>
      <x:c r="E76" s="8" t="str">
        <x:v>reproduce on clean profile</x:v>
      </x:c>
      <x:c r="F76" s="8" t="str">
        <x:v>Carla</x:v>
      </x:c>
      <x:c r="G76" s="8" t="str">
        <x:v>blocked</x:v>
      </x:c>
      <x:c r="H76" s="8" t="str">
        <x:v>P2</x:v>
      </x:c>
      <x:c r="I76" s="8" t="str">
        <x:v>2026-05-01</x:v>
      </x:c>
      <x:c r="J76" s="8" t="str">
        <x:v>2026-07-23</x:v>
      </x:c>
      <x:c r="K76" s="8" t="str">
        <x:v>https://developer.microsoft.com/en-us/microsoft-edge/webview2/</x:v>
      </x:c>
      <x:c r="L76" s="8"/>
      <x:c r="M76" s="8"/>
    </x:row>
    <x:row r="77">
      <x:c r="A77" s="8" t="str">
        <x:v>network</x:v>
      </x:c>
      <x:c r="B77" s="8" t="str">
        <x:v>Linux</x:v>
      </x:c>
      <x:c r="C77" s="8" t="str">
        <x:v>focus leaves native control</x:v>
      </x:c>
      <x:c r="D77" s="8"/>
      <x:c r="E77" s="8" t="str">
        <x:v>set explicit user agent</x:v>
      </x:c>
      <x:c r="F77" s="8" t="str">
        <x:v>Ben</x:v>
      </x:c>
      <x:c r="G77" s="8" t="str">
        <x:v>investigating</x:v>
      </x:c>
      <x:c r="H77" s="8" t="str">
        <x:v>P2</x:v>
      </x:c>
      <x:c r="I77" s="8" t="str">
        <x:v>2026-06-01</x:v>
      </x:c>
      <x:c r="J77" s="8" t="str">
        <x:v>2026-08-24</x:v>
      </x:c>
      <x:c r="K77" s="8" t="str">
        <x:v>https://learn.microsoft.com/en-us/microsoft-edge/webview2/concepts/security</x:v>
      </x:c>
      <x:c r="L77" s="8" t="str">
        <x:v>Verify behavior on a cold start and after the page reloads without destroying the native view.</x:v>
      </x:c>
      <x:c r="M77" s="8"/>
    </x:row>
    <x:row r="78">
      <x:c r="A78" s="8" t="str">
        <x:v>download</x:v>
      </x:c>
      <x:c r="B78" s="8" t="str">
        <x:v>Linux</x:v>
      </x:c>
      <x:c r="C78" s="8" t="str">
        <x:v>focus leaves native control</x:v>
      </x:c>
      <x:c r="D78" s="8" t="str">
        <x:v>open case 1069; repeat after reload.</x:v>
      </x:c>
      <x:c r="E78" s="8" t="str">
        <x:v>set explicit user agent</x:v>
      </x:c>
      <x:c r="F78" s="8" t="str">
        <x:v>Ben</x:v>
      </x:c>
      <x:c r="G78" s="8" t="str">
        <x:v>blocked</x:v>
      </x:c>
      <x:c r="H78" s="8" t="str">
        <x:v>P2</x:v>
      </x:c>
      <x:c r="I78" s="8" t="str">
        <x:v>2026-07-01</x:v>
      </x:c>
      <x:c r="J78" s="8" t="str">
        <x:v>2026-09-25</x:v>
      </x:c>
      <x:c r="K78" s="8" t="str">
        <x:v>https://developer.apple.com/documentation/webkit/wkwebview</x:v>
      </x:c>
      <x:c r="L78" s="8" t="str">
        <x:v>The bridge callback is stable for small payloads, but large JSON messages show visible delay during navigation.</x:v>
      </x:c>
      <x:c r="M78" s="8"/>
    </x:row>
    <x:row r="79">
      <x:c r="A79" s="8" t="str">
        <x:v>input</x:v>
      </x:c>
      <x:c r="B79" s="8" t="str">
        <x:v>Windows</x:v>
      </x:c>
      <x:c r="C79" s="8" t="str">
        <x:v>resource blocked by policy</x:v>
      </x:c>
      <x:c r="D79" s="8" t="str">
        <x:v>open case 1070; repeat after reload.</x:v>
      </x:c>
      <x:c r="E79" s="8" t="str">
        <x:v>increase timeout</x:v>
      </x:c>
      <x:c r="F79" s="8" t="str">
        <x:v>Carla</x:v>
      </x:c>
      <x:c r="G79" s="8" t="str">
        <x:v>investigating</x:v>
      </x:c>
      <x:c r="H79" s="8" t="str">
        <x:v>P0</x:v>
      </x:c>
      <x:c r="I79" s="8" t="str">
        <x:v>2026-08-01</x:v>
      </x:c>
      <x:c r="J79" s="8" t="str">
        <x:v>2026-01-26</x:v>
      </x:c>
      <x:c r="K79" s="8" t="str">
        <x:v>https://learn.microsoft.com/en-us/microsoft-edge/webview2/concepts/security</x:v>
      </x:c>
      <x:c r="L79" s="8" t="str">
        <x:v>Potential duplicate: this paragraph is repeated in another section to test deduplication and chunk metadata.</x:v>
      </x:c>
      <x:c r="M79" s="8"/>
    </x:row>
    <x:row r="80">
      <x:c r="A80" s="8" t="str">
        <x:v>cookies</x:v>
      </x:c>
      <x:c r="B80" s="8" t="str">
        <x:v>macOS</x:v>
      </x:c>
      <x:c r="C80" s="8" t="str">
        <x:v>blank page after reload</x:v>
      </x:c>
      <x:c r="D80" s="8" t="str">
        <x:v>open case 1071; repeat after cold start.</x:v>
      </x:c>
      <x:c r="E80" s="8" t="str">
        <x:v>set explicit user agent</x:v>
      </x:c>
      <x:c r="F80" s="8" t="str">
        <x:v>Diego</x:v>
      </x:c>
      <x:c r="G80" s="8" t="str">
        <x:v>resolved</x:v>
      </x:c>
      <x:c r="H80" s="8" t="str">
        <x:v>P0</x:v>
      </x:c>
      <x:c r="I80" s="8" t="str">
        <x:v>2026-09-01</x:v>
      </x:c>
      <x:c r="J80" s="8" t="str">
        <x:v>2026-02-27</x:v>
      </x:c>
      <x:c r="K80" s="8"/>
      <x:c r="L80" s="8"/>
      <x:c r="M80" s="8"/>
    </x:row>
    <x:row r="81">
      <x:c r="A81" s="8" t="str">
        <x:v>cookies</x:v>
      </x:c>
      <x:c r="B81" s="8" t="str">
        <x:v>Linux</x:v>
      </x:c>
      <x:c r="C81" s="8" t="str">
        <x:v>console event missing</x:v>
      </x:c>
      <x:c r="D81" s="8" t="str">
        <x:v>open case 1072; repeat after sleep.</x:v>
      </x:c>
      <x:c r="E81" s="8" t="str">
        <x:v>none yet</x:v>
      </x:c>
      <x:c r="F81" s="8" t="str">
        <x:v>Ben</x:v>
      </x:c>
      <x:c r="G81" s="8" t="str">
        <x:v>resolved</x:v>
      </x:c>
      <x:c r="H81" s="8" t="str">
        <x:v>P3</x:v>
      </x:c>
      <x:c r="I81" s="8" t="str">
        <x:v>2026-01-01</x:v>
      </x:c>
      <x:c r="J81" s="8" t="str">
        <x:v>2026-03-20</x:v>
      </x:c>
      <x:c r="K81" s="8" t="str">
        <x:v>https://developer.android.com/reference/android/webkit/WebView</x:v>
      </x:c>
      <x:c r="L81" s="8" t="str">
        <x:v>A blank cell here is intentional. The source workbook has notes placed away from the nearest table.</x:v>
      </x:c>
      <x:c r="M81" s="8"/>
    </x:row>
    <x:row r="82">
      <x:c r="A82" s="8" t="str">
        <x:v>download</x:v>
      </x:c>
      <x:c r="B82" s="8" t="str">
        <x:v>Windows</x:v>
      </x:c>
      <x:c r="C82" s="8" t="str">
        <x:v>scroll offset resets</x:v>
      </x:c>
      <x:c r="D82" s="8" t="str">
        <x:v>open case 1073; repeat after sleep.</x:v>
      </x:c>
      <x:c r="E82" s="8" t="str">
        <x:v>set explicit user agent</x:v>
      </x:c>
      <x:c r="F82" s="8" t="str">
        <x:v>Ben</x:v>
      </x:c>
      <x:c r="G82" s="8" t="str">
        <x:v>investigating</x:v>
      </x:c>
      <x:c r="H82" s="8" t="str">
        <x:v>P1</x:v>
      </x:c>
      <x:c r="I82" s="8" t="str">
        <x:v>2026-02-01</x:v>
      </x:c>
      <x:c r="J82" s="8" t="str">
        <x:v>2026-04-21</x:v>
      </x:c>
      <x:c r="K82" s="8" t="str">
        <x:v>https://learn.microsoft.com/en-us/microsoft-edge/webview2/concepts/security</x:v>
      </x:c>
      <x:c r="L82" s="8" t="str">
        <x:v>The owner field was not captured in the original notes, so classification should remain conservative.</x:v>
      </x:c>
      <x:c r="M82" s="8"/>
    </x:row>
    <x:row r="83">
      <x:c r="A83" s="8" t="str">
        <x:v>cookies</x:v>
      </x:c>
      <x:c r="B83" s="8" t="str">
        <x:v>iOS</x:v>
      </x:c>
      <x:c r="C83" s="8" t="str">
        <x:v>resource blocked by policy</x:v>
      </x:c>
      <x:c r="D83" s="8" t="str">
        <x:v>open case 1074; repeat after offline toggle.</x:v>
      </x:c>
      <x:c r="E83" s="8" t="str">
        <x:v>increase timeout</x:v>
      </x:c>
      <x:c r="F83" s="8" t="str">
        <x:v>Carla</x:v>
      </x:c>
      <x:c r="G83" s="8" t="str">
        <x:v>investigating</x:v>
      </x:c>
      <x:c r="H83" s="8" t="str">
        <x:v>P3</x:v>
      </x:c>
      <x:c r="I83" s="8" t="str">
        <x:v>2026-03-01</x:v>
      </x:c>
      <x:c r="J83" s="8" t="str">
        <x:v>2026-05-22</x:v>
      </x:c>
      <x:c r="K83" s="8"/>
      <x:c r="L83" s="8" t="str">
        <x:v>Potential duplicate: this paragraph is repeated in another section to test deduplication and chunk metadata.</x:v>
      </x:c>
      <x:c r="M83" s="8"/>
    </x:row>
    <x:row r="84">
      <x:c r="A84" s="8" t="str">
        <x:v>rendering</x:v>
      </x:c>
      <x:c r="B84" s="8" t="str">
        <x:v>Windows</x:v>
      </x:c>
      <x:c r="C84" s="8" t="str">
        <x:v>blank page after reload</x:v>
      </x:c>
      <x:c r="D84" s="8"/>
      <x:c r="E84" s="8" t="str">
        <x:v>set explicit user agent</x:v>
      </x:c>
      <x:c r="F84" s="8" t="str">
        <x:v>Asha</x:v>
      </x:c>
      <x:c r="G84" s="8" t="str">
        <x:v>open</x:v>
      </x:c>
      <x:c r="H84" s="8" t="str">
        <x:v>P2</x:v>
      </x:c>
      <x:c r="I84" s="8" t="str">
        <x:v>2026-04-01</x:v>
      </x:c>
      <x:c r="J84" s="8" t="str">
        <x:v>2026-06-23</x:v>
      </x:c>
      <x:c r="K84" s="8" t="str">
        <x:v>https://learn.microsoft.com/en-us/microsoft-edge/webview2/concepts/security</x:v>
      </x:c>
      <x:c r="L84" s="8" t="str">
        <x:v>Observed in a local test run: the content rendered, but the console warning appeared twice.</x:v>
      </x:c>
      <x:c r="M84" s="8"/>
    </x:row>
    <x:row r="85">
      <x:c r="A85" s="8" t="str">
        <x:v>input</x:v>
      </x:c>
      <x:c r="B85" s="8" t="str">
        <x:v>Windows</x:v>
      </x:c>
      <x:c r="C85" s="8" t="str">
        <x:v>console event missing</x:v>
      </x:c>
      <x:c r="D85" s="8" t="str">
        <x:v>open case 1076; repeat after offline toggle.</x:v>
      </x:c>
      <x:c r="E85" s="8" t="str">
        <x:v>set explicit user agent</x:v>
      </x:c>
      <x:c r="F85" s="8" t="str">
        <x:v>Diego</x:v>
      </x:c>
      <x:c r="G85" s="8" t="str">
        <x:v>blocked</x:v>
      </x:c>
      <x:c r="H85" s="8" t="str">
        <x:v>P1</x:v>
      </x:c>
      <x:c r="I85" s="8" t="str">
        <x:v>2026-05-01</x:v>
      </x:c>
      <x:c r="J85" s="8" t="str">
        <x:v>2026-07-24</x:v>
      </x:c>
      <x:c r="K85" s="8"/>
      <x:c r="L85" s="8"/>
      <x:c r="M85" s="8"/>
    </x:row>
    <x:row r="86">
      <x:c r="A86" s="8" t="str">
        <x:v>input</x:v>
      </x:c>
      <x:c r="B86" s="8" t="str">
        <x:v>Android</x:v>
      </x:c>
      <x:c r="C86" s="8" t="str">
        <x:v>console event missing</x:v>
      </x:c>
      <x:c r="D86" s="8"/>
      <x:c r="E86" s="8" t="str">
        <x:v>set explicit user agent</x:v>
      </x:c>
      <x:c r="F86" s="8" t="str">
        <x:v>No owner</x:v>
      </x:c>
      <x:c r="G86" s="8" t="str">
        <x:v>investigating</x:v>
      </x:c>
      <x:c r="H86" s="8" t="str">
        <x:v>P3</x:v>
      </x:c>
      <x:c r="I86" s="8" t="str">
        <x:v>2026-06-01</x:v>
      </x:c>
      <x:c r="J86" s="8" t="str">
        <x:v>2026-08-25</x:v>
      </x:c>
      <x:c r="K86" s="8"/>
      <x:c r="L86" s="8"/>
      <x:c r="M86" s="8"/>
    </x:row>
    <x:row r="87">
      <x:c r="A87" s="8" t="str">
        <x:v>download</x:v>
      </x:c>
      <x:c r="B87" s="8" t="str">
        <x:v>Android</x:v>
      </x:c>
      <x:c r="C87" s="8" t="str">
        <x:v>blank page after reload</x:v>
      </x:c>
      <x:c r="D87" s="8" t="str">
        <x:v>open case 1078; repeat after reload.</x:v>
      </x:c>
      <x:c r="E87" s="8" t="str">
        <x:v>reproduce on clean profile</x:v>
      </x:c>
      <x:c r="F87" s="8" t="str">
        <x:v>No owner</x:v>
      </x:c>
      <x:c r="G87" s="8" t="str">
        <x:v>resolved</x:v>
      </x:c>
      <x:c r="H87" s="8" t="str">
        <x:v>P2</x:v>
      </x:c>
      <x:c r="I87" s="8" t="str">
        <x:v>2026-07-01</x:v>
      </x:c>
      <x:c r="J87" s="8" t="str">
        <x:v>2026-09-26</x:v>
      </x:c>
      <x:c r="K87" s="8" t="str">
        <x:v>https://developer.android.com/reference/android/webkit/WebView</x:v>
      </x:c>
      <x:c r="L87" s="8"/>
      <x:c r="M87" s="8"/>
    </x:row>
    <x:row r="88">
      <x:c r="A88" s="8" t="str">
        <x:v>cookies</x:v>
      </x:c>
      <x:c r="B88" s="8" t="str">
        <x:v>macOS</x:v>
      </x:c>
      <x:c r="C88" s="8" t="str">
        <x:v>console event missing</x:v>
      </x:c>
      <x:c r="D88" s="8" t="str">
        <x:v>open case 1079; repeat after sleep.</x:v>
      </x:c>
      <x:c r="E88" s="8" t="str">
        <x:v>none yet</x:v>
      </x:c>
      <x:c r="F88" s="8" t="str">
        <x:v>Carla</x:v>
      </x:c>
      <x:c r="G88" s="8" t="str">
        <x:v>blocked</x:v>
      </x:c>
      <x:c r="H88" s="8" t="str">
        <x:v>P1</x:v>
      </x:c>
      <x:c r="I88" s="8" t="str">
        <x:v>2026-08-01</x:v>
      </x:c>
      <x:c r="J88" s="8" t="str">
        <x:v>2026-01-27</x:v>
      </x:c>
      <x:c r="K88" s="8"/>
      <x:c r="L88" s="8" t="str">
        <x:v>Observed in a local test run: the content rendered, but the console warning appeared twice.</x:v>
      </x:c>
      <x:c r="M88" s="8"/>
    </x:row>
    <x:row r="89">
      <x:c r="A89" s="8" t="str">
        <x:v>cookies</x:v>
      </x:c>
      <x:c r="B89" s="8" t="str">
        <x:v>Windows</x:v>
      </x:c>
      <x:c r="C89" s="8" t="str">
        <x:v>resource blocked by policy</x:v>
      </x:c>
      <x:c r="D89" s="8" t="str">
        <x:v>open case 1080; repeat after sleep.</x:v>
      </x:c>
      <x:c r="E89" s="8" t="str">
        <x:v>increase timeout</x:v>
      </x:c>
      <x:c r="F89" s="8" t="str">
        <x:v>Carla</x:v>
      </x:c>
      <x:c r="G89" s="8" t="str">
        <x:v>open</x:v>
      </x:c>
      <x:c r="H89" s="8" t="str">
        <x:v>P3</x:v>
      </x:c>
      <x:c r="I89" s="8" t="str">
        <x:v>2026-09-01</x:v>
      </x:c>
      <x:c r="J89" s="8" t="str">
        <x:v>2026-02-20</x:v>
      </x:c>
      <x:c r="K89" s="8" t="str">
        <x:v>https://developer.android.com/reference/android/webkit/WebView</x:v>
      </x:c>
      <x:c r="L89" s="8"/>
      <x:c r="M89" s="8"/>
    </x:row>
    <x:row r="90">
      <x:c r="A90" s="8" t="str">
        <x:v>cookies</x:v>
      </x:c>
      <x:c r="B90" s="8" t="str">
        <x:v>iOS</x:v>
      </x:c>
      <x:c r="C90" s="8" t="str">
        <x:v>blank page after reload</x:v>
      </x:c>
      <x:c r="D90" s="8"/>
      <x:c r="E90" s="8" t="str">
        <x:v>set explicit user agent</x:v>
      </x:c>
      <x:c r="F90" s="8" t="str">
        <x:v>Ben</x:v>
      </x:c>
      <x:c r="G90" s="8" t="str">
        <x:v>open</x:v>
      </x:c>
      <x:c r="H90" s="8" t="str">
        <x:v>P2</x:v>
      </x:c>
      <x:c r="I90" s="8" t="str">
        <x:v>2026-01-01</x:v>
      </x:c>
      <x:c r="J90" s="8" t="str">
        <x:v>2026-03-21</x:v>
      </x:c>
      <x:c r="K90" s="8"/>
      <x:c r="L90" s="8" t="str">
        <x:v>Potential duplicate: this paragraph is repeated in another section to test deduplication and chunk metadata.</x:v>
      </x:c>
      <x:c r="M90" s="8"/>
    </x:row>
    <x:row r="91">
      <x:c r="A91" s="8" t="str">
        <x:v>download</x:v>
      </x:c>
      <x:c r="B91" s="8" t="str">
        <x:v>iOS</x:v>
      </x:c>
      <x:c r="C91" s="8" t="str">
        <x:v>scroll offset resets</x:v>
      </x:c>
      <x:c r="D91" s="8" t="str">
        <x:v>open case 1082; repeat after reload.</x:v>
      </x:c>
      <x:c r="E91" s="8" t="str">
        <x:v>use a bridge queue</x:v>
      </x:c>
      <x:c r="F91" s="8" t="str">
        <x:v>Asha</x:v>
      </x:c>
      <x:c r="G91" s="8" t="str">
        <x:v>needs reproduction</x:v>
      </x:c>
      <x:c r="H91" s="8" t="str">
        <x:v>P0</x:v>
      </x:c>
      <x:c r="I91" s="8" t="str">
        <x:v>2026-02-01</x:v>
      </x:c>
      <x:c r="J91" s="8" t="str">
        <x:v>2026-04-22</x:v>
      </x:c>
      <x:c r="K91" s="8"/>
      <x:c r="L91" s="8"/>
      <x:c r="M91" s="8"/>
    </x:row>
    <x:row r="92">
      <x:c r="A92" s="8" t="str">
        <x:v>input</x:v>
      </x:c>
      <x:c r="B92" s="8" t="str">
        <x:v>Linux</x:v>
      </x:c>
      <x:c r="C92" s="8" t="str">
        <x:v>blank page after reload</x:v>
      </x:c>
      <x:c r="D92" s="8" t="str">
        <x:v>open case 1083; repeat after reload.</x:v>
      </x:c>
      <x:c r="E92" s="8" t="str">
        <x:v>none yet</x:v>
      </x:c>
      <x:c r="F92" s="8" t="str">
        <x:v>Mei</x:v>
      </x:c>
      <x:c r="G92" s="8" t="str">
        <x:v>investigating</x:v>
      </x:c>
      <x:c r="H92" s="8" t="str">
        <x:v>P2</x:v>
      </x:c>
      <x:c r="I92" s="8" t="str">
        <x:v>2026-03-01</x:v>
      </x:c>
      <x:c r="J92" s="8" t="str">
        <x:v>2026-05-23</x:v>
      </x:c>
      <x:c r="K92" s="8" t="str">
        <x:v>https://github.com/react-native-webview/react-native-webview</x:v>
      </x:c>
      <x:c r="L92" s="8"/>
      <x:c r="M92" s="8"/>
    </x:row>
    <x:row r="93">
      <x:c r="A93" s="8" t="str">
        <x:v>cookies</x:v>
      </x:c>
      <x:c r="B93" s="8" t="str">
        <x:v>macOS</x:v>
      </x:c>
      <x:c r="C93" s="8" t="str">
        <x:v>focus leaves native control</x:v>
      </x:c>
      <x:c r="D93" s="8" t="str">
        <x:v>open case 1084; repeat after offline toggle.</x:v>
      </x:c>
      <x:c r="E93" s="8" t="str">
        <x:v>set explicit user agent</x:v>
      </x:c>
      <x:c r="F93" s="8" t="str">
        <x:v>Mei</x:v>
      </x:c>
      <x:c r="G93" s="8" t="str">
        <x:v>open</x:v>
      </x:c>
      <x:c r="H93" s="8" t="str">
        <x:v>P0</x:v>
      </x:c>
      <x:c r="I93" s="8" t="str">
        <x:v>2026-04-01</x:v>
      </x:c>
      <x:c r="J93" s="8" t="str">
        <x:v>2026-06-24</x:v>
      </x:c>
      <x:c r="K93" s="8"/>
      <x:c r="L93" s="8"/>
      <x:c r="M93" s="8"/>
    </x:row>
    <x:row r="94">
      <x:c r="A94" s="8" t="str">
        <x:v>download</x:v>
      </x:c>
      <x:c r="B94" s="8" t="str">
        <x:v>Linux</x:v>
      </x:c>
      <x:c r="C94" s="8" t="str">
        <x:v>console event missing</x:v>
      </x:c>
      <x:c r="D94" s="8" t="str">
        <x:v>open case 1085; repeat after offline toggle.</x:v>
      </x:c>
      <x:c r="E94" s="8" t="str">
        <x:v>none yet</x:v>
      </x:c>
      <x:c r="F94" s="8" t="str">
        <x:v>Ben</x:v>
      </x:c>
      <x:c r="G94" s="8" t="str">
        <x:v>open</x:v>
      </x:c>
      <x:c r="H94" s="8" t="str">
        <x:v>P0</x:v>
      </x:c>
      <x:c r="I94" s="8" t="str">
        <x:v>2026-05-01</x:v>
      </x:c>
      <x:c r="J94" s="8" t="str">
        <x:v>2026-07-25</x:v>
      </x:c>
      <x:c r="K94" s="8"/>
      <x:c r="L94" s="8" t="str">
        <x:v>A blank cell here is intentional. The source workbook has notes placed away from the nearest table.</x:v>
      </x:c>
      <x:c r="M94" s="8"/>
    </x:row>
    <x:row r="95">
      <x:c r="A95" s="8" t="str">
        <x:v>download</x:v>
      </x:c>
      <x:c r="B95" s="8" t="str">
        <x:v>Linux</x:v>
      </x:c>
      <x:c r="C95" s="8" t="str">
        <x:v>scroll offset resets</x:v>
      </x:c>
      <x:c r="D95" s="8" t="str">
        <x:v>open case 1086; repeat after cold start.</x:v>
      </x:c>
      <x:c r="E95" s="8" t="str">
        <x:v>none yet</x:v>
      </x:c>
      <x:c r="F95" s="8" t="str">
        <x:v>Carla</x:v>
      </x:c>
      <x:c r="G95" s="8" t="str">
        <x:v>blocked</x:v>
      </x:c>
      <x:c r="H95" s="8" t="str">
        <x:v>P0</x:v>
      </x:c>
      <x:c r="I95" s="8" t="str">
        <x:v>2026-06-01</x:v>
      </x:c>
      <x:c r="J95" s="8" t="str">
        <x:v>2026-08-26</x:v>
      </x:c>
      <x:c r="K95" s="8"/>
      <x:c r="L95" s="8"/>
      <x:c r="M95" s="8"/>
    </x:row>
    <x:row r="96">
      <x:c r="A96" s="8" t="str">
        <x:v>network</x:v>
      </x:c>
      <x:c r="B96" s="8" t="str">
        <x:v>Linux</x:v>
      </x:c>
      <x:c r="C96" s="8" t="str">
        <x:v>large response times out</x:v>
      </x:c>
      <x:c r="D96" s="8"/>
      <x:c r="E96" s="8" t="str">
        <x:v>retry after NavigationCompleted</x:v>
      </x:c>
      <x:c r="F96" s="8" t="str">
        <x:v>Diego</x:v>
      </x:c>
      <x:c r="G96" s="8" t="str">
        <x:v>resolved</x:v>
      </x:c>
      <x:c r="H96" s="8" t="str">
        <x:v>P2</x:v>
      </x:c>
      <x:c r="I96" s="8" t="str">
        <x:v>2026-07-01</x:v>
      </x:c>
      <x:c r="J96" s="8" t="str">
        <x:v>2026-09-27</x:v>
      </x:c>
      <x:c r="K96" s="8" t="str">
        <x:v>https://github.com/react-native-webview/react-native-webview</x:v>
      </x:c>
      <x:c r="L96" s="8" t="str">
        <x:v>Potential duplicate: this paragraph is repeated in another section to test deduplication and chunk metadata.</x:v>
      </x:c>
      <x:c r="M96" s="8"/>
    </x:row>
    <x:row r="97">
      <x:c r="A97" s="8" t="str">
        <x:v>cookies</x:v>
      </x:c>
      <x:c r="B97" s="8" t="str">
        <x:v>Linux</x:v>
      </x:c>
      <x:c r="C97" s="8" t="str">
        <x:v>console event missing</x:v>
      </x:c>
      <x:c r="D97" s="8"/>
      <x:c r="E97" s="8" t="str">
        <x:v>none yet</x:v>
      </x:c>
      <x:c r="F97" s="8" t="str">
        <x:v>No owner</x:v>
      </x:c>
      <x:c r="G97" s="8" t="str">
        <x:v>needs reproduction</x:v>
      </x:c>
      <x:c r="H97" s="8" t="str">
        <x:v>P3</x:v>
      </x:c>
      <x:c r="I97" s="8" t="str">
        <x:v>2026-08-01</x:v>
      </x:c>
      <x:c r="J97" s="8" t="str">
        <x:v>2026-01-20</x:v>
      </x:c>
      <x:c r="K97" s="8" t="str">
        <x:v>https://developer.apple.com/documentation/webkit/wkwebview</x:v>
      </x:c>
      <x:c r="L97" s="8" t="str">
        <x:v>Follow-up: compare the result when the network security policy is relaxed versus when it is enforced.</x:v>
      </x:c>
      <x:c r="M97" s="8"/>
    </x:row>
    <x:row r="98">
      <x:c r="A98" s="8" t="str">
        <x:v>download</x:v>
      </x:c>
      <x:c r="B98" s="8" t="str">
        <x:v>Android</x:v>
      </x:c>
      <x:c r="C98" s="8" t="str">
        <x:v>resource blocked by policy</x:v>
      </x:c>
      <x:c r="D98" s="8"/>
      <x:c r="E98" s="8" t="str">
        <x:v>set explicit user agent</x:v>
      </x:c>
      <x:c r="F98" s="8" t="str">
        <x:v>Ben</x:v>
      </x:c>
      <x:c r="G98" s="8" t="str">
        <x:v>open</x:v>
      </x:c>
      <x:c r="H98" s="8" t="str">
        <x:v>P3</x:v>
      </x:c>
      <x:c r="I98" s="8" t="str">
        <x:v>2026-09-01</x:v>
      </x:c>
      <x:c r="J98" s="8" t="str">
        <x:v>2026-02-21</x:v>
      </x:c>
      <x:c r="K98" s="8" t="str">
        <x:v>https://developer.apple.com/documentation/webkit/wkwebview</x:v>
      </x:c>
      <x:c r="L98" s="8" t="str">
        <x:v>Verify behavior on a cold start and after the page reloads without destroying the native view.</x:v>
      </x:c>
      <x:c r="M98" s="8"/>
    </x:row>
    <x:row r="99">
      <x:c r="A99" s="8" t="str">
        <x:v>network</x:v>
      </x:c>
      <x:c r="B99" s="8" t="str">
        <x:v>iOS</x:v>
      </x:c>
      <x:c r="C99" s="8" t="str">
        <x:v>focus leaves native control</x:v>
      </x:c>
      <x:c r="D99" s="8"/>
      <x:c r="E99" s="8" t="str">
        <x:v>use a bridge queue</x:v>
      </x:c>
      <x:c r="F99" s="8" t="str">
        <x:v>Ben</x:v>
      </x:c>
      <x:c r="G99" s="8" t="str">
        <x:v>blocked</x:v>
      </x:c>
      <x:c r="H99" s="8" t="str">
        <x:v>P1</x:v>
      </x:c>
      <x:c r="I99" s="8" t="str">
        <x:v>2026-01-01</x:v>
      </x:c>
      <x:c r="J99" s="8" t="str">
        <x:v>2026-03-22</x:v>
      </x:c>
      <x:c r="K99" s="8"/>
      <x:c r="L99" s="8"/>
      <x:c r="M99" s="8"/>
    </x:row>
    <x:row r="100">
      <x:c r="A100" s="8" t="str">
        <x:v>cookies</x:v>
      </x:c>
      <x:c r="B100" s="8" t="str">
        <x:v>Windows</x:v>
      </x:c>
      <x:c r="C100" s="8" t="str">
        <x:v>console event missing</x:v>
      </x:c>
      <x:c r="D100" s="8" t="str">
        <x:v>open case 1091; repeat after cold start.</x:v>
      </x:c>
      <x:c r="E100" s="8" t="str">
        <x:v>reproduce on clean profile</x:v>
      </x:c>
      <x:c r="F100" s="8" t="str">
        <x:v>Asha</x:v>
      </x:c>
      <x:c r="G100" s="8" t="str">
        <x:v>blocked</x:v>
      </x:c>
      <x:c r="H100" s="8" t="str">
        <x:v>P2</x:v>
      </x:c>
      <x:c r="I100" s="8" t="str">
        <x:v>2026-02-01</x:v>
      </x:c>
      <x:c r="J100" s="8" t="str">
        <x:v>2026-04-23</x:v>
      </x:c>
      <x:c r="K100" s="8" t="str">
        <x:v>https://developer.microsoft.com/en-us/microsoft-edge/webview2/</x:v>
      </x:c>
      <x:c r="L100" s="8"/>
      <x:c r="M100" s="8"/>
    </x:row>
    <x:row r="101">
      <x:c r="A101" s="8" t="str">
        <x:v>download</x:v>
      </x:c>
      <x:c r="B101" s="8" t="str">
        <x:v>Windows</x:v>
      </x:c>
      <x:c r="C101" s="8" t="str">
        <x:v>scroll offset resets</x:v>
      </x:c>
      <x:c r="D101" s="8"/>
      <x:c r="E101" s="8" t="str">
        <x:v>use a bridge queue</x:v>
      </x:c>
      <x:c r="F101" s="8" t="str">
        <x:v>No owner</x:v>
      </x:c>
      <x:c r="G101" s="8" t="str">
        <x:v>blocked</x:v>
      </x:c>
      <x:c r="H101" s="8" t="str">
        <x:v>P1</x:v>
      </x:c>
      <x:c r="I101" s="8" t="str">
        <x:v>2026-03-01</x:v>
      </x:c>
      <x:c r="J101" s="8" t="str">
        <x:v>2026-05-24</x:v>
      </x:c>
      <x:c r="K101" s="8" t="str">
        <x:v>https://developer.android.com/reference/android/webkit/WebView</x:v>
      </x:c>
      <x:c r="L101" s="8"/>
      <x:c r="M101" s="8"/>
    </x:row>
    <x:row r="102">
      <x:c r="A102" s="8"/>
      <x:c r="B102" s="8"/>
      <x:c r="C102" s="8"/>
      <x:c r="D102" s="8"/>
      <x:c r="E102" s="8"/>
      <x:c r="F102" s="8"/>
      <x:c r="G102" s="8"/>
      <x:c r="H102" s="8"/>
      <x:c r="I102" s="8"/>
      <x:c r="J102" s="8"/>
      <x:c r="K102" s="8"/>
      <x:c r="L102" s="8"/>
      <x:c r="M102" s="8"/>
    </x:row>
    <x:row r="103">
      <x:c r="A103" s="8" t="str">
        <x:v>download</x:v>
      </x:c>
      <x:c r="B103" s="8" t="str">
        <x:v>macOS</x:v>
      </x:c>
      <x:c r="C103" s="8" t="str">
        <x:v>focus leaves native control</x:v>
      </x:c>
      <x:c r="D103" s="8"/>
      <x:c r="E103" s="8" t="str">
        <x:v>increase timeout</x:v>
      </x:c>
      <x:c r="F103" s="8" t="str">
        <x:v>No owner</x:v>
      </x:c>
      <x:c r="G103" s="8" t="str">
        <x:v>blocked</x:v>
      </x:c>
      <x:c r="H103" s="8" t="str">
        <x:v>P1</x:v>
      </x:c>
      <x:c r="I103" s="8" t="str">
        <x:v>2026-04-01</x:v>
      </x:c>
      <x:c r="J103" s="8" t="str">
        <x:v>2026-06-25</x:v>
      </x:c>
      <x:c r="K103" s="8" t="str">
        <x:v>https://developer.microsoft.com/en-us/microsoft-edge/webview2/</x:v>
      </x:c>
      <x:c r="L103" s="8" t="str">
        <x:v>A blank cell here is intentional. The source workbook has notes placed away from the nearest table.</x:v>
      </x:c>
      <x:c r="M103" s="8"/>
    </x:row>
    <x:row r="104">
      <x:c r="A104" s="8" t="str">
        <x:v>Category</x:v>
      </x:c>
      <x:c r="B104" s="8" t="str">
        <x:v>Platform</x:v>
      </x:c>
      <x:c r="C104" s="8" t="str">
        <x:v>Symptom</x:v>
      </x:c>
      <x:c r="D104" s="8" t="str">
        <x:v>Reproduction</x:v>
      </x:c>
      <x:c r="E104" s="8" t="str">
        <x:v>Workaround</x:v>
      </x:c>
      <x:c r="F104" s="8" t="str">
        <x:v>Owner</x:v>
      </x:c>
      <x:c r="G104" s="8" t="str">
        <x:v>Status</x:v>
      </x:c>
      <x:c r="H104" s="8" t="str">
        <x:v>Severity</x:v>
      </x:c>
      <x:c r="I104" s="8" t="str">
        <x:v>First seen</x:v>
      </x:c>
      <x:c r="J104" s="8" t="str">
        <x:v>Last seen</x:v>
      </x:c>
      <x:c r="K104" s="8" t="str">
        <x:v>Reference</x:v>
      </x:c>
      <x:c r="L104" s="8" t="str">
        <x:v>Free note</x:v>
      </x:c>
      <x:c r="M104" s="8" t="str">
        <x:v>repeated header</x:v>
      </x:c>
    </x:row>
    <x:row r="105">
      <x:c r="A105" s="8" t="str">
        <x:v>download</x:v>
      </x:c>
      <x:c r="B105" s="8" t="str">
        <x:v>macOS</x:v>
      </x:c>
      <x:c r="C105" s="8" t="str">
        <x:v>focus leaves native control</x:v>
      </x:c>
      <x:c r="D105" s="8" t="str">
        <x:v>open case 1094; repeat after cold start.</x:v>
      </x:c>
      <x:c r="E105" s="8" t="str">
        <x:v>retry after NavigationCompleted</x:v>
      </x:c>
      <x:c r="F105" s="8" t="str">
        <x:v>Diego</x:v>
      </x:c>
      <x:c r="G105" s="8" t="str">
        <x:v>resolved</x:v>
      </x:c>
      <x:c r="H105" s="8" t="str">
        <x:v>P1</x:v>
      </x:c>
      <x:c r="I105" s="8" t="str">
        <x:v>2026-05-01</x:v>
      </x:c>
      <x:c r="J105" s="8" t="str">
        <x:v>2026-07-26</x:v>
      </x:c>
      <x:c r="K105" s="8" t="str">
        <x:v>https://developer.microsoft.com/en-us/microsoft-edge/webview2/</x:v>
      </x:c>
      <x:c r="L105" s="8"/>
      <x:c r="M105" s="8"/>
    </x:row>
    <x:row r="106">
      <x:c r="A106" s="8" t="str">
        <x:v>rendering</x:v>
      </x:c>
      <x:c r="B106" s="8" t="str">
        <x:v>Android</x:v>
      </x:c>
      <x:c r="C106" s="8" t="str">
        <x:v>blank page after reload</x:v>
      </x:c>
      <x:c r="D106" s="8"/>
      <x:c r="E106" s="8" t="str">
        <x:v>retry after NavigationCompleted</x:v>
      </x:c>
      <x:c r="F106" s="8" t="str">
        <x:v>Ben</x:v>
      </x:c>
      <x:c r="G106" s="8" t="str">
        <x:v>blocked</x:v>
      </x:c>
      <x:c r="H106" s="8" t="str">
        <x:v>P1</x:v>
      </x:c>
      <x:c r="I106" s="8" t="str">
        <x:v>2026-06-01</x:v>
      </x:c>
      <x:c r="J106" s="8" t="str">
        <x:v>2026-08-27</x:v>
      </x:c>
      <x:c r="K106" s="8" t="str">
        <x:v>https://developer.android.com/reference/android/webkit/WebView</x:v>
      </x:c>
      <x:c r="L106" s="8"/>
      <x:c r="M106" s="8"/>
    </x:row>
    <x:row r="107">
      <x:c r="A107" s="8" t="str">
        <x:v>network</x:v>
      </x:c>
      <x:c r="B107" s="8" t="str">
        <x:v>iOS</x:v>
      </x:c>
      <x:c r="C107" s="8" t="str">
        <x:v>large response times out</x:v>
      </x:c>
      <x:c r="D107" s="8" t="str">
        <x:v>open case 1096; repeat after cold start.</x:v>
      </x:c>
      <x:c r="E107" s="8" t="str">
        <x:v>increase timeout</x:v>
      </x:c>
      <x:c r="F107" s="8" t="str">
        <x:v>Asha</x:v>
      </x:c>
      <x:c r="G107" s="8" t="str">
        <x:v>open</x:v>
      </x:c>
      <x:c r="H107" s="8" t="str">
        <x:v>P0</x:v>
      </x:c>
      <x:c r="I107" s="8" t="str">
        <x:v>2026-07-01</x:v>
      </x:c>
      <x:c r="J107" s="8" t="str">
        <x:v>2026-09-20</x:v>
      </x:c>
      <x:c r="K107" s="8" t="str">
        <x:v>https://developer.microsoft.com/en-us/microsoft-edge/webview2/</x:v>
      </x:c>
      <x:c r="L107" s="8" t="str">
        <x:v>The owner field was not captured in the original notes, so classification should remain conservative.</x:v>
      </x:c>
      <x:c r="M107" s="8"/>
    </x:row>
    <x:row r="108">
      <x:c r="A108" s="8" t="str">
        <x:v>cookies</x:v>
      </x:c>
      <x:c r="B108" s="8" t="str">
        <x:v>Android</x:v>
      </x:c>
      <x:c r="C108" s="8" t="str">
        <x:v>console event missing</x:v>
      </x:c>
      <x:c r="D108" s="8" t="str">
        <x:v>open case 1097; repeat after offline toggle.</x:v>
      </x:c>
      <x:c r="E108" s="8" t="str">
        <x:v>increase timeout</x:v>
      </x:c>
      <x:c r="F108" s="8" t="str">
        <x:v>No owner</x:v>
      </x:c>
      <x:c r="G108" s="8" t="str">
        <x:v>resolved</x:v>
      </x:c>
      <x:c r="H108" s="8" t="str">
        <x:v>P3</x:v>
      </x:c>
      <x:c r="I108" s="8" t="str">
        <x:v>2026-08-01</x:v>
      </x:c>
      <x:c r="J108" s="8" t="str">
        <x:v>2026-01-21</x:v>
      </x:c>
      <x:c r="K108" s="8"/>
      <x:c r="L108" s="8" t="str">
        <x:v>The owner field was not captured in the original notes, so classification should remain conservative.</x:v>
      </x:c>
      <x:c r="M108" s="8"/>
    </x:row>
    <x:row r="109">
      <x:c r="A109" s="8" t="str">
        <x:v>network</x:v>
      </x:c>
      <x:c r="B109" s="8" t="str">
        <x:v>iOS</x:v>
      </x:c>
      <x:c r="C109" s="8" t="str">
        <x:v>focus leaves native control</x:v>
      </x:c>
      <x:c r="D109" s="8"/>
      <x:c r="E109" s="8" t="str">
        <x:v>increase timeout</x:v>
      </x:c>
      <x:c r="F109" s="8" t="str">
        <x:v>Mei</x:v>
      </x:c>
      <x:c r="G109" s="8" t="str">
        <x:v>resolved</x:v>
      </x:c>
      <x:c r="H109" s="8" t="str">
        <x:v>P3</x:v>
      </x:c>
      <x:c r="I109" s="8" t="str">
        <x:v>2026-09-01</x:v>
      </x:c>
      <x:c r="J109" s="8" t="str">
        <x:v>2026-02-22</x:v>
      </x:c>
      <x:c r="K109" s="8" t="str">
        <x:v>https://developer.apple.com/documentation/webkit/wkwebview</x:v>
      </x:c>
      <x:c r="L109" s="8" t="str">
        <x:v>A blank cell here is intentional. The source workbook has notes placed away from the nearest table.</x:v>
      </x:c>
      <x:c r="M109" s="8"/>
    </x:row>
    <x:row r="110">
      <x:c r="A110" s="8" t="str">
        <x:v>download</x:v>
      </x:c>
      <x:c r="B110" s="8" t="str">
        <x:v>Windows</x:v>
      </x:c>
      <x:c r="C110" s="8" t="str">
        <x:v>console event missing</x:v>
      </x:c>
      <x:c r="D110" s="8" t="str">
        <x:v>open case 1099; repeat after offline toggle.</x:v>
      </x:c>
      <x:c r="E110" s="8" t="str">
        <x:v>none yet</x:v>
      </x:c>
      <x:c r="F110" s="8" t="str">
        <x:v>Asha</x:v>
      </x:c>
      <x:c r="G110" s="8" t="str">
        <x:v>investigating</x:v>
      </x:c>
      <x:c r="H110" s="8" t="str">
        <x:v>P2</x:v>
      </x:c>
      <x:c r="I110" s="8" t="str">
        <x:v>2026-01-01</x:v>
      </x:c>
      <x:c r="J110" s="8" t="str">
        <x:v>2026-03-23</x:v>
      </x:c>
      <x:c r="K110" s="8" t="str">
        <x:v>https://github.com/react-native-webview/react-native-webview</x:v>
      </x:c>
      <x:c r="L110" s="8" t="str">
        <x:v>The bridge callback is stable for small payloads, but large JSON messages show visible delay during navigation.</x:v>
      </x:c>
      <x:c r="M110" s="8"/>
    </x:row>
    <x:row r="111">
      <x:c r="A111" s="8" t="str">
        <x:v>download</x:v>
      </x:c>
      <x:c r="B111" s="8" t="str">
        <x:v>Linux</x:v>
      </x:c>
      <x:c r="C111" s="8" t="str">
        <x:v>focus leaves native control</x:v>
      </x:c>
      <x:c r="D111" s="8"/>
      <x:c r="E111" s="8" t="str">
        <x:v>none yet</x:v>
      </x:c>
      <x:c r="F111" s="8" t="str">
        <x:v>Diego</x:v>
      </x:c>
      <x:c r="G111" s="8" t="str">
        <x:v>needs reproduction</x:v>
      </x:c>
      <x:c r="H111" s="8" t="str">
        <x:v>P3</x:v>
      </x:c>
      <x:c r="I111" s="8" t="str">
        <x:v>2026-02-01</x:v>
      </x:c>
      <x:c r="J111" s="8" t="str">
        <x:v>2026-04-24</x:v>
      </x:c>
      <x:c r="K111" s="8" t="str">
        <x:v>https://developer.microsoft.com/en-us/microsoft-edge/webview2/</x:v>
      </x:c>
      <x:c r="L111" s="8" t="str">
        <x:v>Potential duplicate: this paragraph is repeated in another section to test deduplication and chunk metadata.</x:v>
      </x:c>
      <x:c r="M111" s="8"/>
    </x:row>
    <x:row r="112">
      <x:c r="A112" s="8" t="str">
        <x:v>rendering</x:v>
      </x:c>
      <x:c r="B112" s="8" t="str">
        <x:v>macOS</x:v>
      </x:c>
      <x:c r="C112" s="8" t="str">
        <x:v>console event missing</x:v>
      </x:c>
      <x:c r="D112" s="8" t="str">
        <x:v>open case 1101; repeat after sleep.</x:v>
      </x:c>
      <x:c r="E112" s="8" t="str">
        <x:v>retry after NavigationCompleted</x:v>
      </x:c>
      <x:c r="F112" s="8" t="str">
        <x:v>Carla</x:v>
      </x:c>
      <x:c r="G112" s="8" t="str">
        <x:v>blocked</x:v>
      </x:c>
      <x:c r="H112" s="8" t="str">
        <x:v>P3</x:v>
      </x:c>
      <x:c r="I112" s="8" t="str">
        <x:v>2026-03-01</x:v>
      </x:c>
      <x:c r="J112" s="8" t="str">
        <x:v>2026-05-25</x:v>
      </x:c>
      <x:c r="K112" s="8"/>
      <x:c r="L112" s="8"/>
      <x:c r="M112" s="8"/>
    </x:row>
    <x:row r="113">
      <x:c r="A113" s="8" t="str">
        <x:v>download</x:v>
      </x:c>
      <x:c r="B113" s="8" t="str">
        <x:v>Android</x:v>
      </x:c>
      <x:c r="C113" s="8" t="str">
        <x:v>scroll offset resets</x:v>
      </x:c>
      <x:c r="D113" s="8" t="str">
        <x:v>open case 1102; repeat after sleep.</x:v>
      </x:c>
      <x:c r="E113" s="8" t="str">
        <x:v>set explicit user agent</x:v>
      </x:c>
      <x:c r="F113" s="8" t="str">
        <x:v>Carla</x:v>
      </x:c>
      <x:c r="G113" s="8" t="str">
        <x:v>investigating</x:v>
      </x:c>
      <x:c r="H113" s="8" t="str">
        <x:v>P1</x:v>
      </x:c>
      <x:c r="I113" s="8" t="str">
        <x:v>2026-04-01</x:v>
      </x:c>
      <x:c r="J113" s="8" t="str">
        <x:v>2026-06-26</x:v>
      </x:c>
      <x:c r="K113" s="8" t="str">
        <x:v>https://github.com/react-native-webview/react-native-webview</x:v>
      </x:c>
      <x:c r="L113" s="8" t="str">
        <x:v>Potential duplicate: this paragraph is repeated in another section to test deduplication and chunk metadata.</x:v>
      </x:c>
      <x:c r="M113" s="8"/>
    </x:row>
    <x:row r="114">
      <x:c r="A114" s="8" t="str">
        <x:v>input</x:v>
      </x:c>
      <x:c r="B114" s="8" t="str">
        <x:v>Linux</x:v>
      </x:c>
      <x:c r="C114" s="8" t="str">
        <x:v>focus leaves native control</x:v>
      </x:c>
      <x:c r="D114" s="8" t="str">
        <x:v>open case 1103; repeat after cold start.</x:v>
      </x:c>
      <x:c r="E114" s="8" t="str">
        <x:v>reproduce on clean profile</x:v>
      </x:c>
      <x:c r="F114" s="8" t="str">
        <x:v>Ben</x:v>
      </x:c>
      <x:c r="G114" s="8" t="str">
        <x:v>investigating</x:v>
      </x:c>
      <x:c r="H114" s="8" t="str">
        <x:v>P2</x:v>
      </x:c>
      <x:c r="I114" s="8" t="str">
        <x:v>2026-05-01</x:v>
      </x:c>
      <x:c r="J114" s="8" t="str">
        <x:v>2026-07-27</x:v>
      </x:c>
      <x:c r="K114" s="8" t="str">
        <x:v>https://learn.microsoft.com/en-us/microsoft-edge/webview2/concepts/security</x:v>
      </x:c>
      <x:c r="L114" s="8"/>
      <x:c r="M114" s="8"/>
    </x:row>
    <x:row r="115">
      <x:c r="A115" s="8" t="str">
        <x:v>network</x:v>
      </x:c>
      <x:c r="B115" s="8" t="str">
        <x:v>Android</x:v>
      </x:c>
      <x:c r="C115" s="8" t="str">
        <x:v>resource blocked by policy</x:v>
      </x:c>
      <x:c r="D115" s="8"/>
      <x:c r="E115" s="8" t="str">
        <x:v>reproduce on clean profile</x:v>
      </x:c>
      <x:c r="F115" s="8" t="str">
        <x:v>Ben</x:v>
      </x:c>
      <x:c r="G115" s="8" t="str">
        <x:v>investigating</x:v>
      </x:c>
      <x:c r="H115" s="8" t="str">
        <x:v>P2</x:v>
      </x:c>
      <x:c r="I115" s="8" t="str">
        <x:v>2026-06-01</x:v>
      </x:c>
      <x:c r="J115" s="8" t="str">
        <x:v>2026-08-20</x:v>
      </x:c>
      <x:c r="K115" s="8" t="str">
        <x:v>https://developer.apple.com/documentation/webkit/wkwebview</x:v>
      </x:c>
      <x:c r="L115" s="8"/>
      <x:c r="M115" s="8"/>
    </x:row>
    <x:row r="116">
      <x:c r="A116" s="8" t="str">
        <x:v>network</x:v>
      </x:c>
      <x:c r="B116" s="8" t="str">
        <x:v>iOS</x:v>
      </x:c>
      <x:c r="C116" s="8" t="str">
        <x:v>large response times out</x:v>
      </x:c>
      <x:c r="D116" s="8" t="str">
        <x:v>open case 1105; repeat after reload.</x:v>
      </x:c>
      <x:c r="E116" s="8" t="str">
        <x:v>set explicit user agent</x:v>
      </x:c>
      <x:c r="F116" s="8" t="str">
        <x:v>Diego</x:v>
      </x:c>
      <x:c r="G116" s="8" t="str">
        <x:v>investigating</x:v>
      </x:c>
      <x:c r="H116" s="8" t="str">
        <x:v>P1</x:v>
      </x:c>
      <x:c r="I116" s="8" t="str">
        <x:v>2026-07-01</x:v>
      </x:c>
      <x:c r="J116" s="8" t="str">
        <x:v>2026-09-21</x:v>
      </x:c>
      <x:c r="K116" s="8"/>
      <x:c r="L116" s="8" t="str">
        <x:v>Follow-up: compare the result when the network security policy is relaxed versus when it is enforced.</x:v>
      </x:c>
      <x:c r="M116" s="8"/>
    </x:row>
    <x:row r="117">
      <x:c r="A117" s="8" t="str">
        <x:v>rendering</x:v>
      </x:c>
      <x:c r="B117" s="8" t="str">
        <x:v>macOS</x:v>
      </x:c>
      <x:c r="C117" s="8" t="str">
        <x:v>console event missing</x:v>
      </x:c>
      <x:c r="D117" s="8"/>
      <x:c r="E117" s="8" t="str">
        <x:v>set explicit user agent</x:v>
      </x:c>
      <x:c r="F117" s="8" t="str">
        <x:v>No owner</x:v>
      </x:c>
      <x:c r="G117" s="8" t="str">
        <x:v>needs reproduction</x:v>
      </x:c>
      <x:c r="H117" s="8" t="str">
        <x:v>P1</x:v>
      </x:c>
      <x:c r="I117" s="8" t="str">
        <x:v>2026-08-01</x:v>
      </x:c>
      <x:c r="J117" s="8" t="str">
        <x:v>2026-01-22</x:v>
      </x:c>
      <x:c r="K117" s="8" t="str">
        <x:v>https://developer.apple.com/documentation/webkit/wkwebview</x:v>
      </x:c>
      <x:c r="L117" s="8"/>
      <x:c r="M117" s="8"/>
    </x:row>
    <x:row r="118">
      <x:c r="A118" s="8" t="str">
        <x:v>input</x:v>
      </x:c>
      <x:c r="B118" s="8" t="str">
        <x:v>Android</x:v>
      </x:c>
      <x:c r="C118" s="8" t="str">
        <x:v>blank page after reload</x:v>
      </x:c>
      <x:c r="D118" s="8"/>
      <x:c r="E118" s="8" t="str">
        <x:v>increase timeout</x:v>
      </x:c>
      <x:c r="F118" s="8" t="str">
        <x:v>No owner</x:v>
      </x:c>
      <x:c r="G118" s="8" t="str">
        <x:v>investigating</x:v>
      </x:c>
      <x:c r="H118" s="8" t="str">
        <x:v>P0</x:v>
      </x:c>
      <x:c r="I118" s="8" t="str">
        <x:v>2026-09-01</x:v>
      </x:c>
      <x:c r="J118" s="8" t="str">
        <x:v>2026-02-23</x:v>
      </x:c>
      <x:c r="K118" s="8"/>
      <x:c r="L118" s="8"/>
      <x:c r="M118" s="8"/>
    </x:row>
    <x:row r="119">
      <x:c r="A119" s="8" t="str">
        <x:v>rendering</x:v>
      </x:c>
      <x:c r="B119" s="8" t="str">
        <x:v>Windows</x:v>
      </x:c>
      <x:c r="C119" s="8" t="str">
        <x:v>console event missing</x:v>
      </x:c>
      <x:c r="D119" s="8" t="str">
        <x:v>open case 1108; repeat after cold start.</x:v>
      </x:c>
      <x:c r="E119" s="8" t="str">
        <x:v>set explicit user agent</x:v>
      </x:c>
      <x:c r="F119" s="8" t="str">
        <x:v>Ben</x:v>
      </x:c>
      <x:c r="G119" s="8" t="str">
        <x:v>needs reproduction</x:v>
      </x:c>
      <x:c r="H119" s="8" t="str">
        <x:v>P3</x:v>
      </x:c>
      <x:c r="I119" s="8" t="str">
        <x:v>2026-01-01</x:v>
      </x:c>
      <x:c r="J119" s="8" t="str">
        <x:v>2026-03-24</x:v>
      </x:c>
      <x:c r="K119" s="8"/>
      <x:c r="L119" s="8"/>
      <x:c r="M119" s="8"/>
    </x:row>
    <x:row r="120">
      <x:c r="A120" s="8" t="str">
        <x:v>network</x:v>
      </x:c>
      <x:c r="B120" s="8" t="str">
        <x:v>Android</x:v>
      </x:c>
      <x:c r="C120" s="8" t="str">
        <x:v>console event missing</x:v>
      </x:c>
      <x:c r="D120" s="8" t="str">
        <x:v>open case 1109; repeat after offline toggle.</x:v>
      </x:c>
      <x:c r="E120" s="8" t="str">
        <x:v>reproduce on clean profile</x:v>
      </x:c>
      <x:c r="F120" s="8" t="str">
        <x:v>Diego</x:v>
      </x:c>
      <x:c r="G120" s="8" t="str">
        <x:v>resolved</x:v>
      </x:c>
      <x:c r="H120" s="8" t="str">
        <x:v>P0</x:v>
      </x:c>
      <x:c r="I120" s="8" t="str">
        <x:v>2026-02-01</x:v>
      </x:c>
      <x:c r="J120" s="8" t="str">
        <x:v>2026-04-25</x:v>
      </x:c>
      <x:c r="K120" s="8"/>
      <x:c r="L120" s="8" t="str">
        <x:v>A blank cell here is intentional. The source workbook has notes placed away from the nearest table.</x:v>
      </x:c>
      <x:c r="M120" s="8"/>
    </x:row>
    <x:row r="121">
      <x:c r="A121" s="8" t="str">
        <x:v>input</x:v>
      </x:c>
      <x:c r="B121" s="8" t="str">
        <x:v>iOS</x:v>
      </x:c>
      <x:c r="C121" s="8" t="str">
        <x:v>scroll offset resets</x:v>
      </x:c>
      <x:c r="D121" s="8" t="str">
        <x:v>open case 1110; repeat after sleep.</x:v>
      </x:c>
      <x:c r="E121" s="8" t="str">
        <x:v>none yet</x:v>
      </x:c>
      <x:c r="F121" s="8" t="str">
        <x:v>Mei</x:v>
      </x:c>
      <x:c r="G121" s="8" t="str">
        <x:v>resolved</x:v>
      </x:c>
      <x:c r="H121" s="8" t="str">
        <x:v>P3</x:v>
      </x:c>
      <x:c r="I121" s="8" t="str">
        <x:v>2026-03-01</x:v>
      </x:c>
      <x:c r="J121" s="8" t="str">
        <x:v>2026-05-26</x:v>
      </x:c>
      <x:c r="K121" s="8"/>
      <x:c r="L121" s="8"/>
      <x:c r="M121" s="8"/>
    </x:row>
    <x:row r="122">
      <x:c r="A122" s="8" t="str">
        <x:v>cookies</x:v>
      </x:c>
      <x:c r="B122" s="8" t="str">
        <x:v>Android</x:v>
      </x:c>
      <x:c r="C122" s="8" t="str">
        <x:v>large response times out</x:v>
      </x:c>
      <x:c r="D122" s="8" t="str">
        <x:v>open case 1111; repeat after reload.</x:v>
      </x:c>
      <x:c r="E122" s="8" t="str">
        <x:v>reproduce on clean profile</x:v>
      </x:c>
      <x:c r="F122" s="8" t="str">
        <x:v>Carla</x:v>
      </x:c>
      <x:c r="G122" s="8" t="str">
        <x:v>resolved</x:v>
      </x:c>
      <x:c r="H122" s="8" t="str">
        <x:v>P2</x:v>
      </x:c>
      <x:c r="I122" s="8" t="str">
        <x:v>2026-04-01</x:v>
      </x:c>
      <x:c r="J122" s="8" t="str">
        <x:v>2026-06-27</x:v>
      </x:c>
      <x:c r="K122" s="8" t="str">
        <x:v>https://developer.android.com/reference/android/webkit/WebView</x:v>
      </x:c>
      <x:c r="L122" s="8"/>
      <x:c r="M122" s="8"/>
    </x:row>
    <x:row r="123">
      <x:c r="A123" s="8" t="str">
        <x:v>rendering</x:v>
      </x:c>
      <x:c r="B123" s="8" t="str">
        <x:v>macOS</x:v>
      </x:c>
      <x:c r="C123" s="8" t="str">
        <x:v>scroll offset resets</x:v>
      </x:c>
      <x:c r="D123" s="8" t="str">
        <x:v>open case 1112; repeat after offline toggle.</x:v>
      </x:c>
      <x:c r="E123" s="8" t="str">
        <x:v>use a bridge queue</x:v>
      </x:c>
      <x:c r="F123" s="8" t="str">
        <x:v>No owner</x:v>
      </x:c>
      <x:c r="G123" s="8" t="str">
        <x:v>investigating</x:v>
      </x:c>
      <x:c r="H123" s="8" t="str">
        <x:v>P0</x:v>
      </x:c>
      <x:c r="I123" s="8" t="str">
        <x:v>2026-05-01</x:v>
      </x:c>
      <x:c r="J123" s="8" t="str">
        <x:v>2026-07-20</x:v>
      </x:c>
      <x:c r="K123" s="8" t="str">
        <x:v>https://learn.microsoft.com/en-us/microsoft-edge/webview2/concepts/security</x:v>
      </x:c>
      <x:c r="L123" s="8"/>
      <x:c r="M123" s="8"/>
    </x:row>
    <x:row r="124">
      <x:c r="A124" s="8" t="str">
        <x:v>cookies</x:v>
      </x:c>
      <x:c r="B124" s="8" t="str">
        <x:v>Windows</x:v>
      </x:c>
      <x:c r="C124" s="8" t="str">
        <x:v>large response times out</x:v>
      </x:c>
      <x:c r="D124" s="8"/>
      <x:c r="E124" s="8" t="str">
        <x:v>none yet</x:v>
      </x:c>
      <x:c r="F124" s="8" t="str">
        <x:v>Mei</x:v>
      </x:c>
      <x:c r="G124" s="8" t="str">
        <x:v>needs reproduction</x:v>
      </x:c>
      <x:c r="H124" s="8" t="str">
        <x:v>P3</x:v>
      </x:c>
      <x:c r="I124" s="8" t="str">
        <x:v>2026-06-01</x:v>
      </x:c>
      <x:c r="J124" s="8" t="str">
        <x:v>2026-08-21</x:v>
      </x:c>
      <x:c r="K124" s="8"/>
      <x:c r="L124" s="8" t="str">
        <x:v>Potential duplicate: this paragraph is repeated in another section to test deduplication and chunk metadata.</x:v>
      </x:c>
      <x:c r="M124" s="8"/>
    </x:row>
    <x:row r="125">
      <x:c r="A125" s="8" t="str">
        <x:v>network</x:v>
      </x:c>
      <x:c r="B125" s="8" t="str">
        <x:v>Linux</x:v>
      </x:c>
      <x:c r="C125" s="8" t="str">
        <x:v>scroll offset resets</x:v>
      </x:c>
      <x:c r="D125" s="8" t="str">
        <x:v>open case 1114; repeat after sleep.</x:v>
      </x:c>
      <x:c r="E125" s="8" t="str">
        <x:v>reproduce on clean profile</x:v>
      </x:c>
      <x:c r="F125" s="8" t="str">
        <x:v>Diego</x:v>
      </x:c>
      <x:c r="G125" s="8" t="str">
        <x:v>blocked</x:v>
      </x:c>
      <x:c r="H125" s="8" t="str">
        <x:v>P2</x:v>
      </x:c>
      <x:c r="I125" s="8" t="str">
        <x:v>2026-07-01</x:v>
      </x:c>
      <x:c r="J125" s="8" t="str">
        <x:v>2026-09-22</x:v>
      </x:c>
      <x:c r="K125" s="8"/>
      <x:c r="L125" s="8"/>
      <x:c r="M125" s="8"/>
    </x:row>
    <x:row r="126">
      <x:c r="A126" s="8" t="str">
        <x:v>cookies</x:v>
      </x:c>
      <x:c r="B126" s="8" t="str">
        <x:v>Windows</x:v>
      </x:c>
      <x:c r="C126" s="8" t="str">
        <x:v>scroll offset resets</x:v>
      </x:c>
      <x:c r="D126" s="8"/>
      <x:c r="E126" s="8" t="str">
        <x:v>none yet</x:v>
      </x:c>
      <x:c r="F126" s="8" t="str">
        <x:v>No owner</x:v>
      </x:c>
      <x:c r="G126" s="8" t="str">
        <x:v>resolved</x:v>
      </x:c>
      <x:c r="H126" s="8" t="str">
        <x:v>P0</x:v>
      </x:c>
      <x:c r="I126" s="8" t="str">
        <x:v>2026-08-01</x:v>
      </x:c>
      <x:c r="J126" s="8" t="str">
        <x:v>2026-01-23</x:v>
      </x:c>
      <x:c r="K126" s="8" t="str">
        <x:v>https://developer.apple.com/documentation/webkit/wkwebview</x:v>
      </x:c>
      <x:c r="L126" s="8" t="str">
        <x:v>The bridge callback is stable for small payloads, but large JSON messages show visible delay during navigation.</x:v>
      </x:c>
      <x:c r="M126" s="8"/>
    </x:row>
    <x:row r="127">
      <x:c r="A127" s="8" t="str">
        <x:v>input</x:v>
      </x:c>
      <x:c r="B127" s="8" t="str">
        <x:v>Linux</x:v>
      </x:c>
      <x:c r="C127" s="8" t="str">
        <x:v>resource blocked by policy</x:v>
      </x:c>
      <x:c r="D127" s="8" t="str">
        <x:v>open case 1116; repeat after reload.</x:v>
      </x:c>
      <x:c r="E127" s="8" t="str">
        <x:v>retry after NavigationCompleted</x:v>
      </x:c>
      <x:c r="F127" s="8" t="str">
        <x:v>Diego</x:v>
      </x:c>
      <x:c r="G127" s="8" t="str">
        <x:v>resolved</x:v>
      </x:c>
      <x:c r="H127" s="8" t="str">
        <x:v>P2</x:v>
      </x:c>
      <x:c r="I127" s="8" t="str">
        <x:v>2026-09-01</x:v>
      </x:c>
      <x:c r="J127" s="8" t="str">
        <x:v>2026-02-24</x:v>
      </x:c>
      <x:c r="K127" s="8"/>
      <x:c r="L127" s="8"/>
      <x:c r="M127" s="8"/>
    </x:row>
    <x:row r="128">
      <x:c r="A128" s="8" t="str">
        <x:v>input</x:v>
      </x:c>
      <x:c r="B128" s="8" t="str">
        <x:v>Android</x:v>
      </x:c>
      <x:c r="C128" s="8" t="str">
        <x:v>large response times out</x:v>
      </x:c>
      <x:c r="D128" s="8"/>
      <x:c r="E128" s="8" t="str">
        <x:v>set explicit user agent</x:v>
      </x:c>
      <x:c r="F128" s="8" t="str">
        <x:v>No owner</x:v>
      </x:c>
      <x:c r="G128" s="8" t="str">
        <x:v>blocked</x:v>
      </x:c>
      <x:c r="H128" s="8" t="str">
        <x:v>P3</x:v>
      </x:c>
      <x:c r="I128" s="8" t="str">
        <x:v>2026-01-01</x:v>
      </x:c>
      <x:c r="J128" s="8" t="str">
        <x:v>2026-03-25</x:v>
      </x:c>
      <x:c r="K128" s="8"/>
      <x:c r="L128" s="8"/>
      <x:c r="M128" s="8"/>
    </x:row>
    <x:row r="129">
      <x:c r="A129" s="8" t="str">
        <x:v>download</x:v>
      </x:c>
      <x:c r="B129" s="8" t="str">
        <x:v>macOS</x:v>
      </x:c>
      <x:c r="C129" s="8" t="str">
        <x:v>console event missing</x:v>
      </x:c>
      <x:c r="D129" s="8" t="str">
        <x:v>open case 1118; repeat after cold start.</x:v>
      </x:c>
      <x:c r="E129" s="8" t="str">
        <x:v>use a bridge queue</x:v>
      </x:c>
      <x:c r="F129" s="8" t="str">
        <x:v>Carla</x:v>
      </x:c>
      <x:c r="G129" s="8" t="str">
        <x:v>needs reproduction</x:v>
      </x:c>
      <x:c r="H129" s="8" t="str">
        <x:v>P2</x:v>
      </x:c>
      <x:c r="I129" s="8" t="str">
        <x:v>2026-02-01</x:v>
      </x:c>
      <x:c r="J129" s="8" t="str">
        <x:v>2026-04-26</x:v>
      </x:c>
      <x:c r="K129" s="8"/>
      <x:c r="L129" s="8"/>
      <x:c r="M129" s="8"/>
    </x:row>
    <x:row r="130">
      <x:c r="A130" s="8" t="str">
        <x:v>network</x:v>
      </x:c>
      <x:c r="B130" s="8" t="str">
        <x:v>iOS</x:v>
      </x:c>
      <x:c r="C130" s="8" t="str">
        <x:v>focus leaves native control</x:v>
      </x:c>
      <x:c r="D130" s="8" t="str">
        <x:v>open case 1119; repeat after reload.</x:v>
      </x:c>
      <x:c r="E130" s="8" t="str">
        <x:v>increase timeout</x:v>
      </x:c>
      <x:c r="F130" s="8" t="str">
        <x:v>Mei</x:v>
      </x:c>
      <x:c r="G130" s="8" t="str">
        <x:v>open</x:v>
      </x:c>
      <x:c r="H130" s="8" t="str">
        <x:v>P3</x:v>
      </x:c>
      <x:c r="I130" s="8" t="str">
        <x:v>2026-03-01</x:v>
      </x:c>
      <x:c r="J130" s="8" t="str">
        <x:v>2026-05-27</x:v>
      </x:c>
      <x:c r="K130" s="8" t="str">
        <x:v>https://developer.android.com/reference/android/webkit/WebView</x:v>
      </x:c>
      <x:c r="L130" s="8" t="str">
        <x:v>Follow-up: compare the result when the network security policy is relaxed versus when it is enforced.</x:v>
      </x:c>
      <x:c r="M130" s="8"/>
    </x:row>
    <x:row r="131">
      <x:c r="A131" s="8" t="str">
        <x:v>download</x:v>
      </x:c>
      <x:c r="B131" s="8" t="str">
        <x:v>Android</x:v>
      </x:c>
      <x:c r="C131" s="8" t="str">
        <x:v>large response times out</x:v>
      </x:c>
      <x:c r="D131" s="8" t="str">
        <x:v>open case 1120; repeat after offline toggle.</x:v>
      </x:c>
      <x:c r="E131" s="8" t="str">
        <x:v>none yet</x:v>
      </x:c>
      <x:c r="F131" s="8" t="str">
        <x:v>Ben</x:v>
      </x:c>
      <x:c r="G131" s="8" t="str">
        <x:v>blocked</x:v>
      </x:c>
      <x:c r="H131" s="8" t="str">
        <x:v>P2</x:v>
      </x:c>
      <x:c r="I131" s="8" t="str">
        <x:v>2026-04-01</x:v>
      </x:c>
      <x:c r="J131" s="8" t="str">
        <x:v>2026-06-20</x:v>
      </x:c>
      <x:c r="K131" s="8"/>
      <x:c r="L131" s="8"/>
      <x:c r="M131" s="8"/>
    </x:row>
    <x:row r="132">
      <x:c r="A132" s="8" t="str">
        <x:v>rendering</x:v>
      </x:c>
      <x:c r="B132" s="8" t="str">
        <x:v>iOS</x:v>
      </x:c>
      <x:c r="C132" s="8" t="str">
        <x:v>large response times out</x:v>
      </x:c>
      <x:c r="D132" s="8"/>
      <x:c r="E132" s="8" t="str">
        <x:v>set explicit user agent</x:v>
      </x:c>
      <x:c r="F132" s="8" t="str">
        <x:v>No owner</x:v>
      </x:c>
      <x:c r="G132" s="8" t="str">
        <x:v>resolved</x:v>
      </x:c>
      <x:c r="H132" s="8" t="str">
        <x:v>P3</x:v>
      </x:c>
      <x:c r="I132" s="8" t="str">
        <x:v>2026-05-01</x:v>
      </x:c>
      <x:c r="J132" s="8" t="str">
        <x:v>2026-07-21</x:v>
      </x:c>
      <x:c r="K132" s="8"/>
      <x:c r="L132" s="8"/>
      <x:c r="M132" s="8"/>
    </x:row>
    <x:row r="133">
      <x:c r="A133" s="8" t="str">
        <x:v>rendering</x:v>
      </x:c>
      <x:c r="B133" s="8" t="str">
        <x:v>iOS</x:v>
      </x:c>
      <x:c r="C133" s="8" t="str">
        <x:v>focus leaves native control</x:v>
      </x:c>
      <x:c r="D133" s="8"/>
      <x:c r="E133" s="8" t="str">
        <x:v>set explicit user agent</x:v>
      </x:c>
      <x:c r="F133" s="8" t="str">
        <x:v>Mei</x:v>
      </x:c>
      <x:c r="G133" s="8" t="str">
        <x:v>open</x:v>
      </x:c>
      <x:c r="H133" s="8" t="str">
        <x:v>P3</x:v>
      </x:c>
      <x:c r="I133" s="8" t="str">
        <x:v>2026-06-01</x:v>
      </x:c>
      <x:c r="J133" s="8" t="str">
        <x:v>2026-08-22</x:v>
      </x:c>
      <x:c r="K133" s="8" t="str">
        <x:v>https://learn.microsoft.com/en-us/microsoft-edge/webview2/concepts/security</x:v>
      </x:c>
      <x:c r="L133" s="8"/>
      <x:c r="M133" s="8"/>
    </x:row>
    <x:row r="134">
      <x:c r="A134" s="8" t="str">
        <x:v>network</x:v>
      </x:c>
      <x:c r="B134" s="8" t="str">
        <x:v>Windows</x:v>
      </x:c>
      <x:c r="C134" s="8" t="str">
        <x:v>blank page after reload</x:v>
      </x:c>
      <x:c r="D134" s="8" t="str">
        <x:v>open case 1123; repeat after cold start.</x:v>
      </x:c>
      <x:c r="E134" s="8" t="str">
        <x:v>increase timeout</x:v>
      </x:c>
      <x:c r="F134" s="8" t="str">
        <x:v>Mei</x:v>
      </x:c>
      <x:c r="G134" s="8" t="str">
        <x:v>investigating</x:v>
      </x:c>
      <x:c r="H134" s="8" t="str">
        <x:v>P0</x:v>
      </x:c>
      <x:c r="I134" s="8" t="str">
        <x:v>2026-07-01</x:v>
      </x:c>
      <x:c r="J134" s="8" t="str">
        <x:v>2026-09-23</x:v>
      </x:c>
      <x:c r="K134" s="8" t="str">
        <x:v>https://learn.microsoft.com/en-us/microsoft-edge/webview2/concepts/security</x:v>
      </x:c>
      <x:c r="L134" s="8"/>
      <x:c r="M134" s="8"/>
    </x:row>
    <x:row r="135">
      <x:c r="A135" s="8"/>
      <x:c r="B135" s="8"/>
      <x:c r="C135" s="8"/>
      <x:c r="D135" s="8"/>
      <x:c r="E135" s="8"/>
      <x:c r="F135" s="8"/>
      <x:c r="G135" s="8"/>
      <x:c r="H135" s="8"/>
      <x:c r="I135" s="8"/>
      <x:c r="J135" s="8"/>
      <x:c r="K135" s="8"/>
      <x:c r="L135" s="8"/>
      <x:c r="M135" s="8"/>
    </x:row>
    <x:row r="136">
      <x:c r="A136" s="8" t="str">
        <x:v>cookies</x:v>
      </x:c>
      <x:c r="B136" s="8" t="str">
        <x:v>Windows</x:v>
      </x:c>
      <x:c r="C136" s="8" t="str">
        <x:v>resource blocked by policy</x:v>
      </x:c>
      <x:c r="D136" s="8"/>
      <x:c r="E136" s="8" t="str">
        <x:v>none yet</x:v>
      </x:c>
      <x:c r="F136" s="8" t="str">
        <x:v>Ben</x:v>
      </x:c>
      <x:c r="G136" s="8" t="str">
        <x:v>investigating</x:v>
      </x:c>
      <x:c r="H136" s="8" t="str">
        <x:v>P2</x:v>
      </x:c>
      <x:c r="I136" s="8" t="str">
        <x:v>2026-08-01</x:v>
      </x:c>
      <x:c r="J136" s="8" t="str">
        <x:v>2026-01-24</x:v>
      </x:c>
      <x:c r="K136" s="8"/>
      <x:c r="L136" s="8"/>
      <x:c r="M136" s="8"/>
    </x:row>
    <x:row r="137">
      <x:c r="A137" s="8" t="str">
        <x:v>input</x:v>
      </x:c>
      <x:c r="B137" s="8" t="str">
        <x:v>Linux</x:v>
      </x:c>
      <x:c r="C137" s="8" t="str">
        <x:v>focus leaves native control</x:v>
      </x:c>
      <x:c r="D137" s="8" t="str">
        <x:v>open case 1125; repeat after sleep.</x:v>
      </x:c>
      <x:c r="E137" s="8" t="str">
        <x:v>use a bridge queue</x:v>
      </x:c>
      <x:c r="F137" s="8" t="str">
        <x:v>Carla</x:v>
      </x:c>
      <x:c r="G137" s="8" t="str">
        <x:v>investigating</x:v>
      </x:c>
      <x:c r="H137" s="8" t="str">
        <x:v>P2</x:v>
      </x:c>
      <x:c r="I137" s="8" t="str">
        <x:v>2026-09-01</x:v>
      </x:c>
      <x:c r="J137" s="8" t="str">
        <x:v>2026-02-25</x:v>
      </x:c>
      <x:c r="K137" s="8"/>
      <x:c r="L137" s="8" t="str">
        <x:v>The bridge callback is stable for small payloads, but large JSON messages show visible delay during navigation.</x:v>
      </x:c>
      <x:c r="M137" s="8"/>
    </x:row>
    <x:row r="138">
      <x:c r="A138" s="8" t="str">
        <x:v>download</x:v>
      </x:c>
      <x:c r="B138" s="8" t="str">
        <x:v>Windows</x:v>
      </x:c>
      <x:c r="C138" s="8" t="str">
        <x:v>scroll offset resets</x:v>
      </x:c>
      <x:c r="D138" s="8" t="str">
        <x:v>open case 1126; repeat after offline toggle.</x:v>
      </x:c>
      <x:c r="E138" s="8" t="str">
        <x:v>set explicit user agent</x:v>
      </x:c>
      <x:c r="F138" s="8" t="str">
        <x:v>No owner</x:v>
      </x:c>
      <x:c r="G138" s="8" t="str">
        <x:v>investigating</x:v>
      </x:c>
      <x:c r="H138" s="8" t="str">
        <x:v>P3</x:v>
      </x:c>
      <x:c r="I138" s="8" t="str">
        <x:v>2026-01-01</x:v>
      </x:c>
      <x:c r="J138" s="8" t="str">
        <x:v>2026-03-26</x:v>
      </x:c>
      <x:c r="K138" s="8"/>
      <x:c r="L138" s="8"/>
      <x:c r="M138" s="8"/>
    </x:row>
    <x:row r="139">
      <x:c r="A139" s="8" t="str">
        <x:v>download</x:v>
      </x:c>
      <x:c r="B139" s="8" t="str">
        <x:v>macOS</x:v>
      </x:c>
      <x:c r="C139" s="8" t="str">
        <x:v>blank page after reload</x:v>
      </x:c>
      <x:c r="D139" s="8" t="str">
        <x:v>open case 1127; repeat after reload.</x:v>
      </x:c>
      <x:c r="E139" s="8" t="str">
        <x:v>use a bridge queue</x:v>
      </x:c>
      <x:c r="F139" s="8" t="str">
        <x:v>Mei</x:v>
      </x:c>
      <x:c r="G139" s="8" t="str">
        <x:v>needs reproduction</x:v>
      </x:c>
      <x:c r="H139" s="8" t="str">
        <x:v>P3</x:v>
      </x:c>
      <x:c r="I139" s="8" t="str">
        <x:v>2026-02-01</x:v>
      </x:c>
      <x:c r="J139" s="8" t="str">
        <x:v>2026-04-27</x:v>
      </x:c>
      <x:c r="K139" s="8" t="str">
        <x:v>https://learn.microsoft.com/en-us/microsoft-edge/webview2/concepts/security</x:v>
      </x:c>
      <x:c r="L139" s="8"/>
      <x:c r="M139" s="8"/>
    </x:row>
    <x:row r="140">
      <x:c r="A140" s="8" t="str">
        <x:v>cookies</x:v>
      </x:c>
      <x:c r="B140" s="8" t="str">
        <x:v>Windows</x:v>
      </x:c>
      <x:c r="C140" s="8" t="str">
        <x:v>resource blocked by policy</x:v>
      </x:c>
      <x:c r="D140" s="8"/>
      <x:c r="E140" s="8" t="str">
        <x:v>set explicit user agent</x:v>
      </x:c>
      <x:c r="F140" s="8" t="str">
        <x:v>Mei</x:v>
      </x:c>
      <x:c r="G140" s="8" t="str">
        <x:v>resolved</x:v>
      </x:c>
      <x:c r="H140" s="8" t="str">
        <x:v>P2</x:v>
      </x:c>
      <x:c r="I140" s="8" t="str">
        <x:v>2026-03-01</x:v>
      </x:c>
      <x:c r="J140" s="8" t="str">
        <x:v>2026-05-20</x:v>
      </x:c>
      <x:c r="K140" s="8" t="str">
        <x:v>https://developer.apple.com/documentation/webkit/wkwebview</x:v>
      </x:c>
      <x:c r="L140" s="8"/>
      <x:c r="M140" s="8"/>
    </x:row>
    <x:row r="141">
      <x:c r="A141" s="8" t="str">
        <x:v>input</x:v>
      </x:c>
      <x:c r="B141" s="8" t="str">
        <x:v>macOS</x:v>
      </x:c>
      <x:c r="C141" s="8" t="str">
        <x:v>resource blocked by policy</x:v>
      </x:c>
      <x:c r="D141" s="8" t="str">
        <x:v>open case 1129; repeat after reload.</x:v>
      </x:c>
      <x:c r="E141" s="8" t="str">
        <x:v>none yet</x:v>
      </x:c>
      <x:c r="F141" s="8" t="str">
        <x:v>Diego</x:v>
      </x:c>
      <x:c r="G141" s="8" t="str">
        <x:v>investigating</x:v>
      </x:c>
      <x:c r="H141" s="8" t="str">
        <x:v>P3</x:v>
      </x:c>
      <x:c r="I141" s="8" t="str">
        <x:v>2026-04-01</x:v>
      </x:c>
      <x:c r="J141" s="8" t="str">
        <x:v>2026-06-21</x:v>
      </x:c>
      <x:c r="K141" s="8"/>
      <x:c r="L141" s="8"/>
      <x:c r="M141" s="8"/>
    </x:row>
    <x:row r="142">
      <x:c r="A142" s="8" t="str">
        <x:v>rendering</x:v>
      </x:c>
      <x:c r="B142" s="8" t="str">
        <x:v>iOS</x:v>
      </x:c>
      <x:c r="C142" s="8" t="str">
        <x:v>resource blocked by policy</x:v>
      </x:c>
      <x:c r="D142" s="8" t="str">
        <x:v>open case 1130; repeat after sleep.</x:v>
      </x:c>
      <x:c r="E142" s="8" t="str">
        <x:v>retry after NavigationCompleted</x:v>
      </x:c>
      <x:c r="F142" s="8" t="str">
        <x:v>Mei</x:v>
      </x:c>
      <x:c r="G142" s="8" t="str">
        <x:v>resolved</x:v>
      </x:c>
      <x:c r="H142" s="8" t="str">
        <x:v>P3</x:v>
      </x:c>
      <x:c r="I142" s="8" t="str">
        <x:v>2026-05-01</x:v>
      </x:c>
      <x:c r="J142" s="8" t="str">
        <x:v>2026-07-22</x:v>
      </x:c>
      <x:c r="K142" s="8"/>
      <x:c r="L142" s="8"/>
      <x:c r="M142" s="8"/>
    </x:row>
    <x:row r="143">
      <x:c r="A143" s="8" t="str">
        <x:v>cookies</x:v>
      </x:c>
      <x:c r="B143" s="8" t="str">
        <x:v>Linux</x:v>
      </x:c>
      <x:c r="C143" s="8" t="str">
        <x:v>scroll offset resets</x:v>
      </x:c>
      <x:c r="D143" s="8" t="str">
        <x:v>open case 1131; repeat after sleep.</x:v>
      </x:c>
      <x:c r="E143" s="8" t="str">
        <x:v>set explicit user agent</x:v>
      </x:c>
      <x:c r="F143" s="8" t="str">
        <x:v>Mei</x:v>
      </x:c>
      <x:c r="G143" s="8" t="str">
        <x:v>open</x:v>
      </x:c>
      <x:c r="H143" s="8" t="str">
        <x:v>P1</x:v>
      </x:c>
      <x:c r="I143" s="8" t="str">
        <x:v>2026-06-01</x:v>
      </x:c>
      <x:c r="J143" s="8" t="str">
        <x:v>2026-08-23</x:v>
      </x:c>
      <x:c r="K143" s="8" t="str">
        <x:v>https://developer.apple.com/documentation/webkit/wkwebview</x:v>
      </x:c>
      <x:c r="L143" s="8"/>
      <x:c r="M143" s="8"/>
    </x:row>
    <x:row r="144">
      <x:c r="A144" s="8" t="str">
        <x:v>input</x:v>
      </x:c>
      <x:c r="B144" s="8" t="str">
        <x:v>iOS</x:v>
      </x:c>
      <x:c r="C144" s="8" t="str">
        <x:v>resource blocked by policy</x:v>
      </x:c>
      <x:c r="D144" s="8" t="str">
        <x:v>open case 1132; repeat after cold start.</x:v>
      </x:c>
      <x:c r="E144" s="8" t="str">
        <x:v>reproduce on clean profile</x:v>
      </x:c>
      <x:c r="F144" s="8" t="str">
        <x:v>Diego</x:v>
      </x:c>
      <x:c r="G144" s="8" t="str">
        <x:v>resolved</x:v>
      </x:c>
      <x:c r="H144" s="8" t="str">
        <x:v>P2</x:v>
      </x:c>
      <x:c r="I144" s="8" t="str">
        <x:v>2026-07-01</x:v>
      </x:c>
      <x:c r="J144" s="8" t="str">
        <x:v>2026-09-24</x:v>
      </x:c>
      <x:c r="K144" s="8"/>
      <x:c r="L144" s="8"/>
      <x:c r="M144" s="8"/>
    </x:row>
    <x:row r="145">
      <x:c r="A145" s="8" t="str">
        <x:v>rendering</x:v>
      </x:c>
      <x:c r="B145" s="8" t="str">
        <x:v>Windows</x:v>
      </x:c>
      <x:c r="C145" s="8" t="str">
        <x:v>console event missing</x:v>
      </x:c>
      <x:c r="D145" s="8" t="str">
        <x:v>open case 1133; repeat after sleep.</x:v>
      </x:c>
      <x:c r="E145" s="8" t="str">
        <x:v>increase timeout</x:v>
      </x:c>
      <x:c r="F145" s="8" t="str">
        <x:v>Mei</x:v>
      </x:c>
      <x:c r="G145" s="8" t="str">
        <x:v>investigating</x:v>
      </x:c>
      <x:c r="H145" s="8" t="str">
        <x:v>P1</x:v>
      </x:c>
      <x:c r="I145" s="8" t="str">
        <x:v>2026-08-01</x:v>
      </x:c>
      <x:c r="J145" s="8" t="str">
        <x:v>2026-01-25</x:v>
      </x:c>
      <x:c r="K145" s="8"/>
      <x:c r="L145" s="8" t="str">
        <x:v>The bridge callback is stable for small payloads, but large JSON messages show visible delay during navigation.</x:v>
      </x:c>
      <x:c r="M145" s="8"/>
    </x:row>
    <x:row r="146">
      <x:c r="A146" s="8" t="str">
        <x:v>network</x:v>
      </x:c>
      <x:c r="B146" s="8" t="str">
        <x:v>macOS</x:v>
      </x:c>
      <x:c r="C146" s="8" t="str">
        <x:v>resource blocked by policy</x:v>
      </x:c>
      <x:c r="D146" s="8" t="str">
        <x:v>open case 1134; repeat after offline toggle.</x:v>
      </x:c>
      <x:c r="E146" s="8" t="str">
        <x:v>increase timeout</x:v>
      </x:c>
      <x:c r="F146" s="8" t="str">
        <x:v>Mei</x:v>
      </x:c>
      <x:c r="G146" s="8" t="str">
        <x:v>investigating</x:v>
      </x:c>
      <x:c r="H146" s="8" t="str">
        <x:v>P2</x:v>
      </x:c>
      <x:c r="I146" s="8" t="str">
        <x:v>2026-09-01</x:v>
      </x:c>
      <x:c r="J146" s="8" t="str">
        <x:v>2026-02-26</x:v>
      </x:c>
      <x:c r="K146" s="8" t="str">
        <x:v>https://learn.microsoft.com/en-us/microsoft-edge/webview2/concepts/security</x:v>
      </x:c>
      <x:c r="L146" s="8" t="str">
        <x:v>Potential duplicate: this paragraph is repeated in another section to test deduplication and chunk metadata.</x:v>
      </x:c>
      <x:c r="M146" s="8"/>
    </x:row>
    <x:row r="147">
      <x:c r="A147" s="8" t="str">
        <x:v>network</x:v>
      </x:c>
      <x:c r="B147" s="8" t="str">
        <x:v>Windows</x:v>
      </x:c>
      <x:c r="C147" s="8" t="str">
        <x:v>focus leaves native control</x:v>
      </x:c>
      <x:c r="D147" s="8" t="str">
        <x:v>open case 1135; repeat after cold start.</x:v>
      </x:c>
      <x:c r="E147" s="8" t="str">
        <x:v>set explicit user agent</x:v>
      </x:c>
      <x:c r="F147" s="8" t="str">
        <x:v>Diego</x:v>
      </x:c>
      <x:c r="G147" s="8" t="str">
        <x:v>blocked</x:v>
      </x:c>
      <x:c r="H147" s="8" t="str">
        <x:v>P1</x:v>
      </x:c>
      <x:c r="I147" s="8" t="str">
        <x:v>2026-01-01</x:v>
      </x:c>
      <x:c r="J147" s="8" t="str">
        <x:v>2026-03-27</x:v>
      </x:c>
      <x:c r="K147" s="8"/>
      <x:c r="L147" s="8" t="str">
        <x:v>This sentence is long enough to exercise wrapping and downstream chunk boundaries in Markdown output.</x:v>
      </x:c>
      <x:c r="M147" s="8"/>
    </x:row>
    <x:row r="148">
      <x:c r="A148" s="8" t="str">
        <x:v>download</x:v>
      </x:c>
      <x:c r="B148" s="8" t="str">
        <x:v>Windows</x:v>
      </x:c>
      <x:c r="C148" s="8" t="str">
        <x:v>console event missing</x:v>
      </x:c>
      <x:c r="D148" s="8"/>
      <x:c r="E148" s="8" t="str">
        <x:v>none yet</x:v>
      </x:c>
      <x:c r="F148" s="8" t="str">
        <x:v>Carla</x:v>
      </x:c>
      <x:c r="G148" s="8" t="str">
        <x:v>needs reproduction</x:v>
      </x:c>
      <x:c r="H148" s="8" t="str">
        <x:v>P0</x:v>
      </x:c>
      <x:c r="I148" s="8" t="str">
        <x:v>2026-02-01</x:v>
      </x:c>
      <x:c r="J148" s="8" t="str">
        <x:v>2026-04-20</x:v>
      </x:c>
      <x:c r="K148" s="8" t="str">
        <x:v>https://developer.android.com/reference/android/webkit/WebView</x:v>
      </x:c>
      <x:c r="L148" s="8" t="str">
        <x:v>Follow-up: compare the result when the network security policy is relaxed versus when it is enforced.</x:v>
      </x:c>
      <x:c r="M148" s="8"/>
    </x:row>
    <x:row r="149">
      <x:c r="A149" s="8" t="str">
        <x:v>input</x:v>
      </x:c>
      <x:c r="B149" s="8" t="str">
        <x:v>Linux</x:v>
      </x:c>
      <x:c r="C149" s="8" t="str">
        <x:v>resource blocked by policy</x:v>
      </x:c>
      <x:c r="D149" s="8" t="str">
        <x:v>open case 1137; repeat after offline toggle.</x:v>
      </x:c>
      <x:c r="E149" s="8" t="str">
        <x:v>reproduce on clean profile</x:v>
      </x:c>
      <x:c r="F149" s="8" t="str">
        <x:v>Asha</x:v>
      </x:c>
      <x:c r="G149" s="8" t="str">
        <x:v>investigating</x:v>
      </x:c>
      <x:c r="H149" s="8" t="str">
        <x:v>P2</x:v>
      </x:c>
      <x:c r="I149" s="8" t="str">
        <x:v>2026-03-01</x:v>
      </x:c>
      <x:c r="J149" s="8" t="str">
        <x:v>2026-05-21</x:v>
      </x:c>
      <x:c r="K149" s="8"/>
      <x:c r="L149" s="8"/>
      <x:c r="M149" s="8"/>
    </x:row>
    <x:row r="150">
      <x:c r="A150" s="8" t="str">
        <x:v>input</x:v>
      </x:c>
      <x:c r="B150" s="8" t="str">
        <x:v>Android</x:v>
      </x:c>
      <x:c r="C150" s="8" t="str">
        <x:v>scroll offset resets</x:v>
      </x:c>
      <x:c r="D150" s="8"/>
      <x:c r="E150" s="8" t="str">
        <x:v>retry after NavigationCompleted</x:v>
      </x:c>
      <x:c r="F150" s="8" t="str">
        <x:v>Mei</x:v>
      </x:c>
      <x:c r="G150" s="8" t="str">
        <x:v>blocked</x:v>
      </x:c>
      <x:c r="H150" s="8" t="str">
        <x:v>P1</x:v>
      </x:c>
      <x:c r="I150" s="8" t="str">
        <x:v>2026-04-01</x:v>
      </x:c>
      <x:c r="J150" s="8" t="str">
        <x:v>2026-06-22</x:v>
      </x:c>
      <x:c r="K150" s="8"/>
      <x:c r="L150" s="8"/>
      <x:c r="M150" s="8"/>
    </x:row>
    <x:row r="151">
      <x:c r="A151" s="8" t="str">
        <x:v>rendering</x:v>
      </x:c>
      <x:c r="B151" s="8" t="str">
        <x:v>Android</x:v>
      </x:c>
      <x:c r="C151" s="8" t="str">
        <x:v>console event missing</x:v>
      </x:c>
      <x:c r="D151" s="8" t="str">
        <x:v>open case 1139; repeat after offline toggle.</x:v>
      </x:c>
      <x:c r="E151" s="8" t="str">
        <x:v>retry after NavigationCompleted</x:v>
      </x:c>
      <x:c r="F151" s="8" t="str">
        <x:v>Mei</x:v>
      </x:c>
      <x:c r="G151" s="8" t="str">
        <x:v>resolved</x:v>
      </x:c>
      <x:c r="H151" s="8" t="str">
        <x:v>P1</x:v>
      </x:c>
      <x:c r="I151" s="8" t="str">
        <x:v>2026-05-01</x:v>
      </x:c>
      <x:c r="J151" s="8" t="str">
        <x:v>2026-07-23</x:v>
      </x:c>
      <x:c r="K151" s="8"/>
      <x:c r="L151" s="8" t="str">
        <x:v>Verify behavior on a cold start and after the page reloads without destroying the native view.</x:v>
      </x:c>
      <x:c r="M151" s="8"/>
    </x:row>
    <x:row r="152">
      <x:c r="A152" s="8" t="str">
        <x:v>cookies</x:v>
      </x:c>
      <x:c r="B152" s="8" t="str">
        <x:v>Android</x:v>
      </x:c>
      <x:c r="C152" s="8" t="str">
        <x:v>large response times out</x:v>
      </x:c>
      <x:c r="D152" s="8" t="str">
        <x:v>open case 1140; repeat after reload.</x:v>
      </x:c>
      <x:c r="E152" s="8" t="str">
        <x:v>reproduce on clean profile</x:v>
      </x:c>
      <x:c r="F152" s="8" t="str">
        <x:v>Mei</x:v>
      </x:c>
      <x:c r="G152" s="8" t="str">
        <x:v>blocked</x:v>
      </x:c>
      <x:c r="H152" s="8" t="str">
        <x:v>P2</x:v>
      </x:c>
      <x:c r="I152" s="8" t="str">
        <x:v>2026-06-01</x:v>
      </x:c>
      <x:c r="J152" s="8" t="str">
        <x:v>2026-08-24</x:v>
      </x:c>
      <x:c r="K152" s="8" t="str">
        <x:v>https://learn.microsoft.com/en-us/microsoft-edge/webview2/concepts/security</x:v>
      </x:c>
      <x:c r="L152" s="8" t="str">
        <x:v>This sentence is long enough to exercise wrapping and downstream chunk boundaries in Markdown output.</x:v>
      </x:c>
      <x:c r="M152" s="8"/>
    </x:row>
    <x:row r="153">
      <x:c r="A153" s="8" t="str">
        <x:v>Category</x:v>
      </x:c>
      <x:c r="B153" s="8" t="str">
        <x:v>Platform</x:v>
      </x:c>
      <x:c r="C153" s="8" t="str">
        <x:v>Symptom</x:v>
      </x:c>
      <x:c r="D153" s="8" t="str">
        <x:v>Reproduction</x:v>
      </x:c>
      <x:c r="E153" s="8" t="str">
        <x:v>Workaround</x:v>
      </x:c>
      <x:c r="F153" s="8" t="str">
        <x:v>Owner</x:v>
      </x:c>
      <x:c r="G153" s="8" t="str">
        <x:v>Status</x:v>
      </x:c>
      <x:c r="H153" s="8" t="str">
        <x:v>Severity</x:v>
      </x:c>
      <x:c r="I153" s="8" t="str">
        <x:v>First seen</x:v>
      </x:c>
      <x:c r="J153" s="8" t="str">
        <x:v>Last seen</x:v>
      </x:c>
      <x:c r="K153" s="8" t="str">
        <x:v>Reference</x:v>
      </x:c>
      <x:c r="L153" s="8" t="str">
        <x:v>Free note</x:v>
      </x:c>
      <x:c r="M153" s="8" t="str">
        <x:v>repeated header</x:v>
      </x:c>
    </x:row>
    <x:row r="154">
      <x:c r="A154" s="8" t="str">
        <x:v>rendering</x:v>
      </x:c>
      <x:c r="B154" s="8" t="str">
        <x:v>macOS</x:v>
      </x:c>
      <x:c r="C154" s="8" t="str">
        <x:v>resource blocked by policy</x:v>
      </x:c>
      <x:c r="D154" s="8"/>
      <x:c r="E154" s="8" t="str">
        <x:v>use a bridge queue</x:v>
      </x:c>
      <x:c r="F154" s="8" t="str">
        <x:v>Carla</x:v>
      </x:c>
      <x:c r="G154" s="8" t="str">
        <x:v>blocked</x:v>
      </x:c>
      <x:c r="H154" s="8" t="str">
        <x:v>P2</x:v>
      </x:c>
      <x:c r="I154" s="8" t="str">
        <x:v>2026-07-01</x:v>
      </x:c>
      <x:c r="J154" s="8" t="str">
        <x:v>2026-09-25</x:v>
      </x:c>
      <x:c r="K154" s="8" t="str">
        <x:v>https://github.com/react-native-webview/react-native-webview</x:v>
      </x:c>
      <x:c r="L154" s="8" t="str">
        <x:v>The owner field was not captured in the original notes, so classification should remain conservative.</x:v>
      </x:c>
      <x:c r="M154" s="8"/>
    </x:row>
    <x:row r="155">
      <x:c r="A155" s="8" t="str">
        <x:v>input</x:v>
      </x:c>
      <x:c r="B155" s="8" t="str">
        <x:v>Windows</x:v>
      </x:c>
      <x:c r="C155" s="8" t="str">
        <x:v>focus leaves native control</x:v>
      </x:c>
      <x:c r="D155" s="8"/>
      <x:c r="E155" s="8" t="str">
        <x:v>use a bridge queue</x:v>
      </x:c>
      <x:c r="F155" s="8" t="str">
        <x:v>Carla</x:v>
      </x:c>
      <x:c r="G155" s="8" t="str">
        <x:v>open</x:v>
      </x:c>
      <x:c r="H155" s="8" t="str">
        <x:v>P2</x:v>
      </x:c>
      <x:c r="I155" s="8" t="str">
        <x:v>2026-08-01</x:v>
      </x:c>
      <x:c r="J155" s="8" t="str">
        <x:v>2026-01-26</x:v>
      </x:c>
      <x:c r="K155" s="8"/>
      <x:c r="L155" s="8" t="str">
        <x:v>Follow-up: compare the result when the network security policy is relaxed versus when it is enforced.</x:v>
      </x:c>
      <x:c r="M155" s="8"/>
    </x:row>
    <x:row r="156">
      <x:c r="A156" s="8" t="str">
        <x:v>network</x:v>
      </x:c>
      <x:c r="B156" s="8" t="str">
        <x:v>Android</x:v>
      </x:c>
      <x:c r="C156" s="8" t="str">
        <x:v>console event missing</x:v>
      </x:c>
      <x:c r="D156" s="8"/>
      <x:c r="E156" s="8" t="str">
        <x:v>set explicit user agent</x:v>
      </x:c>
      <x:c r="F156" s="8" t="str">
        <x:v>Mei</x:v>
      </x:c>
      <x:c r="G156" s="8" t="str">
        <x:v>needs reproduction</x:v>
      </x:c>
      <x:c r="H156" s="8" t="str">
        <x:v>P1</x:v>
      </x:c>
      <x:c r="I156" s="8" t="str">
        <x:v>2026-09-01</x:v>
      </x:c>
      <x:c r="J156" s="8" t="str">
        <x:v>2026-02-27</x:v>
      </x:c>
      <x:c r="K156" s="8" t="str">
        <x:v>https://developer.android.com/reference/android/webkit/WebView</x:v>
      </x:c>
      <x:c r="L156" s="8" t="str">
        <x:v>The owner field was not captured in the original notes, so classification should remain conservative.</x:v>
      </x:c>
      <x:c r="M156" s="8"/>
    </x:row>
    <x:row r="157">
      <x:c r="A157" s="8" t="str">
        <x:v>cookies</x:v>
      </x:c>
      <x:c r="B157" s="8" t="str">
        <x:v>macOS</x:v>
      </x:c>
      <x:c r="C157" s="8" t="str">
        <x:v>console event missing</x:v>
      </x:c>
      <x:c r="D157" s="8" t="str">
        <x:v>open case 1144; repeat after reload.</x:v>
      </x:c>
      <x:c r="E157" s="8" t="str">
        <x:v>none yet</x:v>
      </x:c>
      <x:c r="F157" s="8" t="str">
        <x:v>Ben</x:v>
      </x:c>
      <x:c r="G157" s="8" t="str">
        <x:v>blocked</x:v>
      </x:c>
      <x:c r="H157" s="8" t="str">
        <x:v>P0</x:v>
      </x:c>
      <x:c r="I157" s="8" t="str">
        <x:v>2026-01-01</x:v>
      </x:c>
      <x:c r="J157" s="8" t="str">
        <x:v>2026-03-20</x:v>
      </x:c>
      <x:c r="K157" s="8" t="str">
        <x:v>https://developer.microsoft.com/en-us/microsoft-edge/webview2/</x:v>
      </x:c>
      <x:c r="L157" s="8" t="str">
        <x:v>The bridge callback is stable for small payloads, but large JSON messages show visible delay during navigation.</x:v>
      </x:c>
      <x:c r="M157" s="8"/>
    </x:row>
    <x:row r="158">
      <x:c r="A158" s="8" t="str">
        <x:v>network</x:v>
      </x:c>
      <x:c r="B158" s="8" t="str">
        <x:v>macOS</x:v>
      </x:c>
      <x:c r="C158" s="8" t="str">
        <x:v>scroll offset resets</x:v>
      </x:c>
      <x:c r="D158" s="8" t="str">
        <x:v>open case 1145; repeat after offline toggle.</x:v>
      </x:c>
      <x:c r="E158" s="8" t="str">
        <x:v>use a bridge queue</x:v>
      </x:c>
      <x:c r="F158" s="8" t="str">
        <x:v>Mei</x:v>
      </x:c>
      <x:c r="G158" s="8" t="str">
        <x:v>investigating</x:v>
      </x:c>
      <x:c r="H158" s="8" t="str">
        <x:v>P0</x:v>
      </x:c>
      <x:c r="I158" s="8" t="str">
        <x:v>2026-02-01</x:v>
      </x:c>
      <x:c r="J158" s="8" t="str">
        <x:v>2026-04-21</x:v>
      </x:c>
      <x:c r="K158" s="8" t="str">
        <x:v>https://developer.microsoft.com/en-us/microsoft-edge/webview2/</x:v>
      </x:c>
      <x:c r="L158" s="8"/>
      <x:c r="M158" s="8"/>
    </x:row>
    <x:row r="159">
      <x:c r="A159" s="8" t="str">
        <x:v>cookies</x:v>
      </x:c>
      <x:c r="B159" s="8" t="str">
        <x:v>Windows</x:v>
      </x:c>
      <x:c r="C159" s="8" t="str">
        <x:v>focus leaves native control</x:v>
      </x:c>
      <x:c r="D159" s="8"/>
      <x:c r="E159" s="8" t="str">
        <x:v>retry after NavigationCompleted</x:v>
      </x:c>
      <x:c r="F159" s="8" t="str">
        <x:v>Mei</x:v>
      </x:c>
      <x:c r="G159" s="8" t="str">
        <x:v>open</x:v>
      </x:c>
      <x:c r="H159" s="8" t="str">
        <x:v>P2</x:v>
      </x:c>
      <x:c r="I159" s="8" t="str">
        <x:v>2026-03-01</x:v>
      </x:c>
      <x:c r="J159" s="8" t="str">
        <x:v>2026-05-22</x:v>
      </x:c>
      <x:c r="K159" s="8" t="str">
        <x:v>https://github.com/react-native-webview/react-native-webview</x:v>
      </x:c>
      <x:c r="L159" s="8"/>
      <x:c r="M159" s="8"/>
    </x:row>
    <x:row r="160">
      <x:c r="A160" s="8" t="str">
        <x:v>input</x:v>
      </x:c>
      <x:c r="B160" s="8" t="str">
        <x:v>Linux</x:v>
      </x:c>
      <x:c r="C160" s="8" t="str">
        <x:v>large response times out</x:v>
      </x:c>
      <x:c r="D160" s="8" t="str">
        <x:v>open case 1147; repeat after reload.</x:v>
      </x:c>
      <x:c r="E160" s="8" t="str">
        <x:v>retry after NavigationCompleted</x:v>
      </x:c>
      <x:c r="F160" s="8" t="str">
        <x:v>Mei</x:v>
      </x:c>
      <x:c r="G160" s="8" t="str">
        <x:v>investigating</x:v>
      </x:c>
      <x:c r="H160" s="8" t="str">
        <x:v>P0</x:v>
      </x:c>
      <x:c r="I160" s="8" t="str">
        <x:v>2026-04-01</x:v>
      </x:c>
      <x:c r="J160" s="8" t="str">
        <x:v>2026-06-23</x:v>
      </x:c>
      <x:c r="K160" s="8"/>
      <x:c r="L160" s="8" t="str">
        <x:v>Follow-up: compare the result when the network security policy is relaxed versus when it is enforced.</x:v>
      </x:c>
      <x:c r="M160" s="8"/>
    </x:row>
    <x:row r="161">
      <x:c r="A161" s="8" t="str">
        <x:v>cookies</x:v>
      </x:c>
      <x:c r="B161" s="8" t="str">
        <x:v>Linux</x:v>
      </x:c>
      <x:c r="C161" s="8" t="str">
        <x:v>focus leaves native control</x:v>
      </x:c>
      <x:c r="D161" s="8"/>
      <x:c r="E161" s="8" t="str">
        <x:v>increase timeout</x:v>
      </x:c>
      <x:c r="F161" s="8" t="str">
        <x:v>No owner</x:v>
      </x:c>
      <x:c r="G161" s="8" t="str">
        <x:v>open</x:v>
      </x:c>
      <x:c r="H161" s="8" t="str">
        <x:v>P3</x:v>
      </x:c>
      <x:c r="I161" s="8" t="str">
        <x:v>2026-05-01</x:v>
      </x:c>
      <x:c r="J161" s="8" t="str">
        <x:v>2026-07-24</x:v>
      </x:c>
      <x:c r="K161" s="8"/>
      <x:c r="L161" s="8" t="str">
        <x:v>Follow-up: compare the result when the network security policy is relaxed versus when it is enforced.</x:v>
      </x:c>
      <x:c r="M161" s="8"/>
    </x:row>
    <x:row r="162">
      <x:c r="A162" s="8" t="str">
        <x:v>download</x:v>
      </x:c>
      <x:c r="B162" s="8" t="str">
        <x:v>Linux</x:v>
      </x:c>
      <x:c r="C162" s="8" t="str">
        <x:v>console event missing</x:v>
      </x:c>
      <x:c r="D162" s="8"/>
      <x:c r="E162" s="8" t="str">
        <x:v>none yet</x:v>
      </x:c>
      <x:c r="F162" s="8" t="str">
        <x:v>Ben</x:v>
      </x:c>
      <x:c r="G162" s="8" t="str">
        <x:v>needs reproduction</x:v>
      </x:c>
      <x:c r="H162" s="8" t="str">
        <x:v>P2</x:v>
      </x:c>
      <x:c r="I162" s="8" t="str">
        <x:v>2026-06-01</x:v>
      </x:c>
      <x:c r="J162" s="8" t="str">
        <x:v>2026-08-25</x:v>
      </x:c>
      <x:c r="K162" s="8" t="str">
        <x:v>https://developer.microsoft.com/en-us/microsoft-edge/webview2/</x:v>
      </x:c>
      <x:c r="L162" s="8" t="str">
        <x:v>This sentence is long enough to exercise wrapping and downstream chunk boundaries in Markdown output.</x:v>
      </x:c>
      <x:c r="M162" s="8"/>
    </x:row>
    <x:row r="163">
      <x:c r="A163" s="8" t="str">
        <x:v>network</x:v>
      </x:c>
      <x:c r="B163" s="8" t="str">
        <x:v>macOS</x:v>
      </x:c>
      <x:c r="C163" s="8" t="str">
        <x:v>blank page after reload</x:v>
      </x:c>
      <x:c r="D163" s="8" t="str">
        <x:v>open case 1150; repeat after cold start.</x:v>
      </x:c>
      <x:c r="E163" s="8" t="str">
        <x:v>none yet</x:v>
      </x:c>
      <x:c r="F163" s="8" t="str">
        <x:v>Diego</x:v>
      </x:c>
      <x:c r="G163" s="8" t="str">
        <x:v>open</x:v>
      </x:c>
      <x:c r="H163" s="8" t="str">
        <x:v>P1</x:v>
      </x:c>
      <x:c r="I163" s="8" t="str">
        <x:v>2026-07-01</x:v>
      </x:c>
      <x:c r="J163" s="8" t="str">
        <x:v>2026-09-26</x:v>
      </x:c>
      <x:c r="K163" s="8"/>
      <x:c r="L163" s="8" t="str">
        <x:v>Verify behavior on a cold start and after the page reloads without destroying the native view.</x:v>
      </x:c>
      <x:c r="M163" s="8"/>
    </x:row>
    <x:row r="164">
      <x:c r="A164" s="8" t="str">
        <x:v>download</x:v>
      </x:c>
      <x:c r="B164" s="8" t="str">
        <x:v>iOS</x:v>
      </x:c>
      <x:c r="C164" s="8" t="str">
        <x:v>focus leaves native control</x:v>
      </x:c>
      <x:c r="D164" s="8" t="str">
        <x:v>open case 1151; repeat after offline toggle.</x:v>
      </x:c>
      <x:c r="E164" s="8" t="str">
        <x:v>none yet</x:v>
      </x:c>
      <x:c r="F164" s="8" t="str">
        <x:v>Diego</x:v>
      </x:c>
      <x:c r="G164" s="8" t="str">
        <x:v>open</x:v>
      </x:c>
      <x:c r="H164" s="8" t="str">
        <x:v>P2</x:v>
      </x:c>
      <x:c r="I164" s="8" t="str">
        <x:v>2026-08-01</x:v>
      </x:c>
      <x:c r="J164" s="8" t="str">
        <x:v>2026-01-27</x:v>
      </x:c>
      <x:c r="K164" s="8" t="str">
        <x:v>https://developer.apple.com/documentation/webkit/wkwebview</x:v>
      </x:c>
      <x:c r="L164" s="8" t="str">
        <x:v>A blank cell here is intentional. The source workbook has notes placed away from the nearest table.</x:v>
      </x:c>
      <x:c r="M164" s="8"/>
    </x:row>
    <x:row r="165">
      <x:c r="A165" s="8" t="str">
        <x:v>download</x:v>
      </x:c>
      <x:c r="B165" s="8" t="str">
        <x:v>Android</x:v>
      </x:c>
      <x:c r="C165" s="8" t="str">
        <x:v>blank page after reload</x:v>
      </x:c>
      <x:c r="D165" s="8"/>
      <x:c r="E165" s="8" t="str">
        <x:v>none yet</x:v>
      </x:c>
      <x:c r="F165" s="8" t="str">
        <x:v>Ben</x:v>
      </x:c>
      <x:c r="G165" s="8" t="str">
        <x:v>resolved</x:v>
      </x:c>
      <x:c r="H165" s="8" t="str">
        <x:v>P1</x:v>
      </x:c>
      <x:c r="I165" s="8" t="str">
        <x:v>2026-09-01</x:v>
      </x:c>
      <x:c r="J165" s="8" t="str">
        <x:v>2026-02-20</x:v>
      </x:c>
      <x:c r="K165" s="8"/>
      <x:c r="L165" s="8"/>
      <x:c r="M165" s="8"/>
    </x:row>
    <x:row r="166">
      <x:c r="A166" s="8" t="str">
        <x:v>rendering</x:v>
      </x:c>
      <x:c r="B166" s="8" t="str">
        <x:v>Windows</x:v>
      </x:c>
      <x:c r="C166" s="8" t="str">
        <x:v>console event missing</x:v>
      </x:c>
      <x:c r="D166" s="8"/>
      <x:c r="E166" s="8" t="str">
        <x:v>none yet</x:v>
      </x:c>
      <x:c r="F166" s="8" t="str">
        <x:v>Diego</x:v>
      </x:c>
      <x:c r="G166" s="8" t="str">
        <x:v>open</x:v>
      </x:c>
      <x:c r="H166" s="8" t="str">
        <x:v>P2</x:v>
      </x:c>
      <x:c r="I166" s="8" t="str">
        <x:v>2026-01-01</x:v>
      </x:c>
      <x:c r="J166" s="8" t="str">
        <x:v>2026-03-21</x:v>
      </x:c>
      <x:c r="K166" s="8" t="str">
        <x:v>https://learn.microsoft.com/en-us/microsoft-edge/webview2/concepts/security</x:v>
      </x:c>
      <x:c r="L166" s="8"/>
      <x:c r="M166" s="8"/>
    </x:row>
    <x:row r="167">
      <x:c r="A167" s="8" t="str">
        <x:v>input</x:v>
      </x:c>
      <x:c r="B167" s="8" t="str">
        <x:v>macOS</x:v>
      </x:c>
      <x:c r="C167" s="8" t="str">
        <x:v>resource blocked by policy</x:v>
      </x:c>
      <x:c r="D167" s="8"/>
      <x:c r="E167" s="8" t="str">
        <x:v>none yet</x:v>
      </x:c>
      <x:c r="F167" s="8" t="str">
        <x:v>Carla</x:v>
      </x:c>
      <x:c r="G167" s="8" t="str">
        <x:v>resolved</x:v>
      </x:c>
      <x:c r="H167" s="8" t="str">
        <x:v>P2</x:v>
      </x:c>
      <x:c r="I167" s="8" t="str">
        <x:v>2026-02-01</x:v>
      </x:c>
      <x:c r="J167" s="8" t="str">
        <x:v>2026-04-22</x:v>
      </x:c>
      <x:c r="K167" s="8"/>
      <x:c r="L167" s="8"/>
      <x:c r="M167" s="8"/>
    </x:row>
    <x:row r="168">
      <x:c r="A168" s="8"/>
      <x:c r="B168" s="8"/>
      <x:c r="C168" s="8"/>
      <x:c r="D168" s="8"/>
      <x:c r="E168" s="8"/>
      <x:c r="F168" s="8"/>
      <x:c r="G168" s="8"/>
      <x:c r="H168" s="8"/>
      <x:c r="I168" s="8"/>
      <x:c r="J168" s="8"/>
      <x:c r="K168" s="8"/>
      <x:c r="L168" s="8"/>
      <x:c r="M168" s="8"/>
    </x:row>
    <x:row r="169">
      <x:c r="A169" s="8" t="str">
        <x:v>network</x:v>
      </x:c>
      <x:c r="B169" s="8" t="str">
        <x:v>macOS</x:v>
      </x:c>
      <x:c r="C169" s="8" t="str">
        <x:v>console event missing</x:v>
      </x:c>
      <x:c r="D169" s="8" t="str">
        <x:v>open case 1155; repeat after sleep.</x:v>
      </x:c>
      <x:c r="E169" s="8" t="str">
        <x:v>use a bridge queue</x:v>
      </x:c>
      <x:c r="F169" s="8" t="str">
        <x:v>Carla</x:v>
      </x:c>
      <x:c r="G169" s="8" t="str">
        <x:v>blocked</x:v>
      </x:c>
      <x:c r="H169" s="8" t="str">
        <x:v>P1</x:v>
      </x:c>
      <x:c r="I169" s="8" t="str">
        <x:v>2026-03-01</x:v>
      </x:c>
      <x:c r="J169" s="8" t="str">
        <x:v>2026-05-23</x:v>
      </x:c>
      <x:c r="K169" s="8" t="str">
        <x:v>https://github.com/react-native-webview/react-native-webview</x:v>
      </x:c>
      <x:c r="L169" s="8" t="str">
        <x:v>The bridge callback is stable for small payloads, but large JSON messages show visible delay during navigation.</x:v>
      </x:c>
      <x:c r="M169" s="8"/>
    </x:row>
    <x:row r="170">
      <x:c r="A170" s="8" t="str">
        <x:v>input</x:v>
      </x:c>
      <x:c r="B170" s="8" t="str">
        <x:v>Android</x:v>
      </x:c>
      <x:c r="C170" s="8" t="str">
        <x:v>focus leaves native control</x:v>
      </x:c>
      <x:c r="D170" s="8" t="str">
        <x:v>open case 1156; repeat after offline toggle.</x:v>
      </x:c>
      <x:c r="E170" s="8" t="str">
        <x:v>reproduce on clean profile</x:v>
      </x:c>
      <x:c r="F170" s="8" t="str">
        <x:v>Carla</x:v>
      </x:c>
      <x:c r="G170" s="8" t="str">
        <x:v>blocked</x:v>
      </x:c>
      <x:c r="H170" s="8" t="str">
        <x:v>P1</x:v>
      </x:c>
      <x:c r="I170" s="8" t="str">
        <x:v>2026-04-01</x:v>
      </x:c>
      <x:c r="J170" s="8" t="str">
        <x:v>2026-06-24</x:v>
      </x:c>
      <x:c r="K170" s="8" t="str">
        <x:v>https://developer.apple.com/documentation/webkit/wkwebview</x:v>
      </x:c>
      <x:c r="L170" s="8" t="str">
        <x:v>Follow-up: compare the result when the network security policy is relaxed versus when it is enforced.</x:v>
      </x:c>
      <x:c r="M170" s="8"/>
    </x:row>
    <x:row r="171">
      <x:c r="A171" s="8" t="str">
        <x:v>input</x:v>
      </x:c>
      <x:c r="B171" s="8" t="str">
        <x:v>iOS</x:v>
      </x:c>
      <x:c r="C171" s="8" t="str">
        <x:v>console event missing</x:v>
      </x:c>
      <x:c r="D171" s="8" t="str">
        <x:v>open case 1157; repeat after reload.</x:v>
      </x:c>
      <x:c r="E171" s="8" t="str">
        <x:v>set explicit user agent</x:v>
      </x:c>
      <x:c r="F171" s="8" t="str">
        <x:v>No owner</x:v>
      </x:c>
      <x:c r="G171" s="8" t="str">
        <x:v>investigating</x:v>
      </x:c>
      <x:c r="H171" s="8" t="str">
        <x:v>P0</x:v>
      </x:c>
      <x:c r="I171" s="8" t="str">
        <x:v>2026-05-01</x:v>
      </x:c>
      <x:c r="J171" s="8" t="str">
        <x:v>2026-07-25</x:v>
      </x:c>
      <x:c r="K171" s="8" t="str">
        <x:v>https://developer.microsoft.com/en-us/microsoft-edge/webview2/</x:v>
      </x:c>
      <x:c r="L171" s="8" t="str">
        <x:v>The bridge callback is stable for small payloads, but large JSON messages show visible delay during navigation.</x:v>
      </x:c>
      <x:c r="M171" s="8"/>
    </x:row>
    <x:row r="172">
      <x:c r="A172" s="8" t="str">
        <x:v>cookies</x:v>
      </x:c>
      <x:c r="B172" s="8" t="str">
        <x:v>iOS</x:v>
      </x:c>
      <x:c r="C172" s="8" t="str">
        <x:v>console event missing</x:v>
      </x:c>
      <x:c r="D172" s="8"/>
      <x:c r="E172" s="8" t="str">
        <x:v>none yet</x:v>
      </x:c>
      <x:c r="F172" s="8" t="str">
        <x:v>No owner</x:v>
      </x:c>
      <x:c r="G172" s="8" t="str">
        <x:v>needs reproduction</x:v>
      </x:c>
      <x:c r="H172" s="8" t="str">
        <x:v>P0</x:v>
      </x:c>
      <x:c r="I172" s="8" t="str">
        <x:v>2026-06-01</x:v>
      </x:c>
      <x:c r="J172" s="8" t="str">
        <x:v>2026-08-26</x:v>
      </x:c>
      <x:c r="K172" s="8" t="str">
        <x:v>https://developer.microsoft.com/en-us/microsoft-edge/webview2/</x:v>
      </x:c>
      <x:c r="L172" s="8" t="str">
        <x:v>This sentence is long enough to exercise wrapping and downstream chunk boundaries in Markdown output.</x:v>
      </x:c>
      <x:c r="M172" s="8"/>
    </x:row>
    <x:row r="173">
      <x:c r="A173" s="8" t="str">
        <x:v>input</x:v>
      </x:c>
      <x:c r="B173" s="8" t="str">
        <x:v>Android</x:v>
      </x:c>
      <x:c r="C173" s="8" t="str">
        <x:v>large response times out</x:v>
      </x:c>
      <x:c r="D173" s="8" t="str">
        <x:v>open case 1159; repeat after offline toggle.</x:v>
      </x:c>
      <x:c r="E173" s="8" t="str">
        <x:v>set explicit user agent</x:v>
      </x:c>
      <x:c r="F173" s="8" t="str">
        <x:v>No owner</x:v>
      </x:c>
      <x:c r="G173" s="8" t="str">
        <x:v>resolved</x:v>
      </x:c>
      <x:c r="H173" s="8" t="str">
        <x:v>P1</x:v>
      </x:c>
      <x:c r="I173" s="8" t="str">
        <x:v>2026-07-01</x:v>
      </x:c>
      <x:c r="J173" s="8" t="str">
        <x:v>2026-09-27</x:v>
      </x:c>
      <x:c r="K173" s="8"/>
      <x:c r="L173" s="8" t="str">
        <x:v>Potential duplicate: this paragraph is repeated in another section to test deduplication and chunk metadata.</x:v>
      </x:c>
      <x:c r="M173" s="8"/>
    </x:row>
    <x:row r="174">
      <x:c r="A174" s="8" t="str">
        <x:v>cookies</x:v>
      </x:c>
      <x:c r="B174" s="8" t="str">
        <x:v>Android</x:v>
      </x:c>
      <x:c r="C174" s="8" t="str">
        <x:v>focus leaves native control</x:v>
      </x:c>
      <x:c r="D174" s="8" t="str">
        <x:v>open case 1160; repeat after reload.</x:v>
      </x:c>
      <x:c r="E174" s="8" t="str">
        <x:v>none yet</x:v>
      </x:c>
      <x:c r="F174" s="8" t="str">
        <x:v>Carla</x:v>
      </x:c>
      <x:c r="G174" s="8" t="str">
        <x:v>resolved</x:v>
      </x:c>
      <x:c r="H174" s="8" t="str">
        <x:v>P2</x:v>
      </x:c>
      <x:c r="I174" s="8" t="str">
        <x:v>2026-08-01</x:v>
      </x:c>
      <x:c r="J174" s="8" t="str">
        <x:v>2026-01-20</x:v>
      </x:c>
      <x:c r="K174" s="8"/>
      <x:c r="L174" s="8" t="str">
        <x:v>Verify behavior on a cold start and after the page reloads without destroying the native view.</x:v>
      </x:c>
      <x:c r="M174" s="8"/>
    </x:row>
    <x:row r="175">
      <x:c r="A175" s="8" t="str">
        <x:v>network</x:v>
      </x:c>
      <x:c r="B175" s="8" t="str">
        <x:v>Linux</x:v>
      </x:c>
      <x:c r="C175" s="8" t="str">
        <x:v>blank page after reload</x:v>
      </x:c>
      <x:c r="D175" s="8" t="str">
        <x:v>open case 1161; repeat after offline toggle.</x:v>
      </x:c>
      <x:c r="E175" s="8" t="str">
        <x:v>set explicit user agent</x:v>
      </x:c>
      <x:c r="F175" s="8" t="str">
        <x:v>No owner</x:v>
      </x:c>
      <x:c r="G175" s="8" t="str">
        <x:v>investigating</x:v>
      </x:c>
      <x:c r="H175" s="8" t="str">
        <x:v>P3</x:v>
      </x:c>
      <x:c r="I175" s="8" t="str">
        <x:v>2026-09-01</x:v>
      </x:c>
      <x:c r="J175" s="8" t="str">
        <x:v>2026-02-21</x:v>
      </x:c>
      <x:c r="K175" s="8"/>
      <x:c r="L175" s="8"/>
      <x:c r="M175" s="8"/>
    </x:row>
    <x:row r="176">
      <x:c r="A176" s="8" t="str">
        <x:v>rendering</x:v>
      </x:c>
      <x:c r="B176" s="8" t="str">
        <x:v>Android</x:v>
      </x:c>
      <x:c r="C176" s="8" t="str">
        <x:v>scroll offset resets</x:v>
      </x:c>
      <x:c r="D176" s="8"/>
      <x:c r="E176" s="8" t="str">
        <x:v>increase timeout</x:v>
      </x:c>
      <x:c r="F176" s="8" t="str">
        <x:v>Carla</x:v>
      </x:c>
      <x:c r="G176" s="8" t="str">
        <x:v>blocked</x:v>
      </x:c>
      <x:c r="H176" s="8" t="str">
        <x:v>P3</x:v>
      </x:c>
      <x:c r="I176" s="8" t="str">
        <x:v>2026-01-01</x:v>
      </x:c>
      <x:c r="J176" s="8" t="str">
        <x:v>2026-03-22</x:v>
      </x:c>
      <x:c r="K176" s="8"/>
      <x:c r="L176" s="8" t="str">
        <x:v>The owner field was not captured in the original notes, so classification should remain conservative.</x:v>
      </x:c>
      <x:c r="M176" s="8"/>
    </x:row>
    <x:row r="177">
      <x:c r="A177" s="8" t="str">
        <x:v>network</x:v>
      </x:c>
      <x:c r="B177" s="8" t="str">
        <x:v>Linux</x:v>
      </x:c>
      <x:c r="C177" s="8" t="str">
        <x:v>large response times out</x:v>
      </x:c>
      <x:c r="D177" s="8" t="str">
        <x:v>open case 1163; repeat after sleep.</x:v>
      </x:c>
      <x:c r="E177" s="8" t="str">
        <x:v>use a bridge queue</x:v>
      </x:c>
      <x:c r="F177" s="8" t="str">
        <x:v>No owner</x:v>
      </x:c>
      <x:c r="G177" s="8" t="str">
        <x:v>investigating</x:v>
      </x:c>
      <x:c r="H177" s="8" t="str">
        <x:v>P1</x:v>
      </x:c>
      <x:c r="I177" s="8" t="str">
        <x:v>2026-02-01</x:v>
      </x:c>
      <x:c r="J177" s="8" t="str">
        <x:v>2026-04-23</x:v>
      </x:c>
      <x:c r="K177" s="8"/>
      <x:c r="L177" s="8"/>
      <x:c r="M177" s="8"/>
    </x:row>
    <x:row r="178">
      <x:c r="A178" s="8" t="str">
        <x:v>cookies</x:v>
      </x:c>
      <x:c r="B178" s="8" t="str">
        <x:v>Linux</x:v>
      </x:c>
      <x:c r="C178" s="8" t="str">
        <x:v>focus leaves native control</x:v>
      </x:c>
      <x:c r="D178" s="8"/>
      <x:c r="E178" s="8" t="str">
        <x:v>increase timeout</x:v>
      </x:c>
      <x:c r="F178" s="8" t="str">
        <x:v>Ben</x:v>
      </x:c>
      <x:c r="G178" s="8" t="str">
        <x:v>investigating</x:v>
      </x:c>
      <x:c r="H178" s="8" t="str">
        <x:v>P2</x:v>
      </x:c>
      <x:c r="I178" s="8" t="str">
        <x:v>2026-03-01</x:v>
      </x:c>
      <x:c r="J178" s="8" t="str">
        <x:v>2026-05-24</x:v>
      </x:c>
      <x:c r="K178" s="8" t="str">
        <x:v>https://learn.microsoft.com/en-us/microsoft-edge/webview2/concepts/security</x:v>
      </x:c>
      <x:c r="L178" s="8" t="str">
        <x:v>A blank cell here is intentional. The source workbook has notes placed away from the nearest table.</x:v>
      </x:c>
      <x:c r="M178" s="8"/>
    </x:row>
    <x:row r="179">
      <x:c r="A179" s="8" t="str">
        <x:v>download</x:v>
      </x:c>
      <x:c r="B179" s="8" t="str">
        <x:v>iOS</x:v>
      </x:c>
      <x:c r="C179" s="8" t="str">
        <x:v>scroll offset resets</x:v>
      </x:c>
      <x:c r="D179" s="8"/>
      <x:c r="E179" s="8" t="str">
        <x:v>set explicit user agent</x:v>
      </x:c>
      <x:c r="F179" s="8" t="str">
        <x:v>Mei</x:v>
      </x:c>
      <x:c r="G179" s="8" t="str">
        <x:v>open</x:v>
      </x:c>
      <x:c r="H179" s="8" t="str">
        <x:v>P3</x:v>
      </x:c>
      <x:c r="I179" s="8" t="str">
        <x:v>2026-04-01</x:v>
      </x:c>
      <x:c r="J179" s="8" t="str">
        <x:v>2026-06-25</x:v>
      </x:c>
      <x:c r="K179" s="8"/>
      <x:c r="L179" s="8" t="str">
        <x:v>Verify behavior on a cold start and after the page reloads without destroying the native view.</x:v>
      </x:c>
      <x:c r="M179" s="8"/>
    </x:row>
    <x:row r="180">
      <x:c r="A180" s="8" t="str">
        <x:v>download</x:v>
      </x:c>
      <x:c r="B180" s="8" t="str">
        <x:v>macOS</x:v>
      </x:c>
      <x:c r="C180" s="8" t="str">
        <x:v>scroll offset resets</x:v>
      </x:c>
      <x:c r="D180" s="8"/>
      <x:c r="E180" s="8" t="str">
        <x:v>none yet</x:v>
      </x:c>
      <x:c r="F180" s="8" t="str">
        <x:v>Carla</x:v>
      </x:c>
      <x:c r="G180" s="8" t="str">
        <x:v>resolved</x:v>
      </x:c>
      <x:c r="H180" s="8" t="str">
        <x:v>P0</x:v>
      </x:c>
      <x:c r="I180" s="8" t="str">
        <x:v>2026-05-01</x:v>
      </x:c>
      <x:c r="J180" s="8" t="str">
        <x:v>2026-07-26</x:v>
      </x:c>
      <x:c r="K180" s="8"/>
      <x:c r="L180" s="8" t="str">
        <x:v>A blank cell here is intentional. The source workbook has notes placed away from the nearest table.</x:v>
      </x:c>
      <x:c r="M180" s="8"/>
    </x:row>
    <x:row r="181">
      <x:c r="A181" s="8" t="str">
        <x:v>cookies</x:v>
      </x:c>
      <x:c r="B181" s="8" t="str">
        <x:v>macOS</x:v>
      </x:c>
      <x:c r="C181" s="8" t="str">
        <x:v>large response times out</x:v>
      </x:c>
      <x:c r="D181" s="8"/>
      <x:c r="E181" s="8" t="str">
        <x:v>reproduce on clean profile</x:v>
      </x:c>
      <x:c r="F181" s="8" t="str">
        <x:v>Mei</x:v>
      </x:c>
      <x:c r="G181" s="8" t="str">
        <x:v>investigating</x:v>
      </x:c>
      <x:c r="H181" s="8" t="str">
        <x:v>P3</x:v>
      </x:c>
      <x:c r="I181" s="8" t="str">
        <x:v>2026-06-01</x:v>
      </x:c>
      <x:c r="J181" s="8" t="str">
        <x:v>2026-08-27</x:v>
      </x:c>
      <x:c r="K181" s="8" t="str">
        <x:v>https://developer.android.com/reference/android/webkit/WebView</x:v>
      </x:c>
      <x:c r="L181" s="8"/>
      <x:c r="M181" s="8"/>
    </x:row>
    <x:row r="182">
      <x:c r="A182" s="8" t="str">
        <x:v>input</x:v>
      </x:c>
      <x:c r="B182" s="8" t="str">
        <x:v>iOS</x:v>
      </x:c>
      <x:c r="C182" s="8" t="str">
        <x:v>scroll offset resets</x:v>
      </x:c>
      <x:c r="D182" s="8" t="str">
        <x:v>open case 1168; repeat after sleep.</x:v>
      </x:c>
      <x:c r="E182" s="8" t="str">
        <x:v>none yet</x:v>
      </x:c>
      <x:c r="F182" s="8" t="str">
        <x:v>Asha</x:v>
      </x:c>
      <x:c r="G182" s="8" t="str">
        <x:v>resolved</x:v>
      </x:c>
      <x:c r="H182" s="8" t="str">
        <x:v>P0</x:v>
      </x:c>
      <x:c r="I182" s="8" t="str">
        <x:v>2026-07-01</x:v>
      </x:c>
      <x:c r="J182" s="8" t="str">
        <x:v>2026-09-20</x:v>
      </x:c>
      <x:c r="K182" s="8" t="str">
        <x:v>https://learn.microsoft.com/en-us/microsoft-edge/webview2/concepts/security</x:v>
      </x:c>
      <x:c r="L182" s="8" t="str">
        <x:v>This sentence is long enough to exercise wrapping and downstream chunk boundaries in Markdown output.</x:v>
      </x:c>
      <x:c r="M182" s="8"/>
    </x:row>
    <x:row r="183">
      <x:c r="A183" s="8" t="str">
        <x:v>network</x:v>
      </x:c>
      <x:c r="B183" s="8" t="str">
        <x:v>macOS</x:v>
      </x:c>
      <x:c r="C183" s="8" t="str">
        <x:v>blank page after reload</x:v>
      </x:c>
      <x:c r="D183" s="8"/>
      <x:c r="E183" s="8" t="str">
        <x:v>none yet</x:v>
      </x:c>
      <x:c r="F183" s="8" t="str">
        <x:v>No owner</x:v>
      </x:c>
      <x:c r="G183" s="8" t="str">
        <x:v>open</x:v>
      </x:c>
      <x:c r="H183" s="8" t="str">
        <x:v>P0</x:v>
      </x:c>
      <x:c r="I183" s="8" t="str">
        <x:v>2026-08-01</x:v>
      </x:c>
      <x:c r="J183" s="8" t="str">
        <x:v>2026-01-21</x:v>
      </x:c>
      <x:c r="K183" s="8" t="str">
        <x:v>https://developer.apple.com/documentation/webkit/wkwebview</x:v>
      </x:c>
      <x:c r="L183" s="8"/>
      <x:c r="M183" s="8"/>
    </x:row>
    <x:row r="184">
      <x:c r="A184" s="8" t="str">
        <x:v>input</x:v>
      </x:c>
      <x:c r="B184" s="8" t="str">
        <x:v>Linux</x:v>
      </x:c>
      <x:c r="C184" s="8" t="str">
        <x:v>scroll offset resets</x:v>
      </x:c>
      <x:c r="D184" s="8" t="str">
        <x:v>open case 1170; repeat after reload.</x:v>
      </x:c>
      <x:c r="E184" s="8" t="str">
        <x:v>increase timeout</x:v>
      </x:c>
      <x:c r="F184" s="8" t="str">
        <x:v>Carla</x:v>
      </x:c>
      <x:c r="G184" s="8" t="str">
        <x:v>investigating</x:v>
      </x:c>
      <x:c r="H184" s="8" t="str">
        <x:v>P3</x:v>
      </x:c>
      <x:c r="I184" s="8" t="str">
        <x:v>2026-09-01</x:v>
      </x:c>
      <x:c r="J184" s="8" t="str">
        <x:v>2026-02-22</x:v>
      </x:c>
      <x:c r="K184" s="8" t="str">
        <x:v>https://learn.microsoft.com/en-us/microsoft-edge/webview2/concepts/security</x:v>
      </x:c>
      <x:c r="L184" s="8" t="str">
        <x:v>This sentence is long enough to exercise wrapping and downstream chunk boundaries in Markdown output.</x:v>
      </x:c>
      <x:c r="M184" s="8"/>
    </x:row>
    <x:row r="185">
      <x:c r="A185" s="8" t="str">
        <x:v>cookies</x:v>
      </x:c>
      <x:c r="B185" s="8" t="str">
        <x:v>Windows</x:v>
      </x:c>
      <x:c r="C185" s="8" t="str">
        <x:v>resource blocked by policy</x:v>
      </x:c>
      <x:c r="D185" s="8" t="str">
        <x:v>open case 1171; repeat after reload.</x:v>
      </x:c>
      <x:c r="E185" s="8" t="str">
        <x:v>increase timeout</x:v>
      </x:c>
      <x:c r="F185" s="8" t="str">
        <x:v>Asha</x:v>
      </x:c>
      <x:c r="G185" s="8" t="str">
        <x:v>investigating</x:v>
      </x:c>
      <x:c r="H185" s="8" t="str">
        <x:v>P0</x:v>
      </x:c>
      <x:c r="I185" s="8" t="str">
        <x:v>2026-01-01</x:v>
      </x:c>
      <x:c r="J185" s="8" t="str">
        <x:v>2026-03-23</x:v>
      </x:c>
      <x:c r="K185" s="8"/>
      <x:c r="L185" s="8" t="str">
        <x:v>The bridge callback is stable for small payloads, but large JSON messages show visible delay during navigation.</x:v>
      </x:c>
      <x:c r="M185" s="8"/>
    </x:row>
    <x:row r="186">
      <x:c r="A186" s="8" t="str">
        <x:v>network</x:v>
      </x:c>
      <x:c r="B186" s="8" t="str">
        <x:v>iOS</x:v>
      </x:c>
      <x:c r="C186" s="8" t="str">
        <x:v>scroll offset resets</x:v>
      </x:c>
      <x:c r="D186" s="8" t="str">
        <x:v>open case 1172; repeat after reload.</x:v>
      </x:c>
      <x:c r="E186" s="8" t="str">
        <x:v>reproduce on clean profile</x:v>
      </x:c>
      <x:c r="F186" s="8" t="str">
        <x:v>No owner</x:v>
      </x:c>
      <x:c r="G186" s="8" t="str">
        <x:v>investigating</x:v>
      </x:c>
      <x:c r="H186" s="8" t="str">
        <x:v>P1</x:v>
      </x:c>
      <x:c r="I186" s="8" t="str">
        <x:v>2026-02-01</x:v>
      </x:c>
      <x:c r="J186" s="8" t="str">
        <x:v>2026-04-24</x:v>
      </x:c>
      <x:c r="K186" s="8" t="str">
        <x:v>https://learn.microsoft.com/en-us/microsoft-edge/webview2/concepts/security</x:v>
      </x:c>
      <x:c r="L186" s="8" t="str">
        <x:v>The owner field was not captured in the original notes, so classification should remain conservative.</x:v>
      </x:c>
      <x:c r="M186" s="8"/>
    </x:row>
    <x:row r="187">
      <x:c r="A187" s="8" t="str">
        <x:v>input</x:v>
      </x:c>
      <x:c r="B187" s="8" t="str">
        <x:v>Android</x:v>
      </x:c>
      <x:c r="C187" s="8" t="str">
        <x:v>blank page after reload</x:v>
      </x:c>
      <x:c r="D187" s="8" t="str">
        <x:v>open case 1173; repeat after reload.</x:v>
      </x:c>
      <x:c r="E187" s="8" t="str">
        <x:v>retry after NavigationCompleted</x:v>
      </x:c>
      <x:c r="F187" s="8" t="str">
        <x:v>Ben</x:v>
      </x:c>
      <x:c r="G187" s="8" t="str">
        <x:v>open</x:v>
      </x:c>
      <x:c r="H187" s="8" t="str">
        <x:v>P0</x:v>
      </x:c>
      <x:c r="I187" s="8" t="str">
        <x:v>2026-03-01</x:v>
      </x:c>
      <x:c r="J187" s="8" t="str">
        <x:v>2026-05-25</x:v>
      </x:c>
      <x:c r="K187" s="8"/>
      <x:c r="L187" s="8" t="str">
        <x:v>Observed in a local test run: the content rendered, but the console warning appeared twice.</x:v>
      </x:c>
      <x:c r="M187" s="8"/>
    </x:row>
    <x:row r="188">
      <x:c r="A188" s="8" t="str">
        <x:v>network</x:v>
      </x:c>
      <x:c r="B188" s="8" t="str">
        <x:v>Android</x:v>
      </x:c>
      <x:c r="C188" s="8" t="str">
        <x:v>console event missing</x:v>
      </x:c>
      <x:c r="D188" s="8"/>
      <x:c r="E188" s="8" t="str">
        <x:v>set explicit user agent</x:v>
      </x:c>
      <x:c r="F188" s="8" t="str">
        <x:v>Ben</x:v>
      </x:c>
      <x:c r="G188" s="8" t="str">
        <x:v>needs reproduction</x:v>
      </x:c>
      <x:c r="H188" s="8" t="str">
        <x:v>P3</x:v>
      </x:c>
      <x:c r="I188" s="8" t="str">
        <x:v>2026-04-01</x:v>
      </x:c>
      <x:c r="J188" s="8" t="str">
        <x:v>2026-06-26</x:v>
      </x:c>
      <x:c r="K188" s="8" t="str">
        <x:v>https://developer.microsoft.com/en-us/microsoft-edge/webview2/</x:v>
      </x:c>
      <x:c r="L188" s="8" t="str">
        <x:v>Observed in a local test run: the content rendered, but the console warning appeared twice.</x:v>
      </x:c>
      <x:c r="M188" s="8"/>
    </x:row>
    <x:row r="189">
      <x:c r="A189" s="8" t="str">
        <x:v>network</x:v>
      </x:c>
      <x:c r="B189" s="8" t="str">
        <x:v>macOS</x:v>
      </x:c>
      <x:c r="C189" s="8" t="str">
        <x:v>console event missing</x:v>
      </x:c>
      <x:c r="D189" s="8" t="str">
        <x:v>open case 1175; repeat after offline toggle.</x:v>
      </x:c>
      <x:c r="E189" s="8" t="str">
        <x:v>reproduce on clean profile</x:v>
      </x:c>
      <x:c r="F189" s="8" t="str">
        <x:v>Asha</x:v>
      </x:c>
      <x:c r="G189" s="8" t="str">
        <x:v>resolved</x:v>
      </x:c>
      <x:c r="H189" s="8" t="str">
        <x:v>P1</x:v>
      </x:c>
      <x:c r="I189" s="8" t="str">
        <x:v>2026-05-01</x:v>
      </x:c>
      <x:c r="J189" s="8" t="str">
        <x:v>2026-07-27</x:v>
      </x:c>
      <x:c r="K189" s="8"/>
      <x:c r="L189" s="8" t="str">
        <x:v>This sentence is long enough to exercise wrapping and downstream chunk boundaries in Markdown output.</x:v>
      </x:c>
      <x:c r="M189" s="8"/>
    </x:row>
    <x:row r="190">
      <x:c r="A190" s="8" t="str">
        <x:v>download</x:v>
      </x:c>
      <x:c r="B190" s="8" t="str">
        <x:v>Linux</x:v>
      </x:c>
      <x:c r="C190" s="8" t="str">
        <x:v>large response times out</x:v>
      </x:c>
      <x:c r="D190" s="8" t="str">
        <x:v>open case 1176; repeat after offline toggle.</x:v>
      </x:c>
      <x:c r="E190" s="8" t="str">
        <x:v>none yet</x:v>
      </x:c>
      <x:c r="F190" s="8" t="str">
        <x:v>Asha</x:v>
      </x:c>
      <x:c r="G190" s="8" t="str">
        <x:v>needs reproduction</x:v>
      </x:c>
      <x:c r="H190" s="8" t="str">
        <x:v>P1</x:v>
      </x:c>
      <x:c r="I190" s="8" t="str">
        <x:v>2026-06-01</x:v>
      </x:c>
      <x:c r="J190" s="8" t="str">
        <x:v>2026-08-20</x:v>
      </x:c>
      <x:c r="K190" s="8"/>
      <x:c r="L190" s="8"/>
      <x:c r="M190" s="8"/>
    </x:row>
    <x:row r="191">
      <x:c r="A191" s="8" t="str">
        <x:v>network</x:v>
      </x:c>
      <x:c r="B191" s="8" t="str">
        <x:v>macOS</x:v>
      </x:c>
      <x:c r="C191" s="8" t="str">
        <x:v>console event missing</x:v>
      </x:c>
      <x:c r="D191" s="8"/>
      <x:c r="E191" s="8" t="str">
        <x:v>set explicit user agent</x:v>
      </x:c>
      <x:c r="F191" s="8" t="str">
        <x:v>Mei</x:v>
      </x:c>
      <x:c r="G191" s="8" t="str">
        <x:v>blocked</x:v>
      </x:c>
      <x:c r="H191" s="8" t="str">
        <x:v>P3</x:v>
      </x:c>
      <x:c r="I191" s="8" t="str">
        <x:v>2026-07-01</x:v>
      </x:c>
      <x:c r="J191" s="8" t="str">
        <x:v>2026-09-21</x:v>
      </x:c>
      <x:c r="K191" s="8"/>
      <x:c r="L191" s="8" t="str">
        <x:v>Follow-up: compare the result when the network security policy is relaxed versus when it is enforced.</x:v>
      </x:c>
      <x:c r="M191" s="8"/>
    </x:row>
    <x:row r="192">
      <x:c r="A192" s="8" t="str">
        <x:v>network</x:v>
      </x:c>
      <x:c r="B192" s="8" t="str">
        <x:v>macOS</x:v>
      </x:c>
      <x:c r="C192" s="8" t="str">
        <x:v>resource blocked by policy</x:v>
      </x:c>
      <x:c r="D192" s="8" t="str">
        <x:v>open case 1178; repeat after sleep.</x:v>
      </x:c>
      <x:c r="E192" s="8" t="str">
        <x:v>set explicit user agent</x:v>
      </x:c>
      <x:c r="F192" s="8" t="str">
        <x:v>Asha</x:v>
      </x:c>
      <x:c r="G192" s="8" t="str">
        <x:v>resolved</x:v>
      </x:c>
      <x:c r="H192" s="8" t="str">
        <x:v>P3</x:v>
      </x:c>
      <x:c r="I192" s="8" t="str">
        <x:v>2026-08-01</x:v>
      </x:c>
      <x:c r="J192" s="8" t="str">
        <x:v>2026-01-22</x:v>
      </x:c>
      <x:c r="K192" s="8" t="str">
        <x:v>https://developer.microsoft.com/en-us/microsoft-edge/webview2/</x:v>
      </x:c>
      <x:c r="L192" s="8" t="str">
        <x:v>Follow-up: compare the result when the network security policy is relaxed versus when it is enforced.</x:v>
      </x:c>
      <x:c r="M192" s="8"/>
    </x:row>
    <x:row r="193">
      <x:c r="A193" s="8" t="str">
        <x:v>network</x:v>
      </x:c>
      <x:c r="B193" s="8" t="str">
        <x:v>Linux</x:v>
      </x:c>
      <x:c r="C193" s="8" t="str">
        <x:v>large response times out</x:v>
      </x:c>
      <x:c r="D193" s="8" t="str">
        <x:v>open case 1179; repeat after sleep.</x:v>
      </x:c>
      <x:c r="E193" s="8" t="str">
        <x:v>none yet</x:v>
      </x:c>
      <x:c r="F193" s="8" t="str">
        <x:v>Ben</x:v>
      </x:c>
      <x:c r="G193" s="8" t="str">
        <x:v>resolved</x:v>
      </x:c>
      <x:c r="H193" s="8" t="str">
        <x:v>P3</x:v>
      </x:c>
      <x:c r="I193" s="8" t="str">
        <x:v>2026-09-01</x:v>
      </x:c>
      <x:c r="J193" s="8" t="str">
        <x:v>2026-02-23</x:v>
      </x:c>
      <x:c r="K193" s="8" t="str">
        <x:v>https://github.com/react-native-webview/react-native-webview</x:v>
      </x:c>
      <x:c r="L193" s="8" t="str">
        <x:v>Verify behavior on a cold start and after the page reloads without destroying the native view.</x:v>
      </x:c>
      <x:c r="M193" s="8"/>
    </x:row>
    <x:row r="194">
      <x:c r="A194" s="8" t="str">
        <x:v>download</x:v>
      </x:c>
      <x:c r="B194" s="8" t="str">
        <x:v>Windows</x:v>
      </x:c>
      <x:c r="C194" s="8" t="str">
        <x:v>resource blocked by policy</x:v>
      </x:c>
      <x:c r="D194" s="8" t="str">
        <x:v>open case 1180; repeat after offline toggle.</x:v>
      </x:c>
      <x:c r="E194" s="8" t="str">
        <x:v>increase timeout</x:v>
      </x:c>
      <x:c r="F194" s="8" t="str">
        <x:v>Diego</x:v>
      </x:c>
      <x:c r="G194" s="8" t="str">
        <x:v>open</x:v>
      </x:c>
      <x:c r="H194" s="8" t="str">
        <x:v>P0</x:v>
      </x:c>
      <x:c r="I194" s="8" t="str">
        <x:v>2026-01-01</x:v>
      </x:c>
      <x:c r="J194" s="8" t="str">
        <x:v>2026-03-24</x:v>
      </x:c>
      <x:c r="K194" s="8"/>
      <x:c r="L194" s="8" t="str">
        <x:v>The owner field was not captured in the original notes, so classification should remain conservative.</x:v>
      </x:c>
      <x:c r="M194" s="8"/>
    </x:row>
    <x:row r="195">
      <x:c r="A195" s="8" t="str">
        <x:v>cookies</x:v>
      </x:c>
      <x:c r="B195" s="8" t="str">
        <x:v>Linux</x:v>
      </x:c>
      <x:c r="C195" s="8" t="str">
        <x:v>large response times out</x:v>
      </x:c>
      <x:c r="D195" s="8" t="str">
        <x:v>open case 1181; repeat after cold start.</x:v>
      </x:c>
      <x:c r="E195" s="8" t="str">
        <x:v>set explicit user agent</x:v>
      </x:c>
      <x:c r="F195" s="8" t="str">
        <x:v>Mei</x:v>
      </x:c>
      <x:c r="G195" s="8" t="str">
        <x:v>blocked</x:v>
      </x:c>
      <x:c r="H195" s="8" t="str">
        <x:v>P2</x:v>
      </x:c>
      <x:c r="I195" s="8" t="str">
        <x:v>2026-02-01</x:v>
      </x:c>
      <x:c r="J195" s="8" t="str">
        <x:v>2026-04-25</x:v>
      </x:c>
      <x:c r="K195" s="8"/>
      <x:c r="L195" s="8"/>
      <x:c r="M195" s="8"/>
    </x:row>
    <x:row r="196">
      <x:c r="A196" s="8" t="str">
        <x:v>download</x:v>
      </x:c>
      <x:c r="B196" s="8" t="str">
        <x:v>Linux</x:v>
      </x:c>
      <x:c r="C196" s="8" t="str">
        <x:v>large response times out</x:v>
      </x:c>
      <x:c r="D196" s="8" t="str">
        <x:v>open case 1182; repeat after cold start.</x:v>
      </x:c>
      <x:c r="E196" s="8" t="str">
        <x:v>set explicit user agent</x:v>
      </x:c>
      <x:c r="F196" s="8" t="str">
        <x:v>Mei</x:v>
      </x:c>
      <x:c r="G196" s="8" t="str">
        <x:v>blocked</x:v>
      </x:c>
      <x:c r="H196" s="8" t="str">
        <x:v>P2</x:v>
      </x:c>
      <x:c r="I196" s="8" t="str">
        <x:v>2026-03-01</x:v>
      </x:c>
      <x:c r="J196" s="8" t="str">
        <x:v>2026-05-26</x:v>
      </x:c>
      <x:c r="K196" s="8" t="str">
        <x:v>https://developer.apple.com/documentation/webkit/wkwebview</x:v>
      </x:c>
      <x:c r="L196" s="8" t="str">
        <x:v>The owner field was not captured in the original notes, so classification should remain conservative.</x:v>
      </x:c>
      <x:c r="M196" s="8"/>
    </x:row>
    <x:row r="197">
      <x:c r="A197" s="8" t="str">
        <x:v>input</x:v>
      </x:c>
      <x:c r="B197" s="8" t="str">
        <x:v>iOS</x:v>
      </x:c>
      <x:c r="C197" s="8" t="str">
        <x:v>large response times out</x:v>
      </x:c>
      <x:c r="D197" s="8" t="str">
        <x:v>open case 1183; repeat after offline toggle.</x:v>
      </x:c>
      <x:c r="E197" s="8" t="str">
        <x:v>retry after NavigationCompleted</x:v>
      </x:c>
      <x:c r="F197" s="8" t="str">
        <x:v>Diego</x:v>
      </x:c>
      <x:c r="G197" s="8" t="str">
        <x:v>blocked</x:v>
      </x:c>
      <x:c r="H197" s="8" t="str">
        <x:v>P3</x:v>
      </x:c>
      <x:c r="I197" s="8" t="str">
        <x:v>2026-04-01</x:v>
      </x:c>
      <x:c r="J197" s="8" t="str">
        <x:v>2026-06-27</x:v>
      </x:c>
      <x:c r="K197" s="8"/>
      <x:c r="L197" s="8" t="str">
        <x:v>The bridge callback is stable for small payloads, but large JSON messages show visible delay during navigation.</x:v>
      </x:c>
      <x:c r="M197" s="8"/>
    </x:row>
    <x:row r="198">
      <x:c r="A198" s="8" t="str">
        <x:v>input</x:v>
      </x:c>
      <x:c r="B198" s="8" t="str">
        <x:v>Linux</x:v>
      </x:c>
      <x:c r="C198" s="8" t="str">
        <x:v>resource blocked by policy</x:v>
      </x:c>
      <x:c r="D198" s="8" t="str">
        <x:v>open case 1184; repeat after cold start.</x:v>
      </x:c>
      <x:c r="E198" s="8" t="str">
        <x:v>use a bridge queue</x:v>
      </x:c>
      <x:c r="F198" s="8" t="str">
        <x:v>Ben</x:v>
      </x:c>
      <x:c r="G198" s="8" t="str">
        <x:v>resolved</x:v>
      </x:c>
      <x:c r="H198" s="8" t="str">
        <x:v>P3</x:v>
      </x:c>
      <x:c r="I198" s="8" t="str">
        <x:v>2026-05-01</x:v>
      </x:c>
      <x:c r="J198" s="8" t="str">
        <x:v>2026-07-20</x:v>
      </x:c>
      <x:c r="K198" s="8"/>
      <x:c r="L198" s="8" t="str">
        <x:v>A blank cell here is intentional. The source workbook has notes placed away from the nearest table.</x:v>
      </x:c>
      <x:c r="M198" s="8"/>
    </x:row>
    <x:row r="199">
      <x:c r="A199" s="8" t="str">
        <x:v>network</x:v>
      </x:c>
      <x:c r="B199" s="8" t="str">
        <x:v>Windows</x:v>
      </x:c>
      <x:c r="C199" s="8" t="str">
        <x:v>focus leaves native control</x:v>
      </x:c>
      <x:c r="D199" s="8" t="str">
        <x:v>open case 1185; repeat after cold start.</x:v>
      </x:c>
      <x:c r="E199" s="8" t="str">
        <x:v>set explicit user agent</x:v>
      </x:c>
      <x:c r="F199" s="8" t="str">
        <x:v>Diego</x:v>
      </x:c>
      <x:c r="G199" s="8" t="str">
        <x:v>investigating</x:v>
      </x:c>
      <x:c r="H199" s="8" t="str">
        <x:v>P3</x:v>
      </x:c>
      <x:c r="I199" s="8" t="str">
        <x:v>2026-06-01</x:v>
      </x:c>
      <x:c r="J199" s="8" t="str">
        <x:v>2026-08-21</x:v>
      </x:c>
      <x:c r="K199" s="8" t="str">
        <x:v>https://learn.microsoft.com/en-us/microsoft-edge/webview2/concepts/security</x:v>
      </x:c>
      <x:c r="L199" s="8"/>
      <x:c r="M199" s="8"/>
    </x:row>
    <x:row r="200">
      <x:c r="A200" s="8"/>
      <x:c r="B200" s="8"/>
      <x:c r="C200" s="8"/>
      <x:c r="D200" s="8"/>
      <x:c r="E200" s="8"/>
      <x:c r="F200" s="8"/>
      <x:c r="G200" s="8"/>
      <x:c r="H200" s="8"/>
      <x:c r="I200" s="8"/>
      <x:c r="J200" s="8"/>
      <x:c r="K200" s="8"/>
      <x:c r="L200" s="8"/>
      <x:c r="M200" s="8"/>
    </x:row>
    <x:row r="201">
      <x:c r="A201" s="8" t="str">
        <x:v>cookies</x:v>
      </x:c>
      <x:c r="B201" s="8" t="str">
        <x:v>macOS</x:v>
      </x:c>
      <x:c r="C201" s="8" t="str">
        <x:v>console event missing</x:v>
      </x:c>
      <x:c r="D201" s="8" t="str">
        <x:v>open case 1186; repeat after cold start.</x:v>
      </x:c>
      <x:c r="E201" s="8" t="str">
        <x:v>use a bridge queue</x:v>
      </x:c>
      <x:c r="F201" s="8" t="str">
        <x:v>Diego</x:v>
      </x:c>
      <x:c r="G201" s="8" t="str">
        <x:v>blocked</x:v>
      </x:c>
      <x:c r="H201" s="8" t="str">
        <x:v>P3</x:v>
      </x:c>
      <x:c r="I201" s="8" t="str">
        <x:v>2026-07-01</x:v>
      </x:c>
      <x:c r="J201" s="8" t="str">
        <x:v>2026-09-22</x:v>
      </x:c>
      <x:c r="K201" s="8"/>
      <x:c r="L201" s="8" t="str">
        <x:v>The owner field was not captured in the original notes, so classification should remain conservative.</x:v>
      </x:c>
      <x:c r="M201" s="8"/>
    </x:row>
    <x:row r="202">
      <x:c r="A202" s="8" t="str">
        <x:v>cookies</x:v>
      </x:c>
      <x:c r="B202" s="8" t="str">
        <x:v>Windows</x:v>
      </x:c>
      <x:c r="C202" s="8" t="str">
        <x:v>console event missing</x:v>
      </x:c>
      <x:c r="D202" s="8"/>
      <x:c r="E202" s="8" t="str">
        <x:v>reproduce on clean profile</x:v>
      </x:c>
      <x:c r="F202" s="8" t="str">
        <x:v>Mei</x:v>
      </x:c>
      <x:c r="G202" s="8" t="str">
        <x:v>open</x:v>
      </x:c>
      <x:c r="H202" s="8" t="str">
        <x:v>P1</x:v>
      </x:c>
      <x:c r="I202" s="8" t="str">
        <x:v>2026-08-01</x:v>
      </x:c>
      <x:c r="J202" s="8" t="str">
        <x:v>2026-01-23</x:v>
      </x:c>
      <x:c r="K202" s="8" t="str">
        <x:v>https://developer.microsoft.com/en-us/microsoft-edge/webview2/</x:v>
      </x:c>
      <x:c r="L202" s="8" t="str">
        <x:v>A blank cell here is intentional. The source workbook has notes placed away from the nearest table.</x:v>
      </x:c>
      <x:c r="M202" s="8"/>
    </x:row>
    <x:row r="203">
      <x:c r="A203" s="8" t="str">
        <x:v>Category</x:v>
      </x:c>
      <x:c r="B203" s="8" t="str">
        <x:v>Platform</x:v>
      </x:c>
      <x:c r="C203" s="8" t="str">
        <x:v>Symptom</x:v>
      </x:c>
      <x:c r="D203" s="8" t="str">
        <x:v>Reproduction</x:v>
      </x:c>
      <x:c r="E203" s="8" t="str">
        <x:v>Workaround</x:v>
      </x:c>
      <x:c r="F203" s="8" t="str">
        <x:v>Owner</x:v>
      </x:c>
      <x:c r="G203" s="8" t="str">
        <x:v>Status</x:v>
      </x:c>
      <x:c r="H203" s="8" t="str">
        <x:v>Severity</x:v>
      </x:c>
      <x:c r="I203" s="8" t="str">
        <x:v>First seen</x:v>
      </x:c>
      <x:c r="J203" s="8" t="str">
        <x:v>Last seen</x:v>
      </x:c>
      <x:c r="K203" s="8" t="str">
        <x:v>Reference</x:v>
      </x:c>
      <x:c r="L203" s="8" t="str">
        <x:v>Free note</x:v>
      </x:c>
      <x:c r="M203" s="8" t="str">
        <x:v>repeated header</x:v>
      </x:c>
    </x:row>
    <x:row r="204">
      <x:c r="A204" s="8" t="str">
        <x:v>network</x:v>
      </x:c>
      <x:c r="B204" s="8" t="str">
        <x:v>Android</x:v>
      </x:c>
      <x:c r="C204" s="8" t="str">
        <x:v>scroll offset resets</x:v>
      </x:c>
      <x:c r="D204" s="8" t="str">
        <x:v>open case 1188; repeat after reload.</x:v>
      </x:c>
      <x:c r="E204" s="8" t="str">
        <x:v>use a bridge queue</x:v>
      </x:c>
      <x:c r="F204" s="8" t="str">
        <x:v>Asha</x:v>
      </x:c>
      <x:c r="G204" s="8" t="str">
        <x:v>open</x:v>
      </x:c>
      <x:c r="H204" s="8" t="str">
        <x:v>P1</x:v>
      </x:c>
      <x:c r="I204" s="8" t="str">
        <x:v>2026-09-01</x:v>
      </x:c>
      <x:c r="J204" s="8" t="str">
        <x:v>2026-02-24</x:v>
      </x:c>
      <x:c r="K204" s="8" t="str">
        <x:v>https://learn.microsoft.com/en-us/microsoft-edge/webview2/concepts/security</x:v>
      </x:c>
      <x:c r="L204" s="8"/>
      <x:c r="M204" s="8"/>
    </x:row>
    <x:row r="205">
      <x:c r="A205" s="8" t="str">
        <x:v>cookies</x:v>
      </x:c>
      <x:c r="B205" s="8" t="str">
        <x:v>Windows</x:v>
      </x:c>
      <x:c r="C205" s="8" t="str">
        <x:v>resource blocked by policy</x:v>
      </x:c>
      <x:c r="D205" s="8" t="str">
        <x:v>open case 1189; repeat after reload.</x:v>
      </x:c>
      <x:c r="E205" s="8" t="str">
        <x:v>reproduce on clean profile</x:v>
      </x:c>
      <x:c r="F205" s="8" t="str">
        <x:v>Ben</x:v>
      </x:c>
      <x:c r="G205" s="8" t="str">
        <x:v>open</x:v>
      </x:c>
      <x:c r="H205" s="8" t="str">
        <x:v>P0</x:v>
      </x:c>
      <x:c r="I205" s="8" t="str">
        <x:v>2026-01-01</x:v>
      </x:c>
      <x:c r="J205" s="8" t="str">
        <x:v>2026-03-25</x:v>
      </x:c>
      <x:c r="K205" s="8" t="str">
        <x:v>https://developer.microsoft.com/en-us/microsoft-edge/webview2/</x:v>
      </x:c>
      <x:c r="L205" s="8" t="str">
        <x:v>Verify behavior on a cold start and after the page reloads without destroying the native view.</x:v>
      </x:c>
      <x:c r="M205" s="8"/>
    </x:row>
    <x:row r="206">
      <x:c r="A206" s="8" t="str">
        <x:v>download</x:v>
      </x:c>
      <x:c r="B206" s="8" t="str">
        <x:v>iOS</x:v>
      </x:c>
      <x:c r="C206" s="8" t="str">
        <x:v>console event missing</x:v>
      </x:c>
      <x:c r="D206" s="8" t="str">
        <x:v>open case 1190; repeat after reload.</x:v>
      </x:c>
      <x:c r="E206" s="8" t="str">
        <x:v>increase timeout</x:v>
      </x:c>
      <x:c r="F206" s="8" t="str">
        <x:v>Diego</x:v>
      </x:c>
      <x:c r="G206" s="8" t="str">
        <x:v>needs reproduction</x:v>
      </x:c>
      <x:c r="H206" s="8" t="str">
        <x:v>P3</x:v>
      </x:c>
      <x:c r="I206" s="8" t="str">
        <x:v>2026-02-01</x:v>
      </x:c>
      <x:c r="J206" s="8" t="str">
        <x:v>2026-04-26</x:v>
      </x:c>
      <x:c r="K206" s="8" t="str">
        <x:v>https://learn.microsoft.com/en-us/microsoft-edge/webview2/concepts/security</x:v>
      </x:c>
      <x:c r="L206" s="8"/>
      <x:c r="M206" s="8"/>
    </x:row>
    <x:row r="207">
      <x:c r="A207" s="8" t="str">
        <x:v>network</x:v>
      </x:c>
      <x:c r="B207" s="8" t="str">
        <x:v>Windows</x:v>
      </x:c>
      <x:c r="C207" s="8" t="str">
        <x:v>console event missing</x:v>
      </x:c>
      <x:c r="D207" s="8"/>
      <x:c r="E207" s="8" t="str">
        <x:v>none yet</x:v>
      </x:c>
      <x:c r="F207" s="8" t="str">
        <x:v>Asha</x:v>
      </x:c>
      <x:c r="G207" s="8" t="str">
        <x:v>investigating</x:v>
      </x:c>
      <x:c r="H207" s="8" t="str">
        <x:v>P3</x:v>
      </x:c>
      <x:c r="I207" s="8" t="str">
        <x:v>2026-03-01</x:v>
      </x:c>
      <x:c r="J207" s="8" t="str">
        <x:v>2026-05-27</x:v>
      </x:c>
      <x:c r="K207" s="8"/>
      <x:c r="L207" s="8"/>
      <x:c r="M207" s="8"/>
    </x:row>
    <x:row r="208">
      <x:c r="A208" s="8" t="str">
        <x:v>network</x:v>
      </x:c>
      <x:c r="B208" s="8" t="str">
        <x:v>Android</x:v>
      </x:c>
      <x:c r="C208" s="8" t="str">
        <x:v>console event missing</x:v>
      </x:c>
      <x:c r="D208" s="8" t="str">
        <x:v>open case 1192; repeat after reload.</x:v>
      </x:c>
      <x:c r="E208" s="8" t="str">
        <x:v>retry after NavigationCompleted</x:v>
      </x:c>
      <x:c r="F208" s="8" t="str">
        <x:v>Ben</x:v>
      </x:c>
      <x:c r="G208" s="8" t="str">
        <x:v>open</x:v>
      </x:c>
      <x:c r="H208" s="8" t="str">
        <x:v>P0</x:v>
      </x:c>
      <x:c r="I208" s="8" t="str">
        <x:v>2026-04-01</x:v>
      </x:c>
      <x:c r="J208" s="8" t="str">
        <x:v>2026-06-20</x:v>
      </x:c>
      <x:c r="K208" s="8" t="str">
        <x:v>https://github.com/react-native-webview/react-native-webview</x:v>
      </x:c>
      <x:c r="L208" s="8"/>
      <x:c r="M208" s="8"/>
    </x:row>
    <x:row r="209">
      <x:c r="A209" s="8" t="str">
        <x:v>cookies</x:v>
      </x:c>
      <x:c r="B209" s="8" t="str">
        <x:v>macOS</x:v>
      </x:c>
      <x:c r="C209" s="8" t="str">
        <x:v>scroll offset resets</x:v>
      </x:c>
      <x:c r="D209" s="8" t="str">
        <x:v>open case 1193; repeat after sleep.</x:v>
      </x:c>
      <x:c r="E209" s="8" t="str">
        <x:v>retry after NavigationCompleted</x:v>
      </x:c>
      <x:c r="F209" s="8" t="str">
        <x:v>Diego</x:v>
      </x:c>
      <x:c r="G209" s="8" t="str">
        <x:v>needs reproduction</x:v>
      </x:c>
      <x:c r="H209" s="8" t="str">
        <x:v>P0</x:v>
      </x:c>
      <x:c r="I209" s="8" t="str">
        <x:v>2026-05-01</x:v>
      </x:c>
      <x:c r="J209" s="8" t="str">
        <x:v>2026-07-21</x:v>
      </x:c>
      <x:c r="K209" s="8"/>
      <x:c r="L209" s="8" t="str">
        <x:v>The bridge callback is stable for small payloads, but large JSON messages show visible delay during navigation.</x:v>
      </x:c>
      <x:c r="M209" s="8"/>
    </x:row>
    <x:row r="210">
      <x:c r="A210" s="8" t="str">
        <x:v>rendering</x:v>
      </x:c>
      <x:c r="B210" s="8" t="str">
        <x:v>Linux</x:v>
      </x:c>
      <x:c r="C210" s="8" t="str">
        <x:v>resource blocked by policy</x:v>
      </x:c>
      <x:c r="D210" s="8" t="str">
        <x:v>open case 1194; repeat after sleep.</x:v>
      </x:c>
      <x:c r="E210" s="8" t="str">
        <x:v>none yet</x:v>
      </x:c>
      <x:c r="F210" s="8" t="str">
        <x:v>Ben</x:v>
      </x:c>
      <x:c r="G210" s="8" t="str">
        <x:v>blocked</x:v>
      </x:c>
      <x:c r="H210" s="8" t="str">
        <x:v>P3</x:v>
      </x:c>
      <x:c r="I210" s="8" t="str">
        <x:v>2026-06-01</x:v>
      </x:c>
      <x:c r="J210" s="8" t="str">
        <x:v>2026-08-22</x:v>
      </x:c>
      <x:c r="K210" s="8" t="str">
        <x:v>https://github.com/react-native-webview/react-native-webview</x:v>
      </x:c>
      <x:c r="L210" s="8"/>
      <x:c r="M210" s="8"/>
    </x:row>
    <x:row r="211">
      <x:c r="A211" s="8" t="str">
        <x:v>download</x:v>
      </x:c>
      <x:c r="B211" s="8" t="str">
        <x:v>iOS</x:v>
      </x:c>
      <x:c r="C211" s="8" t="str">
        <x:v>resource blocked by policy</x:v>
      </x:c>
      <x:c r="D211" s="8" t="str">
        <x:v>open case 1195; repeat after offline toggle.</x:v>
      </x:c>
      <x:c r="E211" s="8" t="str">
        <x:v>use a bridge queue</x:v>
      </x:c>
      <x:c r="F211" s="8" t="str">
        <x:v>Asha</x:v>
      </x:c>
      <x:c r="G211" s="8" t="str">
        <x:v>open</x:v>
      </x:c>
      <x:c r="H211" s="8" t="str">
        <x:v>P0</x:v>
      </x:c>
      <x:c r="I211" s="8" t="str">
        <x:v>2026-07-01</x:v>
      </x:c>
      <x:c r="J211" s="8" t="str">
        <x:v>2026-09-23</x:v>
      </x:c>
      <x:c r="K211" s="8" t="str">
        <x:v>https://developer.android.com/reference/android/webkit/WebView</x:v>
      </x:c>
      <x:c r="L211" s="8" t="str">
        <x:v>This sentence is long enough to exercise wrapping and downstream chunk boundaries in Markdown output.</x:v>
      </x:c>
      <x:c r="M211" s="8"/>
    </x:row>
    <x:row r="212">
      <x:c r="A212" s="8" t="str">
        <x:v>input</x:v>
      </x:c>
      <x:c r="B212" s="8" t="str">
        <x:v>Linux</x:v>
      </x:c>
      <x:c r="C212" s="8" t="str">
        <x:v>resource blocked by policy</x:v>
      </x:c>
      <x:c r="D212" s="8" t="str">
        <x:v>open case 1196; repeat after reload.</x:v>
      </x:c>
      <x:c r="E212" s="8" t="str">
        <x:v>increase timeout</x:v>
      </x:c>
      <x:c r="F212" s="8" t="str">
        <x:v>No owner</x:v>
      </x:c>
      <x:c r="G212" s="8" t="str">
        <x:v>investigating</x:v>
      </x:c>
      <x:c r="H212" s="8" t="str">
        <x:v>P3</x:v>
      </x:c>
      <x:c r="I212" s="8" t="str">
        <x:v>2026-08-01</x:v>
      </x:c>
      <x:c r="J212" s="8" t="str">
        <x:v>2026-01-24</x:v>
      </x:c>
      <x:c r="K212" s="8"/>
      <x:c r="L212" s="8" t="str">
        <x:v>Potential duplicate: this paragraph is repeated in another section to test deduplication and chunk metadata.</x:v>
      </x:c>
      <x:c r="M212" s="8"/>
    </x:row>
    <x:row r="213">
      <x:c r="A213" s="8" t="str">
        <x:v>network</x:v>
      </x:c>
      <x:c r="B213" s="8" t="str">
        <x:v>Windows</x:v>
      </x:c>
      <x:c r="C213" s="8" t="str">
        <x:v>blank page after reload</x:v>
      </x:c>
      <x:c r="D213" s="8" t="str">
        <x:v>open case 1197; repeat after reload.</x:v>
      </x:c>
      <x:c r="E213" s="8" t="str">
        <x:v>set explicit user agent</x:v>
      </x:c>
      <x:c r="F213" s="8" t="str">
        <x:v>Mei</x:v>
      </x:c>
      <x:c r="G213" s="8" t="str">
        <x:v>blocked</x:v>
      </x:c>
      <x:c r="H213" s="8" t="str">
        <x:v>P0</x:v>
      </x:c>
      <x:c r="I213" s="8" t="str">
        <x:v>2026-09-01</x:v>
      </x:c>
      <x:c r="J213" s="8" t="str">
        <x:v>2026-02-25</x:v>
      </x:c>
      <x:c r="K213" s="8" t="str">
        <x:v>https://developer.microsoft.com/en-us/microsoft-edge/webview2/</x:v>
      </x:c>
      <x:c r="L213" s="8" t="str">
        <x:v>This sentence is long enough to exercise wrapping and downstream chunk boundaries in Markdown output.</x:v>
      </x:c>
      <x:c r="M213" s="8"/>
    </x:row>
    <x:row r="214">
      <x:c r="A214" s="8" t="str">
        <x:v>download</x:v>
      </x:c>
      <x:c r="B214" s="8" t="str">
        <x:v>Linux</x:v>
      </x:c>
      <x:c r="C214" s="8" t="str">
        <x:v>large response times out</x:v>
      </x:c>
      <x:c r="D214" s="8" t="str">
        <x:v>open case 1198; repeat after offline toggle.</x:v>
      </x:c>
      <x:c r="E214" s="8" t="str">
        <x:v>set explicit user agent</x:v>
      </x:c>
      <x:c r="F214" s="8" t="str">
        <x:v>Mei</x:v>
      </x:c>
      <x:c r="G214" s="8" t="str">
        <x:v>needs reproduction</x:v>
      </x:c>
      <x:c r="H214" s="8" t="str">
        <x:v>P1</x:v>
      </x:c>
      <x:c r="I214" s="8" t="str">
        <x:v>2026-01-01</x:v>
      </x:c>
      <x:c r="J214" s="8" t="str">
        <x:v>2026-03-26</x:v>
      </x:c>
      <x:c r="K214" s="8" t="str">
        <x:v>https://learn.microsoft.com/en-us/microsoft-edge/webview2/concepts/security</x:v>
      </x:c>
      <x:c r="L214" s="8" t="str">
        <x:v>The owner field was not captured in the original notes, so classification should remain conservative.</x:v>
      </x:c>
      <x:c r="M214" s="8"/>
    </x:row>
    <x:row r="215">
      <x:c r="A215" s="8" t="str">
        <x:v>input</x:v>
      </x:c>
      <x:c r="B215" s="8" t="str">
        <x:v>macOS</x:v>
      </x:c>
      <x:c r="C215" s="8" t="str">
        <x:v>console event missing</x:v>
      </x:c>
      <x:c r="D215" s="8"/>
      <x:c r="E215" s="8" t="str">
        <x:v>increase timeout</x:v>
      </x:c>
      <x:c r="F215" s="8" t="str">
        <x:v>Diego</x:v>
      </x:c>
      <x:c r="G215" s="8" t="str">
        <x:v>needs reproduction</x:v>
      </x:c>
      <x:c r="H215" s="8" t="str">
        <x:v>P0</x:v>
      </x:c>
      <x:c r="I215" s="8" t="str">
        <x:v>2026-02-01</x:v>
      </x:c>
      <x:c r="J215" s="8" t="str">
        <x:v>2026-04-27</x:v>
      </x:c>
      <x:c r="K215" s="8"/>
      <x:c r="L215" s="8" t="str">
        <x:v>The owner field was not captured in the original notes, so classification should remain conservative.</x:v>
      </x:c>
      <x:c r="M215" s="8"/>
    </x:row>
    <x:row r="216">
      <x:c r="A216" s="8" t="str">
        <x:v>rendering</x:v>
      </x:c>
      <x:c r="B216" s="8" t="str">
        <x:v>Windows</x:v>
      </x:c>
      <x:c r="C216" s="8" t="str">
        <x:v>scroll offset resets</x:v>
      </x:c>
      <x:c r="D216" s="8"/>
      <x:c r="E216" s="8" t="str">
        <x:v>retry after NavigationCompleted</x:v>
      </x:c>
      <x:c r="F216" s="8" t="str">
        <x:v>No owner</x:v>
      </x:c>
      <x:c r="G216" s="8" t="str">
        <x:v>needs reproduction</x:v>
      </x:c>
      <x:c r="H216" s="8" t="str">
        <x:v>P3</x:v>
      </x:c>
      <x:c r="I216" s="8" t="str">
        <x:v>2026-03-01</x:v>
      </x:c>
      <x:c r="J216" s="8" t="str">
        <x:v>2026-05-20</x:v>
      </x:c>
      <x:c r="K216" s="8"/>
      <x:c r="L216" s="8" t="str">
        <x:v>This sentence is long enough to exercise wrapping and downstream chunk boundaries in Markdown output.</x:v>
      </x:c>
      <x:c r="M216" s="8"/>
    </x:row>
    <x:row r="217">
      <x:c r="A217" s="8" t="str">
        <x:v>input</x:v>
      </x:c>
      <x:c r="B217" s="8" t="str">
        <x:v>iOS</x:v>
      </x:c>
      <x:c r="C217" s="8" t="str">
        <x:v>console event missing</x:v>
      </x:c>
      <x:c r="D217" s="8" t="str">
        <x:v>open case 1201; repeat after offline toggle.</x:v>
      </x:c>
      <x:c r="E217" s="8" t="str">
        <x:v>retry after NavigationCompleted</x:v>
      </x:c>
      <x:c r="F217" s="8" t="str">
        <x:v>Mei</x:v>
      </x:c>
      <x:c r="G217" s="8" t="str">
        <x:v>resolved</x:v>
      </x:c>
      <x:c r="H217" s="8" t="str">
        <x:v>P2</x:v>
      </x:c>
      <x:c r="I217" s="8" t="str">
        <x:v>2026-04-01</x:v>
      </x:c>
      <x:c r="J217" s="8" t="str">
        <x:v>2026-06-21</x:v>
      </x:c>
      <x:c r="K217" s="8"/>
      <x:c r="L217" s="8"/>
      <x:c r="M217" s="8"/>
    </x:row>
    <x:row r="218">
      <x:c r="A218" s="8" t="str">
        <x:v>rendering</x:v>
      </x:c>
      <x:c r="B218" s="8" t="str">
        <x:v>iOS</x:v>
      </x:c>
      <x:c r="C218" s="8" t="str">
        <x:v>large response times out</x:v>
      </x:c>
      <x:c r="D218" s="8" t="str">
        <x:v>open case 1202; repeat after cold start.</x:v>
      </x:c>
      <x:c r="E218" s="8" t="str">
        <x:v>none yet</x:v>
      </x:c>
      <x:c r="F218" s="8" t="str">
        <x:v>Diego</x:v>
      </x:c>
      <x:c r="G218" s="8" t="str">
        <x:v>investigating</x:v>
      </x:c>
      <x:c r="H218" s="8" t="str">
        <x:v>P2</x:v>
      </x:c>
      <x:c r="I218" s="8" t="str">
        <x:v>2026-05-01</x:v>
      </x:c>
      <x:c r="J218" s="8" t="str">
        <x:v>2026-07-22</x:v>
      </x:c>
      <x:c r="K218" s="8" t="str">
        <x:v>https://github.com/react-native-webview/react-native-webview</x:v>
      </x:c>
      <x:c r="L218" s="8" t="str">
        <x:v>A blank cell here is intentional. The source workbook has notes placed away from the nearest table.</x:v>
      </x:c>
      <x:c r="M218" s="8"/>
    </x:row>
    <x:row r="219">
      <x:c r="A219" s="8" t="str">
        <x:v>input</x:v>
      </x:c>
      <x:c r="B219" s="8" t="str">
        <x:v>macOS</x:v>
      </x:c>
      <x:c r="C219" s="8" t="str">
        <x:v>resource blocked by policy</x:v>
      </x:c>
      <x:c r="D219" s="8" t="str">
        <x:v>open case 1203; repeat after offline toggle.</x:v>
      </x:c>
      <x:c r="E219" s="8" t="str">
        <x:v>reproduce on clean profile</x:v>
      </x:c>
      <x:c r="F219" s="8" t="str">
        <x:v>Asha</x:v>
      </x:c>
      <x:c r="G219" s="8" t="str">
        <x:v>resolved</x:v>
      </x:c>
      <x:c r="H219" s="8" t="str">
        <x:v>P1</x:v>
      </x:c>
      <x:c r="I219" s="8" t="str">
        <x:v>2026-06-01</x:v>
      </x:c>
      <x:c r="J219" s="8" t="str">
        <x:v>2026-08-23</x:v>
      </x:c>
      <x:c r="K219" s="8"/>
      <x:c r="L219" s="8" t="str">
        <x:v>The owner field was not captured in the original notes, so classification should remain conservative.</x:v>
      </x:c>
      <x:c r="M219" s="8"/>
    </x:row>
    <x:row r="220">
      <x:c r="A220" s="8" t="str">
        <x:v>rendering</x:v>
      </x:c>
      <x:c r="B220" s="8" t="str">
        <x:v>Android</x:v>
      </x:c>
      <x:c r="C220" s="8" t="str">
        <x:v>large response times out</x:v>
      </x:c>
      <x:c r="D220" s="8"/>
      <x:c r="E220" s="8" t="str">
        <x:v>retry after NavigationCompleted</x:v>
      </x:c>
      <x:c r="F220" s="8" t="str">
        <x:v>Asha</x:v>
      </x:c>
      <x:c r="G220" s="8" t="str">
        <x:v>investigating</x:v>
      </x:c>
      <x:c r="H220" s="8" t="str">
        <x:v>P2</x:v>
      </x:c>
      <x:c r="I220" s="8" t="str">
        <x:v>2026-07-01</x:v>
      </x:c>
      <x:c r="J220" s="8" t="str">
        <x:v>2026-09-24</x:v>
      </x:c>
      <x:c r="K220" s="8" t="str">
        <x:v>https://developer.android.com/reference/android/webkit/WebView</x:v>
      </x:c>
      <x:c r="L220" s="8"/>
      <x:c r="M220" s="8"/>
    </x:row>
    <x:row r="221">
      <x:c r="A221" s="8" t="str">
        <x:v>download</x:v>
      </x:c>
      <x:c r="B221" s="8" t="str">
        <x:v>macOS</x:v>
      </x:c>
      <x:c r="C221" s="8" t="str">
        <x:v>focus leaves native control</x:v>
      </x:c>
      <x:c r="D221" s="8" t="str">
        <x:v>open case 1205; repeat after cold start.</x:v>
      </x:c>
      <x:c r="E221" s="8" t="str">
        <x:v>use a bridge queue</x:v>
      </x:c>
      <x:c r="F221" s="8" t="str">
        <x:v>Mei</x:v>
      </x:c>
      <x:c r="G221" s="8" t="str">
        <x:v>resolved</x:v>
      </x:c>
      <x:c r="H221" s="8" t="str">
        <x:v>P1</x:v>
      </x:c>
      <x:c r="I221" s="8" t="str">
        <x:v>2026-08-01</x:v>
      </x:c>
      <x:c r="J221" s="8" t="str">
        <x:v>2026-01-25</x:v>
      </x:c>
      <x:c r="K221" s="8" t="str">
        <x:v>https://developer.android.com/reference/android/webkit/WebView</x:v>
      </x:c>
      <x:c r="L221" s="8"/>
      <x:c r="M221" s="8"/>
    </x:row>
    <x:row r="222">
      <x:c r="A222" s="8" t="str">
        <x:v>input</x:v>
      </x:c>
      <x:c r="B222" s="8" t="str">
        <x:v>Android</x:v>
      </x:c>
      <x:c r="C222" s="8" t="str">
        <x:v>blank page after reload</x:v>
      </x:c>
      <x:c r="D222" s="8" t="str">
        <x:v>open case 1206; repeat after cold start.</x:v>
      </x:c>
      <x:c r="E222" s="8" t="str">
        <x:v>use a bridge queue</x:v>
      </x:c>
      <x:c r="F222" s="8" t="str">
        <x:v>Carla</x:v>
      </x:c>
      <x:c r="G222" s="8" t="str">
        <x:v>resolved</x:v>
      </x:c>
      <x:c r="H222" s="8" t="str">
        <x:v>P2</x:v>
      </x:c>
      <x:c r="I222" s="8" t="str">
        <x:v>2026-09-01</x:v>
      </x:c>
      <x:c r="J222" s="8" t="str">
        <x:v>2026-02-26</x:v>
      </x:c>
      <x:c r="K222" s="8"/>
      <x:c r="L222" s="8" t="str">
        <x:v>Observed in a local test run: the content rendered, but the console warning appeared twice.</x:v>
      </x:c>
      <x:c r="M222" s="8"/>
    </x:row>
    <x:row r="223">
      <x:c r="A223" s="8" t="str">
        <x:v>input</x:v>
      </x:c>
      <x:c r="B223" s="8" t="str">
        <x:v>Windows</x:v>
      </x:c>
      <x:c r="C223" s="8" t="str">
        <x:v>console event missing</x:v>
      </x:c>
      <x:c r="D223" s="8"/>
      <x:c r="E223" s="8" t="str">
        <x:v>increase timeout</x:v>
      </x:c>
      <x:c r="F223" s="8" t="str">
        <x:v>Carla</x:v>
      </x:c>
      <x:c r="G223" s="8" t="str">
        <x:v>investigating</x:v>
      </x:c>
      <x:c r="H223" s="8" t="str">
        <x:v>P2</x:v>
      </x:c>
      <x:c r="I223" s="8" t="str">
        <x:v>2026-01-01</x:v>
      </x:c>
      <x:c r="J223" s="8" t="str">
        <x:v>2026-03-27</x:v>
      </x:c>
      <x:c r="K223" s="8"/>
      <x:c r="L223" s="8"/>
      <x:c r="M223" s="8"/>
    </x:row>
    <x:row r="224">
      <x:c r="A224" s="8" t="str">
        <x:v>download</x:v>
      </x:c>
      <x:c r="B224" s="8" t="str">
        <x:v>Android</x:v>
      </x:c>
      <x:c r="C224" s="8" t="str">
        <x:v>large response times out</x:v>
      </x:c>
      <x:c r="D224" s="8" t="str">
        <x:v>open case 1208; repeat after sleep.</x:v>
      </x:c>
      <x:c r="E224" s="8" t="str">
        <x:v>none yet</x:v>
      </x:c>
      <x:c r="F224" s="8" t="str">
        <x:v>Mei</x:v>
      </x:c>
      <x:c r="G224" s="8" t="str">
        <x:v>investigating</x:v>
      </x:c>
      <x:c r="H224" s="8" t="str">
        <x:v>P0</x:v>
      </x:c>
      <x:c r="I224" s="8" t="str">
        <x:v>2026-02-01</x:v>
      </x:c>
      <x:c r="J224" s="8" t="str">
        <x:v>2026-04-20</x:v>
      </x:c>
      <x:c r="K224" s="8"/>
      <x:c r="L224" s="8" t="str">
        <x:v>Observed in a local test run: the content rendered, but the console warning appeared twice.</x:v>
      </x:c>
      <x:c r="M224" s="8"/>
    </x:row>
    <x:row r="225">
      <x:c r="A225" s="8" t="str">
        <x:v>download</x:v>
      </x:c>
      <x:c r="B225" s="8" t="str">
        <x:v>Linux</x:v>
      </x:c>
      <x:c r="C225" s="8" t="str">
        <x:v>large response times out</x:v>
      </x:c>
      <x:c r="D225" s="8"/>
      <x:c r="E225" s="8" t="str">
        <x:v>use a bridge queue</x:v>
      </x:c>
      <x:c r="F225" s="8" t="str">
        <x:v>Asha</x:v>
      </x:c>
      <x:c r="G225" s="8" t="str">
        <x:v>resolved</x:v>
      </x:c>
      <x:c r="H225" s="8" t="str">
        <x:v>P1</x:v>
      </x:c>
      <x:c r="I225" s="8" t="str">
        <x:v>2026-03-01</x:v>
      </x:c>
      <x:c r="J225" s="8" t="str">
        <x:v>2026-05-21</x:v>
      </x:c>
      <x:c r="K225" s="8" t="str">
        <x:v>https://github.com/react-native-webview/react-native-webview</x:v>
      </x:c>
      <x:c r="L225" s="8" t="str">
        <x:v>The bridge callback is stable for small payloads, but large JSON messages show visible delay during navigation.</x:v>
      </x:c>
      <x:c r="M225" s="8"/>
    </x:row>
    <x:row r="226">
      <x:c r="A226" s="8" t="str">
        <x:v>rendering</x:v>
      </x:c>
      <x:c r="B226" s="8" t="str">
        <x:v>Android</x:v>
      </x:c>
      <x:c r="C226" s="8" t="str">
        <x:v>resource blocked by policy</x:v>
      </x:c>
      <x:c r="D226" s="8"/>
      <x:c r="E226" s="8" t="str">
        <x:v>set explicit user agent</x:v>
      </x:c>
      <x:c r="F226" s="8" t="str">
        <x:v>No owner</x:v>
      </x:c>
      <x:c r="G226" s="8" t="str">
        <x:v>open</x:v>
      </x:c>
      <x:c r="H226" s="8" t="str">
        <x:v>P3</x:v>
      </x:c>
      <x:c r="I226" s="8" t="str">
        <x:v>2026-04-01</x:v>
      </x:c>
      <x:c r="J226" s="8" t="str">
        <x:v>2026-06-22</x:v>
      </x:c>
      <x:c r="K226" s="8" t="str">
        <x:v>https://learn.microsoft.com/en-us/microsoft-edge/webview2/concepts/security</x:v>
      </x:c>
      <x:c r="L226" s="8" t="str">
        <x:v>The owner field was not captured in the original notes, so classification should remain conservative.</x:v>
      </x:c>
      <x:c r="M226" s="8"/>
    </x:row>
    <x:row r="227">
      <x:c r="A227" s="8" t="str">
        <x:v>cookies</x:v>
      </x:c>
      <x:c r="B227" s="8" t="str">
        <x:v>macOS</x:v>
      </x:c>
      <x:c r="C227" s="8" t="str">
        <x:v>blank page after reload</x:v>
      </x:c>
      <x:c r="D227" s="8"/>
      <x:c r="E227" s="8" t="str">
        <x:v>increase timeout</x:v>
      </x:c>
      <x:c r="F227" s="8" t="str">
        <x:v>Ben</x:v>
      </x:c>
      <x:c r="G227" s="8" t="str">
        <x:v>investigating</x:v>
      </x:c>
      <x:c r="H227" s="8" t="str">
        <x:v>P3</x:v>
      </x:c>
      <x:c r="I227" s="8" t="str">
        <x:v>2026-05-01</x:v>
      </x:c>
      <x:c r="J227" s="8" t="str">
        <x:v>2026-07-23</x:v>
      </x:c>
      <x:c r="K227" s="8" t="str">
        <x:v>https://developer.android.com/reference/android/webkit/WebView</x:v>
      </x:c>
      <x:c r="L227" s="8" t="str">
        <x:v>Verify behavior on a cold start and after the page reloads without destroying the native view.</x:v>
      </x:c>
      <x:c r="M227" s="8"/>
    </x:row>
    <x:row r="228">
      <x:c r="A228" s="8" t="str">
        <x:v>cookies</x:v>
      </x:c>
      <x:c r="B228" s="8" t="str">
        <x:v>iOS</x:v>
      </x:c>
      <x:c r="C228" s="8" t="str">
        <x:v>scroll offset resets</x:v>
      </x:c>
      <x:c r="D228" s="8" t="str">
        <x:v>open case 1212; repeat after offline toggle.</x:v>
      </x:c>
      <x:c r="E228" s="8" t="str">
        <x:v>set explicit user agent</x:v>
      </x:c>
      <x:c r="F228" s="8" t="str">
        <x:v>Carla</x:v>
      </x:c>
      <x:c r="G228" s="8" t="str">
        <x:v>resolved</x:v>
      </x:c>
      <x:c r="H228" s="8" t="str">
        <x:v>P3</x:v>
      </x:c>
      <x:c r="I228" s="8" t="str">
        <x:v>2026-06-01</x:v>
      </x:c>
      <x:c r="J228" s="8" t="str">
        <x:v>2026-08-24</x:v>
      </x:c>
      <x:c r="K228" s="8" t="str">
        <x:v>https://developer.microsoft.com/en-us/microsoft-edge/webview2/</x:v>
      </x:c>
      <x:c r="L228" s="8" t="str">
        <x:v>This sentence is long enough to exercise wrapping and downstream chunk boundaries in Markdown output.</x:v>
      </x:c>
      <x:c r="M228" s="8"/>
    </x:row>
    <x:row r="229">
      <x:c r="A229" s="8" t="str">
        <x:v>network</x:v>
      </x:c>
      <x:c r="B229" s="8" t="str">
        <x:v>macOS</x:v>
      </x:c>
      <x:c r="C229" s="8" t="str">
        <x:v>scroll offset resets</x:v>
      </x:c>
      <x:c r="D229" s="8"/>
      <x:c r="E229" s="8" t="str">
        <x:v>use a bridge queue</x:v>
      </x:c>
      <x:c r="F229" s="8" t="str">
        <x:v>Carla</x:v>
      </x:c>
      <x:c r="G229" s="8" t="str">
        <x:v>investigating</x:v>
      </x:c>
      <x:c r="H229" s="8" t="str">
        <x:v>P3</x:v>
      </x:c>
      <x:c r="I229" s="8" t="str">
        <x:v>2026-07-01</x:v>
      </x:c>
      <x:c r="J229" s="8" t="str">
        <x:v>2026-09-25</x:v>
      </x:c>
      <x:c r="K229" s="8"/>
      <x:c r="L229" s="8" t="str">
        <x:v>Observed in a local test run: the content rendered, but the console warning appeared twice.</x:v>
      </x:c>
      <x:c r="M229" s="8"/>
    </x:row>
    <x:row r="230">
      <x:c r="A230" s="8" t="str">
        <x:v>download</x:v>
      </x:c>
      <x:c r="B230" s="8" t="str">
        <x:v>Android</x:v>
      </x:c>
      <x:c r="C230" s="8" t="str">
        <x:v>resource blocked by policy</x:v>
      </x:c>
      <x:c r="D230" s="8"/>
      <x:c r="E230" s="8" t="str">
        <x:v>increase timeout</x:v>
      </x:c>
      <x:c r="F230" s="8" t="str">
        <x:v>Asha</x:v>
      </x:c>
      <x:c r="G230" s="8" t="str">
        <x:v>blocked</x:v>
      </x:c>
      <x:c r="H230" s="8" t="str">
        <x:v>P3</x:v>
      </x:c>
      <x:c r="I230" s="8" t="str">
        <x:v>2026-08-01</x:v>
      </x:c>
      <x:c r="J230" s="8" t="str">
        <x:v>2026-01-26</x:v>
      </x:c>
      <x:c r="K230" s="8" t="str">
        <x:v>https://developer.android.com/reference/android/webkit/WebView</x:v>
      </x:c>
      <x:c r="L230" s="8"/>
      <x:c r="M230" s="8"/>
    </x:row>
    <x:row r="231">
      <x:c r="A231" s="8" t="str">
        <x:v>input</x:v>
      </x:c>
      <x:c r="B231" s="8" t="str">
        <x:v>Windows</x:v>
      </x:c>
      <x:c r="C231" s="8" t="str">
        <x:v>scroll offset resets</x:v>
      </x:c>
      <x:c r="D231" s="8"/>
      <x:c r="E231" s="8" t="str">
        <x:v>use a bridge queue</x:v>
      </x:c>
      <x:c r="F231" s="8" t="str">
        <x:v>Carla</x:v>
      </x:c>
      <x:c r="G231" s="8" t="str">
        <x:v>resolved</x:v>
      </x:c>
      <x:c r="H231" s="8" t="str">
        <x:v>P3</x:v>
      </x:c>
      <x:c r="I231" s="8" t="str">
        <x:v>2026-09-01</x:v>
      </x:c>
      <x:c r="J231" s="8" t="str">
        <x:v>2026-02-27</x:v>
      </x:c>
      <x:c r="K231" s="8" t="str">
        <x:v>https://developer.android.com/reference/android/webkit/WebView</x:v>
      </x:c>
      <x:c r="L231" s="8" t="str">
        <x:v>Observed in a local test run: the content rendered, but the console warning appeared twice.</x:v>
      </x:c>
      <x:c r="M231" s="8"/>
    </x:row>
    <x:row r="232">
      <x:c r="A232" s="8" t="str">
        <x:v>cookies</x:v>
      </x:c>
      <x:c r="B232" s="8" t="str">
        <x:v>macOS</x:v>
      </x:c>
      <x:c r="C232" s="8" t="str">
        <x:v>focus leaves native control</x:v>
      </x:c>
      <x:c r="D232" s="8"/>
      <x:c r="E232" s="8" t="str">
        <x:v>use a bridge queue</x:v>
      </x:c>
      <x:c r="F232" s="8" t="str">
        <x:v>Ben</x:v>
      </x:c>
      <x:c r="G232" s="8" t="str">
        <x:v>blocked</x:v>
      </x:c>
      <x:c r="H232" s="8" t="str">
        <x:v>P0</x:v>
      </x:c>
      <x:c r="I232" s="8" t="str">
        <x:v>2026-01-01</x:v>
      </x:c>
      <x:c r="J232" s="8" t="str">
        <x:v>2026-03-20</x:v>
      </x:c>
      <x:c r="K232" s="8" t="str">
        <x:v>https://learn.microsoft.com/en-us/microsoft-edge/webview2/concepts/security</x:v>
      </x:c>
      <x:c r="L232" s="8"/>
      <x:c r="M232" s="8"/>
    </x:row>
    <x:row r="233">
      <x:c r="A233" s="8"/>
      <x:c r="B233" s="8"/>
      <x:c r="C233" s="8"/>
      <x:c r="D233" s="8"/>
      <x:c r="E233" s="8"/>
      <x:c r="F233" s="8"/>
      <x:c r="G233" s="8"/>
      <x:c r="H233" s="8"/>
      <x:c r="I233" s="8"/>
      <x:c r="J233" s="8"/>
      <x:c r="K233" s="8"/>
      <x:c r="L233" s="8"/>
      <x:c r="M233" s="8"/>
    </x:row>
    <x:row r="234">
      <x:c r="A234" s="8" t="str">
        <x:v>download</x:v>
      </x:c>
      <x:c r="B234" s="8" t="str">
        <x:v>Windows</x:v>
      </x:c>
      <x:c r="C234" s="8" t="str">
        <x:v>scroll offset resets</x:v>
      </x:c>
      <x:c r="D234" s="8" t="str">
        <x:v>open case 1217; repeat after reload.</x:v>
      </x:c>
      <x:c r="E234" s="8" t="str">
        <x:v>none yet</x:v>
      </x:c>
      <x:c r="F234" s="8" t="str">
        <x:v>Carla</x:v>
      </x:c>
      <x:c r="G234" s="8" t="str">
        <x:v>resolved</x:v>
      </x:c>
      <x:c r="H234" s="8" t="str">
        <x:v>P2</x:v>
      </x:c>
      <x:c r="I234" s="8" t="str">
        <x:v>2026-02-01</x:v>
      </x:c>
      <x:c r="J234" s="8" t="str">
        <x:v>2026-04-21</x:v>
      </x:c>
      <x:c r="K234" s="8" t="str">
        <x:v>https://developer.microsoft.com/en-us/microsoft-edge/webview2/</x:v>
      </x:c>
      <x:c r="L234" s="8" t="str">
        <x:v>The bridge callback is stable for small payloads, but large JSON messages show visible delay during navigation.</x:v>
      </x:c>
      <x:c r="M234" s="8"/>
    </x:row>
    <x:row r="235">
      <x:c r="A235" s="8" t="str">
        <x:v>rendering</x:v>
      </x:c>
      <x:c r="B235" s="8" t="str">
        <x:v>Android</x:v>
      </x:c>
      <x:c r="C235" s="8" t="str">
        <x:v>focus leaves native control</x:v>
      </x:c>
      <x:c r="D235" s="8"/>
      <x:c r="E235" s="8" t="str">
        <x:v>increase timeout</x:v>
      </x:c>
      <x:c r="F235" s="8" t="str">
        <x:v>Ben</x:v>
      </x:c>
      <x:c r="G235" s="8" t="str">
        <x:v>investigating</x:v>
      </x:c>
      <x:c r="H235" s="8" t="str">
        <x:v>P2</x:v>
      </x:c>
      <x:c r="I235" s="8" t="str">
        <x:v>2026-03-01</x:v>
      </x:c>
      <x:c r="J235" s="8" t="str">
        <x:v>2026-05-22</x:v>
      </x:c>
      <x:c r="K235" s="8" t="str">
        <x:v>https://developer.apple.com/documentation/webkit/wkwebview</x:v>
      </x:c>
      <x:c r="L235" s="8" t="str">
        <x:v>Verify behavior on a cold start and after the page reloads without destroying the native view.</x:v>
      </x:c>
      <x:c r="M235" s="8"/>
    </x:row>
    <x:row r="236">
      <x:c r="A236" s="8" t="str">
        <x:v>network</x:v>
      </x:c>
      <x:c r="B236" s="8" t="str">
        <x:v>iOS</x:v>
      </x:c>
      <x:c r="C236" s="8" t="str">
        <x:v>scroll offset resets</x:v>
      </x:c>
      <x:c r="D236" s="8"/>
      <x:c r="E236" s="8" t="str">
        <x:v>reproduce on clean profile</x:v>
      </x:c>
      <x:c r="F236" s="8" t="str">
        <x:v>Asha</x:v>
      </x:c>
      <x:c r="G236" s="8" t="str">
        <x:v>needs reproduction</x:v>
      </x:c>
      <x:c r="H236" s="8" t="str">
        <x:v>P1</x:v>
      </x:c>
      <x:c r="I236" s="8" t="str">
        <x:v>2026-04-01</x:v>
      </x:c>
      <x:c r="J236" s="8" t="str">
        <x:v>2026-06-23</x:v>
      </x:c>
      <x:c r="K236" s="8" t="str">
        <x:v>https://learn.microsoft.com/en-us/microsoft-edge/webview2/concepts/security</x:v>
      </x:c>
      <x:c r="L236" s="8" t="str">
        <x:v>Observed in a local test run: the content rendered, but the console warning appeared twice.</x:v>
      </x:c>
      <x:c r="M236" s="8"/>
    </x:row>
  </x:sheetData>
  <x:mergeCells>
    <x:mergeCell ref="A1:M1"/>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8" hidden="0" customWidth="1"/>
    <x:col min="2" max="2" width="15" hidden="0" customWidth="1"/>
    <x:col min="3" max="3" width="30" hidden="0" customWidth="1"/>
    <x:col min="4" max="4" width="34" hidden="0" customWidth="1"/>
    <x:col min="5" max="5" width="30" hidden="0" customWidth="1"/>
    <x:col min="6" max="6" width="15" hidden="0" customWidth="1"/>
    <x:col min="7" max="7" width="18" hidden="0" customWidth="1"/>
    <x:col min="8" max="8" width="12" hidden="0" customWidth="1"/>
    <x:col min="9" max="9" width="14" hidden="0" customWidth="1"/>
    <x:col min="10" max="10" width="14" hidden="0" customWidth="1"/>
    <x:col min="11" max="11" width="38" hidden="0" customWidth="1"/>
    <x:col min="12" max="12" width="48" hidden="0" customWidth="1"/>
    <x:col min="13" max="13" width="24" hidden="0" customWidth="1"/>
  </x:cols>
  <x:sheetData>
    <x:row r="1">
      <x:c r="A1" s="7" t="str">
        <x:v>Security Review Notes</x:v>
      </x:c>
      <x:c r="B1" s="7"/>
      <x:c r="C1" s="7"/>
      <x:c r="D1" s="7"/>
      <x:c r="E1" s="7"/>
      <x:c r="F1" s="7"/>
      <x:c r="G1" s="7"/>
      <x:c r="H1" s="7"/>
      <x:c r="I1" s="7"/>
      <x:c r="J1" s="7"/>
      <x:c r="K1" s="7"/>
      <x:c r="L1" s="7"/>
      <x:c r="M1" s="7"/>
    </x:row>
    <x:row r="2">
      <x:c r="A2" s="8"/>
      <x:c r="B2" s="8"/>
      <x:c r="C2" s="8"/>
      <x:c r="D2" s="8"/>
      <x:c r="E2" s="8"/>
      <x:c r="F2" s="8"/>
      <x:c r="G2" s="8"/>
      <x:c r="H2" s="8"/>
      <x:c r="I2" s="8"/>
      <x:c r="J2" s="8"/>
      <x:c r="K2" s="8"/>
      <x:c r="L2" s="8"/>
      <x:c r="M2" s="8"/>
    </x:row>
    <x:row r="3">
      <x:c r="A3" s="4" t="str">
        <x:v>Category</x:v>
      </x:c>
      <x:c r="B3" s="4" t="str">
        <x:v>Platform</x:v>
      </x:c>
      <x:c r="C3" s="4" t="str">
        <x:v>Symptom</x:v>
      </x:c>
      <x:c r="D3" s="4" t="str">
        <x:v>Reproduction</x:v>
      </x:c>
      <x:c r="E3" s="4" t="str">
        <x:v>Workaround</x:v>
      </x:c>
      <x:c r="F3" s="4" t="str">
        <x:v>Owner</x:v>
      </x:c>
      <x:c r="G3" s="4" t="str">
        <x:v>Status</x:v>
      </x:c>
      <x:c r="H3" s="4" t="str">
        <x:v>Severity</x:v>
      </x:c>
      <x:c r="I3" s="4" t="str">
        <x:v>First seen</x:v>
      </x:c>
      <x:c r="J3" s="4" t="str">
        <x:v>Last seen</x:v>
      </x:c>
      <x:c r="K3" s="4" t="str">
        <x:v>Reference</x:v>
      </x:c>
      <x:c r="L3" s="4" t="str">
        <x:v>Free note</x:v>
      </x:c>
      <x:c r="M3" s="4"/>
    </x:row>
    <x:row r="4">
      <x:c r="A4" s="8"/>
      <x:c r="B4" s="8"/>
      <x:c r="C4" s="8"/>
      <x:c r="D4" s="8"/>
      <x:c r="E4" s="8"/>
      <x:c r="F4" s="8"/>
      <x:c r="G4" s="8"/>
      <x:c r="H4" s="8"/>
      <x:c r="I4" s="8"/>
      <x:c r="J4" s="8"/>
      <x:c r="K4" s="8"/>
      <x:c r="L4" s="8"/>
      <x:c r="M4" s="8"/>
    </x:row>
    <x:row r="5">
      <x:c r="A5" s="8" t="str">
        <x:v>Category</x:v>
      </x:c>
      <x:c r="B5" s="8" t="str">
        <x:v>Platform</x:v>
      </x:c>
      <x:c r="C5" s="8" t="str">
        <x:v>Symptom</x:v>
      </x:c>
      <x:c r="D5" s="8" t="str">
        <x:v>Reproduction</x:v>
      </x:c>
      <x:c r="E5" s="8" t="str">
        <x:v>Workaround</x:v>
      </x:c>
      <x:c r="F5" s="8" t="str">
        <x:v>Owner</x:v>
      </x:c>
      <x:c r="G5" s="8" t="str">
        <x:v>Status</x:v>
      </x:c>
      <x:c r="H5" s="8" t="str">
        <x:v>Severity</x:v>
      </x:c>
      <x:c r="I5" s="8" t="str">
        <x:v>First seen</x:v>
      </x:c>
      <x:c r="J5" s="8" t="str">
        <x:v>Last seen</x:v>
      </x:c>
      <x:c r="K5" s="8" t="str">
        <x:v>Reference</x:v>
      </x:c>
      <x:c r="L5" s="8" t="str">
        <x:v>Free note</x:v>
      </x:c>
      <x:c r="M5" s="8" t="str">
        <x:v>repeated header</x:v>
      </x:c>
    </x:row>
    <x:row r="6">
      <x:c r="A6" s="8" t="str">
        <x:v>lifecycle</x:v>
      </x:c>
      <x:c r="B6" s="8" t="str">
        <x:v>Android</x:v>
      </x:c>
      <x:c r="C6" s="8" t="str">
        <x:v>resource blocked by policy</x:v>
      </x:c>
      <x:c r="D6" s="8" t="str">
        <x:v>open case 1000; repeat after offline toggle.</x:v>
      </x:c>
      <x:c r="E6" s="8" t="str">
        <x:v>set explicit user agent</x:v>
      </x:c>
      <x:c r="F6" s="8" t="str">
        <x:v>Ben</x:v>
      </x:c>
      <x:c r="G6" s="8" t="str">
        <x:v>needs reproduction</x:v>
      </x:c>
      <x:c r="H6" s="8" t="str">
        <x:v>P1</x:v>
      </x:c>
      <x:c r="I6" s="8" t="str">
        <x:v>2026-01-01</x:v>
      </x:c>
      <x:c r="J6" s="8" t="str">
        <x:v>2026-03-20</x:v>
      </x:c>
      <x:c r="K6" s="8" t="str">
        <x:v>https://developer.android.com/reference/android/webkit/WebView</x:v>
      </x:c>
      <x:c r="L6" s="8" t="str">
        <x:v>This sentence is long enough to exercise wrapping and downstream chunk boundaries in Markdown output.</x:v>
      </x:c>
      <x:c r="M6" s="8"/>
    </x:row>
    <x:row r="7">
      <x:c r="A7" s="8" t="str">
        <x:v>navigation</x:v>
      </x:c>
      <x:c r="B7" s="8" t="str">
        <x:v>macOS</x:v>
      </x:c>
      <x:c r="C7" s="8" t="str">
        <x:v>focus leaves native control</x:v>
      </x:c>
      <x:c r="D7" s="8"/>
      <x:c r="E7" s="8" t="str">
        <x:v>set explicit user agent</x:v>
      </x:c>
      <x:c r="F7" s="8" t="str">
        <x:v>Mei</x:v>
      </x:c>
      <x:c r="G7" s="8" t="str">
        <x:v>open</x:v>
      </x:c>
      <x:c r="H7" s="8" t="str">
        <x:v>P2</x:v>
      </x:c>
      <x:c r="I7" s="8" t="str">
        <x:v>2026-02-01</x:v>
      </x:c>
      <x:c r="J7" s="8" t="str">
        <x:v>2026-04-21</x:v>
      </x:c>
      <x:c r="K7" s="8" t="str">
        <x:v>https://learn.microsoft.com/en-us/microsoft-edge/webview2/concepts/security</x:v>
      </x:c>
      <x:c r="L7" s="8" t="str">
        <x:v>This sentence is long enough to exercise wrapping and downstream chunk boundaries in Markdown output.</x:v>
      </x:c>
      <x:c r="M7" s="8"/>
    </x:row>
    <x:row r="8">
      <x:c r="A8" s="8" t="str">
        <x:v>security</x:v>
      </x:c>
      <x:c r="B8" s="8" t="str">
        <x:v>Windows</x:v>
      </x:c>
      <x:c r="C8" s="8" t="str">
        <x:v>blank page after reload</x:v>
      </x:c>
      <x:c r="D8" s="8" t="str">
        <x:v>open case 1002; repeat after sleep.</x:v>
      </x:c>
      <x:c r="E8" s="8" t="str">
        <x:v>reproduce on clean profile</x:v>
      </x:c>
      <x:c r="F8" s="8" t="str">
        <x:v>No owner</x:v>
      </x:c>
      <x:c r="G8" s="8" t="str">
        <x:v>blocked</x:v>
      </x:c>
      <x:c r="H8" s="8" t="str">
        <x:v>P3</x:v>
      </x:c>
      <x:c r="I8" s="8" t="str">
        <x:v>2026-03-01</x:v>
      </x:c>
      <x:c r="J8" s="8" t="str">
        <x:v>2026-05-22</x:v>
      </x:c>
      <x:c r="K8" s="8" t="str">
        <x:v>https://learn.microsoft.com/en-us/microsoft-edge/webview2/concepts/security</x:v>
      </x:c>
      <x:c r="L8" s="8"/>
      <x:c r="M8" s="8"/>
    </x:row>
    <x:row r="9">
      <x:c r="A9" s="8" t="str">
        <x:v>storage</x:v>
      </x:c>
      <x:c r="B9" s="8" t="str">
        <x:v>iOS</x:v>
      </x:c>
      <x:c r="C9" s="8" t="str">
        <x:v>blank page after reload</x:v>
      </x:c>
      <x:c r="D9" s="8" t="str">
        <x:v>open case 1003; repeat after sleep.</x:v>
      </x:c>
      <x:c r="E9" s="8" t="str">
        <x:v>use a bridge queue</x:v>
      </x:c>
      <x:c r="F9" s="8" t="str">
        <x:v>Mei</x:v>
      </x:c>
      <x:c r="G9" s="8" t="str">
        <x:v>resolved</x:v>
      </x:c>
      <x:c r="H9" s="8" t="str">
        <x:v>P2</x:v>
      </x:c>
      <x:c r="I9" s="8" t="str">
        <x:v>2026-04-01</x:v>
      </x:c>
      <x:c r="J9" s="8" t="str">
        <x:v>2026-06-23</x:v>
      </x:c>
      <x:c r="K9" s="8"/>
      <x:c r="L9" s="8" t="str">
        <x:v>Follow-up: compare the result when the network security policy is relaxed versus when it is enforced.</x:v>
      </x:c>
      <x:c r="M9" s="8"/>
    </x:row>
    <x:row r="10">
      <x:c r="A10" s="8" t="str">
        <x:v>security</x:v>
      </x:c>
      <x:c r="B10" s="8" t="str">
        <x:v>iOS</x:v>
      </x:c>
      <x:c r="C10" s="8" t="str">
        <x:v>scroll offset resets</x:v>
      </x:c>
      <x:c r="D10" s="8"/>
      <x:c r="E10" s="8" t="str">
        <x:v>set explicit user agent</x:v>
      </x:c>
      <x:c r="F10" s="8" t="str">
        <x:v>Mei</x:v>
      </x:c>
      <x:c r="G10" s="8" t="str">
        <x:v>resolved</x:v>
      </x:c>
      <x:c r="H10" s="8" t="str">
        <x:v>P3</x:v>
      </x:c>
      <x:c r="I10" s="8" t="str">
        <x:v>2026-05-01</x:v>
      </x:c>
      <x:c r="J10" s="8" t="str">
        <x:v>2026-07-24</x:v>
      </x:c>
      <x:c r="K10" s="8"/>
      <x:c r="L10" s="8"/>
      <x:c r="M10" s="8"/>
    </x:row>
    <x:row r="11">
      <x:c r="A11" s="8" t="str">
        <x:v>host object</x:v>
      </x:c>
      <x:c r="B11" s="8" t="str">
        <x:v>Android</x:v>
      </x:c>
      <x:c r="C11" s="8" t="str">
        <x:v>resource blocked by policy</x:v>
      </x:c>
      <x:c r="D11" s="8" t="str">
        <x:v>open case 1005; repeat after sleep.</x:v>
      </x:c>
      <x:c r="E11" s="8" t="str">
        <x:v>use a bridge queue</x:v>
      </x:c>
      <x:c r="F11" s="8" t="str">
        <x:v>Diego</x:v>
      </x:c>
      <x:c r="G11" s="8" t="str">
        <x:v>blocked</x:v>
      </x:c>
      <x:c r="H11" s="8" t="str">
        <x:v>P0</x:v>
      </x:c>
      <x:c r="I11" s="8" t="str">
        <x:v>2026-06-01</x:v>
      </x:c>
      <x:c r="J11" s="8" t="str">
        <x:v>2026-08-25</x:v>
      </x:c>
      <x:c r="K11" s="8" t="str">
        <x:v>https://learn.microsoft.com/en-us/microsoft-edge/webview2/concepts/security</x:v>
      </x:c>
      <x:c r="L11" s="8"/>
      <x:c r="M11" s="8"/>
    </x:row>
    <x:row r="12">
      <x:c r="A12" s="8" t="str">
        <x:v>storage</x:v>
      </x:c>
      <x:c r="B12" s="8" t="str">
        <x:v>iOS</x:v>
      </x:c>
      <x:c r="C12" s="8" t="str">
        <x:v>scroll offset resets</x:v>
      </x:c>
      <x:c r="D12" s="8" t="str">
        <x:v>open case 1006; repeat after offline toggle.</x:v>
      </x:c>
      <x:c r="E12" s="8" t="str">
        <x:v>use a bridge queue</x:v>
      </x:c>
      <x:c r="F12" s="8" t="str">
        <x:v>Carla</x:v>
      </x:c>
      <x:c r="G12" s="8" t="str">
        <x:v>investigating</x:v>
      </x:c>
      <x:c r="H12" s="8" t="str">
        <x:v>P3</x:v>
      </x:c>
      <x:c r="I12" s="8" t="str">
        <x:v>2026-07-01</x:v>
      </x:c>
      <x:c r="J12" s="8" t="str">
        <x:v>2026-09-26</x:v>
      </x:c>
      <x:c r="K12" s="8" t="str">
        <x:v>https://learn.microsoft.com/en-us/microsoft-edge/webview2/concepts/security</x:v>
      </x:c>
      <x:c r="L12" s="8"/>
      <x:c r="M12" s="8"/>
    </x:row>
    <x:row r="13">
      <x:c r="A13" s="8" t="str">
        <x:v>lifecycle</x:v>
      </x:c>
      <x:c r="B13" s="8" t="str">
        <x:v>Windows</x:v>
      </x:c>
      <x:c r="C13" s="8" t="str">
        <x:v>console event missing</x:v>
      </x:c>
      <x:c r="D13" s="8" t="str">
        <x:v>open case 1007; repeat after cold start.</x:v>
      </x:c>
      <x:c r="E13" s="8" t="str">
        <x:v>reproduce on clean profile</x:v>
      </x:c>
      <x:c r="F13" s="8" t="str">
        <x:v>Asha</x:v>
      </x:c>
      <x:c r="G13" s="8" t="str">
        <x:v>investigating</x:v>
      </x:c>
      <x:c r="H13" s="8" t="str">
        <x:v>P2</x:v>
      </x:c>
      <x:c r="I13" s="8" t="str">
        <x:v>2026-08-01</x:v>
      </x:c>
      <x:c r="J13" s="8" t="str">
        <x:v>2026-01-27</x:v>
      </x:c>
      <x:c r="K13" s="8" t="str">
        <x:v>https://learn.microsoft.com/en-us/microsoft-edge/webview2/concepts/security</x:v>
      </x:c>
      <x:c r="L13" s="8"/>
      <x:c r="M13" s="8"/>
    </x:row>
    <x:row r="14">
      <x:c r="A14" s="8" t="str">
        <x:v>security</x:v>
      </x:c>
      <x:c r="B14" s="8" t="str">
        <x:v>macOS</x:v>
      </x:c>
      <x:c r="C14" s="8" t="str">
        <x:v>focus leaves native control</x:v>
      </x:c>
      <x:c r="D14" s="8"/>
      <x:c r="E14" s="8" t="str">
        <x:v>retry after NavigationCompleted</x:v>
      </x:c>
      <x:c r="F14" s="8" t="str">
        <x:v>Mei</x:v>
      </x:c>
      <x:c r="G14" s="8" t="str">
        <x:v>open</x:v>
      </x:c>
      <x:c r="H14" s="8" t="str">
        <x:v>P3</x:v>
      </x:c>
      <x:c r="I14" s="8" t="str">
        <x:v>2026-09-01</x:v>
      </x:c>
      <x:c r="J14" s="8" t="str">
        <x:v>2026-02-20</x:v>
      </x:c>
      <x:c r="K14" s="8" t="str">
        <x:v>https://developer.microsoft.com/en-us/microsoft-edge/webview2/</x:v>
      </x:c>
      <x:c r="L14" s="8"/>
      <x:c r="M14" s="8"/>
    </x:row>
    <x:row r="15">
      <x:c r="A15" s="8" t="str">
        <x:v>navigation</x:v>
      </x:c>
      <x:c r="B15" s="8" t="str">
        <x:v>Android</x:v>
      </x:c>
      <x:c r="C15" s="8" t="str">
        <x:v>focus leaves native control</x:v>
      </x:c>
      <x:c r="D15" s="8"/>
      <x:c r="E15" s="8" t="str">
        <x:v>none yet</x:v>
      </x:c>
      <x:c r="F15" s="8" t="str">
        <x:v>Asha</x:v>
      </x:c>
      <x:c r="G15" s="8" t="str">
        <x:v>resolved</x:v>
      </x:c>
      <x:c r="H15" s="8" t="str">
        <x:v>P2</x:v>
      </x:c>
      <x:c r="I15" s="8" t="str">
        <x:v>2026-01-01</x:v>
      </x:c>
      <x:c r="J15" s="8" t="str">
        <x:v>2026-03-21</x:v>
      </x:c>
      <x:c r="K15" s="8"/>
      <x:c r="L15" s="8" t="str">
        <x:v>Follow-up: compare the result when the network security policy is relaxed versus when it is enforced.</x:v>
      </x:c>
      <x:c r="M15" s="8"/>
    </x:row>
    <x:row r="16">
      <x:c r="A16" s="8" t="str">
        <x:v>security</x:v>
      </x:c>
      <x:c r="B16" s="8" t="str">
        <x:v>macOS</x:v>
      </x:c>
      <x:c r="C16" s="8" t="str">
        <x:v>console event missing</x:v>
      </x:c>
      <x:c r="D16" s="8"/>
      <x:c r="E16" s="8" t="str">
        <x:v>increase timeout</x:v>
      </x:c>
      <x:c r="F16" s="8" t="str">
        <x:v>Asha</x:v>
      </x:c>
      <x:c r="G16" s="8" t="str">
        <x:v>needs reproduction</x:v>
      </x:c>
      <x:c r="H16" s="8" t="str">
        <x:v>P3</x:v>
      </x:c>
      <x:c r="I16" s="8" t="str">
        <x:v>2026-02-01</x:v>
      </x:c>
      <x:c r="J16" s="8" t="str">
        <x:v>2026-04-22</x:v>
      </x:c>
      <x:c r="K16" s="8" t="str">
        <x:v>https://developer.android.com/reference/android/webkit/WebView</x:v>
      </x:c>
      <x:c r="L16" s="8" t="str">
        <x:v>This sentence is long enough to exercise wrapping and downstream chunk boundaries in Markdown output.</x:v>
      </x:c>
      <x:c r="M16" s="8"/>
    </x:row>
    <x:row r="17">
      <x:c r="A17" s="8" t="str">
        <x:v>navigation</x:v>
      </x:c>
      <x:c r="B17" s="8" t="str">
        <x:v>Linux</x:v>
      </x:c>
      <x:c r="C17" s="8" t="str">
        <x:v>focus leaves native control</x:v>
      </x:c>
      <x:c r="D17" s="8" t="str">
        <x:v>open case 1011; repeat after sleep.</x:v>
      </x:c>
      <x:c r="E17" s="8" t="str">
        <x:v>reproduce on clean profile</x:v>
      </x:c>
      <x:c r="F17" s="8" t="str">
        <x:v>Mei</x:v>
      </x:c>
      <x:c r="G17" s="8" t="str">
        <x:v>needs reproduction</x:v>
      </x:c>
      <x:c r="H17" s="8" t="str">
        <x:v>P3</x:v>
      </x:c>
      <x:c r="I17" s="8" t="str">
        <x:v>2026-03-01</x:v>
      </x:c>
      <x:c r="J17" s="8" t="str">
        <x:v>2026-05-23</x:v>
      </x:c>
      <x:c r="K17" s="8"/>
      <x:c r="L17" s="8" t="str">
        <x:v>The bridge callback is stable for small payloads, but large JSON messages show visible delay during navigation.</x:v>
      </x:c>
      <x:c r="M17" s="8"/>
    </x:row>
    <x:row r="18">
      <x:c r="A18" s="8" t="str">
        <x:v>storage</x:v>
      </x:c>
      <x:c r="B18" s="8" t="str">
        <x:v>iOS</x:v>
      </x:c>
      <x:c r="C18" s="8" t="str">
        <x:v>console event missing</x:v>
      </x:c>
      <x:c r="D18" s="8" t="str">
        <x:v>open case 1012; repeat after reload.</x:v>
      </x:c>
      <x:c r="E18" s="8" t="str">
        <x:v>reproduce on clean profile</x:v>
      </x:c>
      <x:c r="F18" s="8" t="str">
        <x:v>Asha</x:v>
      </x:c>
      <x:c r="G18" s="8" t="str">
        <x:v>resolved</x:v>
      </x:c>
      <x:c r="H18" s="8" t="str">
        <x:v>P2</x:v>
      </x:c>
      <x:c r="I18" s="8" t="str">
        <x:v>2026-04-01</x:v>
      </x:c>
      <x:c r="J18" s="8" t="str">
        <x:v>2026-06-24</x:v>
      </x:c>
      <x:c r="K18" s="8" t="str">
        <x:v>https://github.com/react-native-webview/react-native-webview</x:v>
      </x:c>
      <x:c r="L18" s="8"/>
      <x:c r="M18" s="8"/>
    </x:row>
    <x:row r="19">
      <x:c r="A19" s="8" t="str">
        <x:v>bridge</x:v>
      </x:c>
      <x:c r="B19" s="8" t="str">
        <x:v>Windows</x:v>
      </x:c>
      <x:c r="C19" s="8" t="str">
        <x:v>blank page after reload</x:v>
      </x:c>
      <x:c r="D19" s="8" t="str">
        <x:v>open case 1013; repeat after sleep.</x:v>
      </x:c>
      <x:c r="E19" s="8" t="str">
        <x:v>set explicit user agent</x:v>
      </x:c>
      <x:c r="F19" s="8" t="str">
        <x:v>Asha</x:v>
      </x:c>
      <x:c r="G19" s="8" t="str">
        <x:v>blocked</x:v>
      </x:c>
      <x:c r="H19" s="8" t="str">
        <x:v>P0</x:v>
      </x:c>
      <x:c r="I19" s="8" t="str">
        <x:v>2026-05-01</x:v>
      </x:c>
      <x:c r="J19" s="8" t="str">
        <x:v>2026-07-25</x:v>
      </x:c>
      <x:c r="K19" s="8"/>
      <x:c r="L19" s="8" t="str">
        <x:v>The owner field was not captured in the original notes, so classification should remain conservative.</x:v>
      </x:c>
      <x:c r="M19" s="8"/>
    </x:row>
    <x:row r="20">
      <x:c r="A20" s="8" t="str">
        <x:v>bridge</x:v>
      </x:c>
      <x:c r="B20" s="8" t="str">
        <x:v>Linux</x:v>
      </x:c>
      <x:c r="C20" s="8" t="str">
        <x:v>console event missing</x:v>
      </x:c>
      <x:c r="D20" s="8"/>
      <x:c r="E20" s="8" t="str">
        <x:v>set explicit user agent</x:v>
      </x:c>
      <x:c r="F20" s="8" t="str">
        <x:v>Asha</x:v>
      </x:c>
      <x:c r="G20" s="8" t="str">
        <x:v>open</x:v>
      </x:c>
      <x:c r="H20" s="8" t="str">
        <x:v>P0</x:v>
      </x:c>
      <x:c r="I20" s="8" t="str">
        <x:v>2026-06-01</x:v>
      </x:c>
      <x:c r="J20" s="8" t="str">
        <x:v>2026-08-26</x:v>
      </x:c>
      <x:c r="K20" s="8" t="str">
        <x:v>https://developer.apple.com/documentation/webkit/wkwebview</x:v>
      </x:c>
      <x:c r="L20" s="8"/>
      <x:c r="M20" s="8"/>
    </x:row>
    <x:row r="21">
      <x:c r="A21" s="8" t="str">
        <x:v>security</x:v>
      </x:c>
      <x:c r="B21" s="8" t="str">
        <x:v>Android</x:v>
      </x:c>
      <x:c r="C21" s="8" t="str">
        <x:v>blank page after reload</x:v>
      </x:c>
      <x:c r="D21" s="8" t="str">
        <x:v>open case 1015; repeat after reload.</x:v>
      </x:c>
      <x:c r="E21" s="8" t="str">
        <x:v>use a bridge queue</x:v>
      </x:c>
      <x:c r="F21" s="8" t="str">
        <x:v>Diego</x:v>
      </x:c>
      <x:c r="G21" s="8" t="str">
        <x:v>investigating</x:v>
      </x:c>
      <x:c r="H21" s="8" t="str">
        <x:v>P1</x:v>
      </x:c>
      <x:c r="I21" s="8" t="str">
        <x:v>2026-07-01</x:v>
      </x:c>
      <x:c r="J21" s="8" t="str">
        <x:v>2026-09-27</x:v>
      </x:c>
      <x:c r="K21" s="8" t="str">
        <x:v>https://learn.microsoft.com/en-us/microsoft-edge/webview2/concepts/security</x:v>
      </x:c>
      <x:c r="L21" s="8" t="str">
        <x:v>Verify behavior on a cold start and after the page reloads without destroying the native view.</x:v>
      </x:c>
      <x:c r="M21" s="8"/>
    </x:row>
    <x:row r="22">
      <x:c r="A22" s="8" t="str">
        <x:v>security</x:v>
      </x:c>
      <x:c r="B22" s="8" t="str">
        <x:v>macOS</x:v>
      </x:c>
      <x:c r="C22" s="8" t="str">
        <x:v>console event missing</x:v>
      </x:c>
      <x:c r="D22" s="8" t="str">
        <x:v>open case 1016; repeat after sleep.</x:v>
      </x:c>
      <x:c r="E22" s="8" t="str">
        <x:v>set explicit user agent</x:v>
      </x:c>
      <x:c r="F22" s="8" t="str">
        <x:v>Carla</x:v>
      </x:c>
      <x:c r="G22" s="8" t="str">
        <x:v>investigating</x:v>
      </x:c>
      <x:c r="H22" s="8" t="str">
        <x:v>P3</x:v>
      </x:c>
      <x:c r="I22" s="8" t="str">
        <x:v>2026-08-01</x:v>
      </x:c>
      <x:c r="J22" s="8" t="str">
        <x:v>2026-01-20</x:v>
      </x:c>
      <x:c r="K22" s="8"/>
      <x:c r="L22" s="8" t="str">
        <x:v>Follow-up: compare the result when the network security policy is relaxed versus when it is enforced.</x:v>
      </x:c>
      <x:c r="M22" s="8"/>
    </x:row>
    <x:row r="23">
      <x:c r="A23" s="8" t="str">
        <x:v>storage</x:v>
      </x:c>
      <x:c r="B23" s="8" t="str">
        <x:v>Linux</x:v>
      </x:c>
      <x:c r="C23" s="8" t="str">
        <x:v>resource blocked by policy</x:v>
      </x:c>
      <x:c r="D23" s="8"/>
      <x:c r="E23" s="8" t="str">
        <x:v>set explicit user agent</x:v>
      </x:c>
      <x:c r="F23" s="8" t="str">
        <x:v>No owner</x:v>
      </x:c>
      <x:c r="G23" s="8" t="str">
        <x:v>open</x:v>
      </x:c>
      <x:c r="H23" s="8" t="str">
        <x:v>P3</x:v>
      </x:c>
      <x:c r="I23" s="8" t="str">
        <x:v>2026-09-01</x:v>
      </x:c>
      <x:c r="J23" s="8" t="str">
        <x:v>2026-02-21</x:v>
      </x:c>
      <x:c r="K23" s="8"/>
      <x:c r="L23" s="8"/>
      <x:c r="M23" s="8"/>
    </x:row>
    <x:row r="24">
      <x:c r="A24" s="8" t="str">
        <x:v>navigation</x:v>
      </x:c>
      <x:c r="B24" s="8" t="str">
        <x:v>iOS</x:v>
      </x:c>
      <x:c r="C24" s="8" t="str">
        <x:v>blank page after reload</x:v>
      </x:c>
      <x:c r="D24" s="8"/>
      <x:c r="E24" s="8" t="str">
        <x:v>use a bridge queue</x:v>
      </x:c>
      <x:c r="F24" s="8" t="str">
        <x:v>Carla</x:v>
      </x:c>
      <x:c r="G24" s="8" t="str">
        <x:v>resolved</x:v>
      </x:c>
      <x:c r="H24" s="8" t="str">
        <x:v>P3</x:v>
      </x:c>
      <x:c r="I24" s="8" t="str">
        <x:v>2026-01-01</x:v>
      </x:c>
      <x:c r="J24" s="8" t="str">
        <x:v>2026-03-22</x:v>
      </x:c>
      <x:c r="K24" s="8"/>
      <x:c r="L24" s="8"/>
      <x:c r="M24" s="8"/>
    </x:row>
    <x:row r="25">
      <x:c r="A25" s="8" t="str">
        <x:v>host object</x:v>
      </x:c>
      <x:c r="B25" s="8" t="str">
        <x:v>Linux</x:v>
      </x:c>
      <x:c r="C25" s="8" t="str">
        <x:v>large response times out</x:v>
      </x:c>
      <x:c r="D25" s="8" t="str">
        <x:v>open case 1019; repeat after offline toggle.</x:v>
      </x:c>
      <x:c r="E25" s="8" t="str">
        <x:v>none yet</x:v>
      </x:c>
      <x:c r="F25" s="8" t="str">
        <x:v>Mei</x:v>
      </x:c>
      <x:c r="G25" s="8" t="str">
        <x:v>investigating</x:v>
      </x:c>
      <x:c r="H25" s="8" t="str">
        <x:v>P2</x:v>
      </x:c>
      <x:c r="I25" s="8" t="str">
        <x:v>2026-02-01</x:v>
      </x:c>
      <x:c r="J25" s="8" t="str">
        <x:v>2026-04-23</x:v>
      </x:c>
      <x:c r="K25" s="8"/>
      <x:c r="L25" s="8" t="str">
        <x:v>Potential duplicate: this paragraph is repeated in another section to test deduplication and chunk metadata.</x:v>
      </x:c>
      <x:c r="M25" s="8"/>
    </x:row>
    <x:row r="26">
      <x:c r="A26" s="8" t="str">
        <x:v>navigation</x:v>
      </x:c>
      <x:c r="B26" s="8" t="str">
        <x:v>iOS</x:v>
      </x:c>
      <x:c r="C26" s="8" t="str">
        <x:v>scroll offset resets</x:v>
      </x:c>
      <x:c r="D26" s="8" t="str">
        <x:v>open case 1020; repeat after offline toggle.</x:v>
      </x:c>
      <x:c r="E26" s="8" t="str">
        <x:v>retry after NavigationCompleted</x:v>
      </x:c>
      <x:c r="F26" s="8" t="str">
        <x:v>Carla</x:v>
      </x:c>
      <x:c r="G26" s="8" t="str">
        <x:v>blocked</x:v>
      </x:c>
      <x:c r="H26" s="8" t="str">
        <x:v>P2</x:v>
      </x:c>
      <x:c r="I26" s="8" t="str">
        <x:v>2026-03-01</x:v>
      </x:c>
      <x:c r="J26" s="8" t="str">
        <x:v>2026-05-24</x:v>
      </x:c>
      <x:c r="K26" s="8"/>
      <x:c r="L26" s="8" t="str">
        <x:v>Potential duplicate: this paragraph is repeated in another section to test deduplication and chunk metadata.</x:v>
      </x:c>
      <x:c r="M26" s="8"/>
    </x:row>
    <x:row r="27">
      <x:c r="A27" s="8" t="str">
        <x:v>security</x:v>
      </x:c>
      <x:c r="B27" s="8" t="str">
        <x:v>Android</x:v>
      </x:c>
      <x:c r="C27" s="8" t="str">
        <x:v>focus leaves native control</x:v>
      </x:c>
      <x:c r="D27" s="8"/>
      <x:c r="E27" s="8" t="str">
        <x:v>set explicit user agent</x:v>
      </x:c>
      <x:c r="F27" s="8" t="str">
        <x:v>Mei</x:v>
      </x:c>
      <x:c r="G27" s="8" t="str">
        <x:v>needs reproduction</x:v>
      </x:c>
      <x:c r="H27" s="8" t="str">
        <x:v>P0</x:v>
      </x:c>
      <x:c r="I27" s="8" t="str">
        <x:v>2026-04-01</x:v>
      </x:c>
      <x:c r="J27" s="8" t="str">
        <x:v>2026-06-25</x:v>
      </x:c>
      <x:c r="K27" s="8"/>
      <x:c r="L27" s="8" t="str">
        <x:v>The owner field was not captured in the original notes, so classification should remain conservative.</x:v>
      </x:c>
      <x:c r="M27" s="8"/>
    </x:row>
    <x:row r="28">
      <x:c r="A28" s="8" t="str">
        <x:v>lifecycle</x:v>
      </x:c>
      <x:c r="B28" s="8" t="str">
        <x:v>Windows</x:v>
      </x:c>
      <x:c r="C28" s="8" t="str">
        <x:v>large response times out</x:v>
      </x:c>
      <x:c r="D28" s="8" t="str">
        <x:v>open case 1022; repeat after sleep.</x:v>
      </x:c>
      <x:c r="E28" s="8" t="str">
        <x:v>set explicit user agent</x:v>
      </x:c>
      <x:c r="F28" s="8" t="str">
        <x:v>Mei</x:v>
      </x:c>
      <x:c r="G28" s="8" t="str">
        <x:v>investigating</x:v>
      </x:c>
      <x:c r="H28" s="8" t="str">
        <x:v>P1</x:v>
      </x:c>
      <x:c r="I28" s="8" t="str">
        <x:v>2026-05-01</x:v>
      </x:c>
      <x:c r="J28" s="8" t="str">
        <x:v>2026-07-26</x:v>
      </x:c>
      <x:c r="K28" s="8" t="str">
        <x:v>https://learn.microsoft.com/en-us/microsoft-edge/webview2/concepts/security</x:v>
      </x:c>
      <x:c r="L28" s="8"/>
      <x:c r="M28" s="8"/>
    </x:row>
    <x:row r="29">
      <x:c r="A29" s="8" t="str">
        <x:v>bridge</x:v>
      </x:c>
      <x:c r="B29" s="8" t="str">
        <x:v>Windows</x:v>
      </x:c>
      <x:c r="C29" s="8" t="str">
        <x:v>focus leaves native control</x:v>
      </x:c>
      <x:c r="D29" s="8" t="str">
        <x:v>open case 1023; repeat after reload.</x:v>
      </x:c>
      <x:c r="E29" s="8" t="str">
        <x:v>none yet</x:v>
      </x:c>
      <x:c r="F29" s="8" t="str">
        <x:v>No owner</x:v>
      </x:c>
      <x:c r="G29" s="8" t="str">
        <x:v>blocked</x:v>
      </x:c>
      <x:c r="H29" s="8" t="str">
        <x:v>P0</x:v>
      </x:c>
      <x:c r="I29" s="8" t="str">
        <x:v>2026-06-01</x:v>
      </x:c>
      <x:c r="J29" s="8" t="str">
        <x:v>2026-08-27</x:v>
      </x:c>
      <x:c r="K29" s="8" t="str">
        <x:v>https://learn.microsoft.com/en-us/microsoft-edge/webview2/concepts/security</x:v>
      </x:c>
      <x:c r="L29" s="8"/>
      <x:c r="M29" s="8"/>
    </x:row>
    <x:row r="30">
      <x:c r="A30" s="8" t="str">
        <x:v>storage</x:v>
      </x:c>
      <x:c r="B30" s="8" t="str">
        <x:v>iOS</x:v>
      </x:c>
      <x:c r="C30" s="8" t="str">
        <x:v>large response times out</x:v>
      </x:c>
      <x:c r="D30" s="8" t="str">
        <x:v>open case 1024; repeat after cold start.</x:v>
      </x:c>
      <x:c r="E30" s="8" t="str">
        <x:v>increase timeout</x:v>
      </x:c>
      <x:c r="F30" s="8" t="str">
        <x:v>Carla</x:v>
      </x:c>
      <x:c r="G30" s="8" t="str">
        <x:v>needs reproduction</x:v>
      </x:c>
      <x:c r="H30" s="8" t="str">
        <x:v>P1</x:v>
      </x:c>
      <x:c r="I30" s="8" t="str">
        <x:v>2026-07-01</x:v>
      </x:c>
      <x:c r="J30" s="8" t="str">
        <x:v>2026-09-20</x:v>
      </x:c>
      <x:c r="K30" s="8" t="str">
        <x:v>https://learn.microsoft.com/en-us/microsoft-edge/webview2/concepts/security</x:v>
      </x:c>
      <x:c r="L30" s="8"/>
      <x:c r="M30" s="8"/>
    </x:row>
    <x:row r="31">
      <x:c r="A31" s="8" t="str">
        <x:v>navigation</x:v>
      </x:c>
      <x:c r="B31" s="8" t="str">
        <x:v>Android</x:v>
      </x:c>
      <x:c r="C31" s="8" t="str">
        <x:v>resource blocked by policy</x:v>
      </x:c>
      <x:c r="D31" s="8" t="str">
        <x:v>open case 1025; repeat after cold start.</x:v>
      </x:c>
      <x:c r="E31" s="8" t="str">
        <x:v>retry after NavigationCompleted</x:v>
      </x:c>
      <x:c r="F31" s="8" t="str">
        <x:v>No owner</x:v>
      </x:c>
      <x:c r="G31" s="8" t="str">
        <x:v>needs reproduction</x:v>
      </x:c>
      <x:c r="H31" s="8" t="str">
        <x:v>P2</x:v>
      </x:c>
      <x:c r="I31" s="8" t="str">
        <x:v>2026-08-01</x:v>
      </x:c>
      <x:c r="J31" s="8" t="str">
        <x:v>2026-01-21</x:v>
      </x:c>
      <x:c r="K31" s="8"/>
      <x:c r="L31" s="8" t="str">
        <x:v>This sentence is long enough to exercise wrapping and downstream chunk boundaries in Markdown output.</x:v>
      </x:c>
      <x:c r="M31" s="8"/>
    </x:row>
    <x:row r="32">
      <x:c r="A32" s="8" t="str">
        <x:v>navigation</x:v>
      </x:c>
      <x:c r="B32" s="8" t="str">
        <x:v>Windows</x:v>
      </x:c>
      <x:c r="C32" s="8" t="str">
        <x:v>scroll offset resets</x:v>
      </x:c>
      <x:c r="D32" s="8"/>
      <x:c r="E32" s="8" t="str">
        <x:v>set explicit user agent</x:v>
      </x:c>
      <x:c r="F32" s="8" t="str">
        <x:v>Mei</x:v>
      </x:c>
      <x:c r="G32" s="8" t="str">
        <x:v>blocked</x:v>
      </x:c>
      <x:c r="H32" s="8" t="str">
        <x:v>P2</x:v>
      </x:c>
      <x:c r="I32" s="8" t="str">
        <x:v>2026-09-01</x:v>
      </x:c>
      <x:c r="J32" s="8" t="str">
        <x:v>2026-02-22</x:v>
      </x:c>
      <x:c r="K32" s="8"/>
      <x:c r="L32" s="8" t="str">
        <x:v>The owner field was not captured in the original notes, so classification should remain conservative.</x:v>
      </x:c>
      <x:c r="M32" s="8"/>
    </x:row>
    <x:row r="33">
      <x:c r="A33" s="8" t="str">
        <x:v>host object</x:v>
      </x:c>
      <x:c r="B33" s="8" t="str">
        <x:v>iOS</x:v>
      </x:c>
      <x:c r="C33" s="8" t="str">
        <x:v>focus leaves native control</x:v>
      </x:c>
      <x:c r="D33" s="8" t="str">
        <x:v>open case 1027; repeat after cold start.</x:v>
      </x:c>
      <x:c r="E33" s="8" t="str">
        <x:v>reproduce on clean profile</x:v>
      </x:c>
      <x:c r="F33" s="8" t="str">
        <x:v>Ben</x:v>
      </x:c>
      <x:c r="G33" s="8" t="str">
        <x:v>blocked</x:v>
      </x:c>
      <x:c r="H33" s="8" t="str">
        <x:v>P3</x:v>
      </x:c>
      <x:c r="I33" s="8" t="str">
        <x:v>2026-01-01</x:v>
      </x:c>
      <x:c r="J33" s="8" t="str">
        <x:v>2026-03-23</x:v>
      </x:c>
      <x:c r="K33" s="8"/>
      <x:c r="L33" s="8" t="str">
        <x:v>The bridge callback is stable for small payloads, but large JSON messages show visible delay during navigation.</x:v>
      </x:c>
      <x:c r="M33" s="8"/>
    </x:row>
    <x:row r="34">
      <x:c r="A34" s="8" t="str">
        <x:v>storage</x:v>
      </x:c>
      <x:c r="B34" s="8" t="str">
        <x:v>Android</x:v>
      </x:c>
      <x:c r="C34" s="8" t="str">
        <x:v>scroll offset resets</x:v>
      </x:c>
      <x:c r="D34" s="8" t="str">
        <x:v>open case 1028; repeat after cold start.</x:v>
      </x:c>
      <x:c r="E34" s="8" t="str">
        <x:v>set explicit user agent</x:v>
      </x:c>
      <x:c r="F34" s="8" t="str">
        <x:v>Diego</x:v>
      </x:c>
      <x:c r="G34" s="8" t="str">
        <x:v>resolved</x:v>
      </x:c>
      <x:c r="H34" s="8" t="str">
        <x:v>P3</x:v>
      </x:c>
      <x:c r="I34" s="8" t="str">
        <x:v>2026-02-01</x:v>
      </x:c>
      <x:c r="J34" s="8" t="str">
        <x:v>2026-04-24</x:v>
      </x:c>
      <x:c r="K34" s="8"/>
      <x:c r="L34" s="8"/>
      <x:c r="M34" s="8"/>
    </x:row>
    <x:row r="35">
      <x:c r="A35" s="8" t="str">
        <x:v>navigation</x:v>
      </x:c>
      <x:c r="B35" s="8" t="str">
        <x:v>Android</x:v>
      </x:c>
      <x:c r="C35" s="8" t="str">
        <x:v>scroll offset resets</x:v>
      </x:c>
      <x:c r="D35" s="8" t="str">
        <x:v>open case 1029; repeat after reload.</x:v>
      </x:c>
      <x:c r="E35" s="8" t="str">
        <x:v>use a bridge queue</x:v>
      </x:c>
      <x:c r="F35" s="8" t="str">
        <x:v>Diego</x:v>
      </x:c>
      <x:c r="G35" s="8" t="str">
        <x:v>open</x:v>
      </x:c>
      <x:c r="H35" s="8" t="str">
        <x:v>P0</x:v>
      </x:c>
      <x:c r="I35" s="8" t="str">
        <x:v>2026-03-01</x:v>
      </x:c>
      <x:c r="J35" s="8" t="str">
        <x:v>2026-05-25</x:v>
      </x:c>
      <x:c r="K35" s="8" t="str">
        <x:v>https://developer.microsoft.com/en-us/microsoft-edge/webview2/</x:v>
      </x:c>
      <x:c r="L35" s="8"/>
      <x:c r="M35" s="8"/>
    </x:row>
    <x:row r="36">
      <x:c r="A36" s="8" t="str">
        <x:v>bridge</x:v>
      </x:c>
      <x:c r="B36" s="8" t="str">
        <x:v>macOS</x:v>
      </x:c>
      <x:c r="C36" s="8" t="str">
        <x:v>scroll offset resets</x:v>
      </x:c>
      <x:c r="D36" s="8"/>
      <x:c r="E36" s="8" t="str">
        <x:v>retry after NavigationCompleted</x:v>
      </x:c>
      <x:c r="F36" s="8" t="str">
        <x:v>No owner</x:v>
      </x:c>
      <x:c r="G36" s="8" t="str">
        <x:v>resolved</x:v>
      </x:c>
      <x:c r="H36" s="8" t="str">
        <x:v>P1</x:v>
      </x:c>
      <x:c r="I36" s="8" t="str">
        <x:v>2026-04-01</x:v>
      </x:c>
      <x:c r="J36" s="8" t="str">
        <x:v>2026-06-26</x:v>
      </x:c>
      <x:c r="K36" s="8" t="str">
        <x:v>https://github.com/react-native-webview/react-native-webview</x:v>
      </x:c>
      <x:c r="L36" s="8"/>
      <x:c r="M36" s="8"/>
    </x:row>
    <x:row r="37">
      <x:c r="A37" s="8"/>
      <x:c r="B37" s="8"/>
      <x:c r="C37" s="8"/>
      <x:c r="D37" s="8"/>
      <x:c r="E37" s="8"/>
      <x:c r="F37" s="8"/>
      <x:c r="G37" s="8"/>
      <x:c r="H37" s="8"/>
      <x:c r="I37" s="8"/>
      <x:c r="J37" s="8"/>
      <x:c r="K37" s="8"/>
      <x:c r="L37" s="8"/>
      <x:c r="M37" s="8"/>
    </x:row>
    <x:row r="38">
      <x:c r="A38" s="8" t="str">
        <x:v>host object</x:v>
      </x:c>
      <x:c r="B38" s="8" t="str">
        <x:v>iOS</x:v>
      </x:c>
      <x:c r="C38" s="8" t="str">
        <x:v>large response times out</x:v>
      </x:c>
      <x:c r="D38" s="8"/>
      <x:c r="E38" s="8" t="str">
        <x:v>use a bridge queue</x:v>
      </x:c>
      <x:c r="F38" s="8" t="str">
        <x:v>No owner</x:v>
      </x:c>
      <x:c r="G38" s="8" t="str">
        <x:v>investigating</x:v>
      </x:c>
      <x:c r="H38" s="8" t="str">
        <x:v>P3</x:v>
      </x:c>
      <x:c r="I38" s="8" t="str">
        <x:v>2026-05-01</x:v>
      </x:c>
      <x:c r="J38" s="8" t="str">
        <x:v>2026-07-27</x:v>
      </x:c>
      <x:c r="K38" s="8"/>
      <x:c r="L38" s="8"/>
      <x:c r="M38" s="8"/>
    </x:row>
    <x:row r="39">
      <x:c r="A39" s="8" t="str">
        <x:v>lifecycle</x:v>
      </x:c>
      <x:c r="B39" s="8" t="str">
        <x:v>Android</x:v>
      </x:c>
      <x:c r="C39" s="8" t="str">
        <x:v>large response times out</x:v>
      </x:c>
      <x:c r="D39" s="8" t="str">
        <x:v>open case 1032; repeat after sleep.</x:v>
      </x:c>
      <x:c r="E39" s="8" t="str">
        <x:v>set explicit user agent</x:v>
      </x:c>
      <x:c r="F39" s="8" t="str">
        <x:v>Carla</x:v>
      </x:c>
      <x:c r="G39" s="8" t="str">
        <x:v>needs reproduction</x:v>
      </x:c>
      <x:c r="H39" s="8" t="str">
        <x:v>P2</x:v>
      </x:c>
      <x:c r="I39" s="8" t="str">
        <x:v>2026-06-01</x:v>
      </x:c>
      <x:c r="J39" s="8" t="str">
        <x:v>2026-08-20</x:v>
      </x:c>
      <x:c r="K39" s="8" t="str">
        <x:v>https://github.com/react-native-webview/react-native-webview</x:v>
      </x:c>
      <x:c r="L39" s="8" t="str">
        <x:v>Observed in a local test run: the content rendered, but the console warning appeared twice.</x:v>
      </x:c>
      <x:c r="M39" s="8"/>
    </x:row>
    <x:row r="40">
      <x:c r="A40" s="8" t="str">
        <x:v>storage</x:v>
      </x:c>
      <x:c r="B40" s="8" t="str">
        <x:v>Linux</x:v>
      </x:c>
      <x:c r="C40" s="8" t="str">
        <x:v>scroll offset resets</x:v>
      </x:c>
      <x:c r="D40" s="8" t="str">
        <x:v>open case 1033; repeat after offline toggle.</x:v>
      </x:c>
      <x:c r="E40" s="8" t="str">
        <x:v>use a bridge queue</x:v>
      </x:c>
      <x:c r="F40" s="8" t="str">
        <x:v>Asha</x:v>
      </x:c>
      <x:c r="G40" s="8" t="str">
        <x:v>investigating</x:v>
      </x:c>
      <x:c r="H40" s="8" t="str">
        <x:v>P3</x:v>
      </x:c>
      <x:c r="I40" s="8" t="str">
        <x:v>2026-07-01</x:v>
      </x:c>
      <x:c r="J40" s="8" t="str">
        <x:v>2026-09-21</x:v>
      </x:c>
      <x:c r="K40" s="8" t="str">
        <x:v>https://developer.microsoft.com/en-us/microsoft-edge/webview2/</x:v>
      </x:c>
      <x:c r="L40" s="8" t="str">
        <x:v>Observed in a local test run: the content rendered, but the console warning appeared twice.</x:v>
      </x:c>
      <x:c r="M40" s="8"/>
    </x:row>
    <x:row r="41">
      <x:c r="A41" s="8" t="str">
        <x:v>security</x:v>
      </x:c>
      <x:c r="B41" s="8" t="str">
        <x:v>Android</x:v>
      </x:c>
      <x:c r="C41" s="8" t="str">
        <x:v>scroll offset resets</x:v>
      </x:c>
      <x:c r="D41" s="8"/>
      <x:c r="E41" s="8" t="str">
        <x:v>none yet</x:v>
      </x:c>
      <x:c r="F41" s="8" t="str">
        <x:v>Asha</x:v>
      </x:c>
      <x:c r="G41" s="8" t="str">
        <x:v>resolved</x:v>
      </x:c>
      <x:c r="H41" s="8" t="str">
        <x:v>P3</x:v>
      </x:c>
      <x:c r="I41" s="8" t="str">
        <x:v>2026-08-01</x:v>
      </x:c>
      <x:c r="J41" s="8" t="str">
        <x:v>2026-01-22</x:v>
      </x:c>
      <x:c r="K41" s="8"/>
      <x:c r="L41" s="8" t="str">
        <x:v>Potential duplicate: this paragraph is repeated in another section to test deduplication and chunk metadata.</x:v>
      </x:c>
      <x:c r="M41" s="8"/>
    </x:row>
    <x:row r="42">
      <x:c r="A42" s="8" t="str">
        <x:v>host object</x:v>
      </x:c>
      <x:c r="B42" s="8" t="str">
        <x:v>macOS</x:v>
      </x:c>
      <x:c r="C42" s="8" t="str">
        <x:v>focus leaves native control</x:v>
      </x:c>
      <x:c r="D42" s="8"/>
      <x:c r="E42" s="8" t="str">
        <x:v>reproduce on clean profile</x:v>
      </x:c>
      <x:c r="F42" s="8" t="str">
        <x:v>No owner</x:v>
      </x:c>
      <x:c r="G42" s="8" t="str">
        <x:v>open</x:v>
      </x:c>
      <x:c r="H42" s="8" t="str">
        <x:v>P0</x:v>
      </x:c>
      <x:c r="I42" s="8" t="str">
        <x:v>2026-09-01</x:v>
      </x:c>
      <x:c r="J42" s="8" t="str">
        <x:v>2026-02-23</x:v>
      </x:c>
      <x:c r="K42" s="8"/>
      <x:c r="L42" s="8"/>
      <x:c r="M42" s="8"/>
    </x:row>
    <x:row r="43">
      <x:c r="A43" s="8" t="str">
        <x:v>storage</x:v>
      </x:c>
      <x:c r="B43" s="8" t="str">
        <x:v>Windows</x:v>
      </x:c>
      <x:c r="C43" s="8" t="str">
        <x:v>console event missing</x:v>
      </x:c>
      <x:c r="D43" s="8"/>
      <x:c r="E43" s="8" t="str">
        <x:v>use a bridge queue</x:v>
      </x:c>
      <x:c r="F43" s="8" t="str">
        <x:v>Mei</x:v>
      </x:c>
      <x:c r="G43" s="8" t="str">
        <x:v>open</x:v>
      </x:c>
      <x:c r="H43" s="8" t="str">
        <x:v>P3</x:v>
      </x:c>
      <x:c r="I43" s="8" t="str">
        <x:v>2026-01-01</x:v>
      </x:c>
      <x:c r="J43" s="8" t="str">
        <x:v>2026-03-24</x:v>
      </x:c>
      <x:c r="K43" s="8" t="str">
        <x:v>https://developer.microsoft.com/en-us/microsoft-edge/webview2/</x:v>
      </x:c>
      <x:c r="L43" s="8" t="str">
        <x:v>Follow-up: compare the result when the network security policy is relaxed versus when it is enforced.</x:v>
      </x:c>
      <x:c r="M43" s="8"/>
    </x:row>
    <x:row r="44">
      <x:c r="A44" s="8" t="str">
        <x:v>bridge</x:v>
      </x:c>
      <x:c r="B44" s="8" t="str">
        <x:v>Android</x:v>
      </x:c>
      <x:c r="C44" s="8" t="str">
        <x:v>resource blocked by policy</x:v>
      </x:c>
      <x:c r="D44" s="8" t="str">
        <x:v>open case 1037; repeat after sleep.</x:v>
      </x:c>
      <x:c r="E44" s="8" t="str">
        <x:v>none yet</x:v>
      </x:c>
      <x:c r="F44" s="8" t="str">
        <x:v>Mei</x:v>
      </x:c>
      <x:c r="G44" s="8" t="str">
        <x:v>investigating</x:v>
      </x:c>
      <x:c r="H44" s="8" t="str">
        <x:v>P3</x:v>
      </x:c>
      <x:c r="I44" s="8" t="str">
        <x:v>2026-02-01</x:v>
      </x:c>
      <x:c r="J44" s="8" t="str">
        <x:v>2026-04-25</x:v>
      </x:c>
      <x:c r="K44" s="8"/>
      <x:c r="L44" s="8"/>
      <x:c r="M44" s="8"/>
    </x:row>
    <x:row r="45">
      <x:c r="A45" s="8" t="str">
        <x:v>bridge</x:v>
      </x:c>
      <x:c r="B45" s="8" t="str">
        <x:v>Android</x:v>
      </x:c>
      <x:c r="C45" s="8" t="str">
        <x:v>large response times out</x:v>
      </x:c>
      <x:c r="D45" s="8" t="str">
        <x:v>open case 1038; repeat after cold start.</x:v>
      </x:c>
      <x:c r="E45" s="8" t="str">
        <x:v>reproduce on clean profile</x:v>
      </x:c>
      <x:c r="F45" s="8" t="str">
        <x:v>Diego</x:v>
      </x:c>
      <x:c r="G45" s="8" t="str">
        <x:v>blocked</x:v>
      </x:c>
      <x:c r="H45" s="8" t="str">
        <x:v>P0</x:v>
      </x:c>
      <x:c r="I45" s="8" t="str">
        <x:v>2026-03-01</x:v>
      </x:c>
      <x:c r="J45" s="8" t="str">
        <x:v>2026-05-26</x:v>
      </x:c>
      <x:c r="K45" s="8"/>
      <x:c r="L45" s="8" t="str">
        <x:v>Verify behavior on a cold start and after the page reloads without destroying the native view.</x:v>
      </x:c>
      <x:c r="M45" s="8"/>
    </x:row>
    <x:row r="46">
      <x:c r="A46" s="8" t="str">
        <x:v>bridge</x:v>
      </x:c>
      <x:c r="B46" s="8" t="str">
        <x:v>Windows</x:v>
      </x:c>
      <x:c r="C46" s="8" t="str">
        <x:v>blank page after reload</x:v>
      </x:c>
      <x:c r="D46" s="8" t="str">
        <x:v>open case 1039; repeat after reload.</x:v>
      </x:c>
      <x:c r="E46" s="8" t="str">
        <x:v>increase timeout</x:v>
      </x:c>
      <x:c r="F46" s="8" t="str">
        <x:v>Mei</x:v>
      </x:c>
      <x:c r="G46" s="8" t="str">
        <x:v>investigating</x:v>
      </x:c>
      <x:c r="H46" s="8" t="str">
        <x:v>P2</x:v>
      </x:c>
      <x:c r="I46" s="8" t="str">
        <x:v>2026-04-01</x:v>
      </x:c>
      <x:c r="J46" s="8" t="str">
        <x:v>2026-06-27</x:v>
      </x:c>
      <x:c r="K46" s="8"/>
      <x:c r="L46" s="8"/>
      <x:c r="M46" s="8"/>
    </x:row>
    <x:row r="47">
      <x:c r="A47" s="8" t="str">
        <x:v>security</x:v>
      </x:c>
      <x:c r="B47" s="8" t="str">
        <x:v>macOS</x:v>
      </x:c>
      <x:c r="C47" s="8" t="str">
        <x:v>large response times out</x:v>
      </x:c>
      <x:c r="D47" s="8" t="str">
        <x:v>open case 1040; repeat after cold start.</x:v>
      </x:c>
      <x:c r="E47" s="8" t="str">
        <x:v>none yet</x:v>
      </x:c>
      <x:c r="F47" s="8" t="str">
        <x:v>No owner</x:v>
      </x:c>
      <x:c r="G47" s="8" t="str">
        <x:v>open</x:v>
      </x:c>
      <x:c r="H47" s="8" t="str">
        <x:v>P0</x:v>
      </x:c>
      <x:c r="I47" s="8" t="str">
        <x:v>2026-05-01</x:v>
      </x:c>
      <x:c r="J47" s="8" t="str">
        <x:v>2026-07-20</x:v>
      </x:c>
      <x:c r="K47" s="8"/>
      <x:c r="L47" s="8" t="str">
        <x:v>A blank cell here is intentional. The source workbook has notes placed away from the nearest table.</x:v>
      </x:c>
      <x:c r="M47" s="8"/>
    </x:row>
    <x:row r="48">
      <x:c r="A48" s="8" t="str">
        <x:v>security</x:v>
      </x:c>
      <x:c r="B48" s="8" t="str">
        <x:v>Android</x:v>
      </x:c>
      <x:c r="C48" s="8" t="str">
        <x:v>large response times out</x:v>
      </x:c>
      <x:c r="D48" s="8" t="str">
        <x:v>open case 1041; repeat after offline toggle.</x:v>
      </x:c>
      <x:c r="E48" s="8" t="str">
        <x:v>retry after NavigationCompleted</x:v>
      </x:c>
      <x:c r="F48" s="8" t="str">
        <x:v>Asha</x:v>
      </x:c>
      <x:c r="G48" s="8" t="str">
        <x:v>open</x:v>
      </x:c>
      <x:c r="H48" s="8" t="str">
        <x:v>P3</x:v>
      </x:c>
      <x:c r="I48" s="8" t="str">
        <x:v>2026-06-01</x:v>
      </x:c>
      <x:c r="J48" s="8" t="str">
        <x:v>2026-08-21</x:v>
      </x:c>
      <x:c r="K48" s="8" t="str">
        <x:v>https://developer.android.com/reference/android/webkit/WebView</x:v>
      </x:c>
      <x:c r="L48" s="8" t="str">
        <x:v>The bridge callback is stable for small payloads, but large JSON messages show visible delay during navigation.</x:v>
      </x:c>
      <x:c r="M48" s="8"/>
    </x:row>
    <x:row r="49">
      <x:c r="A49" s="8" t="str">
        <x:v>security</x:v>
      </x:c>
      <x:c r="B49" s="8" t="str">
        <x:v>macOS</x:v>
      </x:c>
      <x:c r="C49" s="8" t="str">
        <x:v>large response times out</x:v>
      </x:c>
      <x:c r="D49" s="8" t="str">
        <x:v>open case 1042; repeat after cold start.</x:v>
      </x:c>
      <x:c r="E49" s="8" t="str">
        <x:v>use a bridge queue</x:v>
      </x:c>
      <x:c r="F49" s="8" t="str">
        <x:v>Mei</x:v>
      </x:c>
      <x:c r="G49" s="8" t="str">
        <x:v>blocked</x:v>
      </x:c>
      <x:c r="H49" s="8" t="str">
        <x:v>P0</x:v>
      </x:c>
      <x:c r="I49" s="8" t="str">
        <x:v>2026-07-01</x:v>
      </x:c>
      <x:c r="J49" s="8" t="str">
        <x:v>2026-09-22</x:v>
      </x:c>
      <x:c r="K49" s="8" t="str">
        <x:v>https://developer.android.com/reference/android/webkit/WebView</x:v>
      </x:c>
      <x:c r="L49" s="8" t="str">
        <x:v>Follow-up: compare the result when the network security policy is relaxed versus when it is enforced.</x:v>
      </x:c>
      <x:c r="M49" s="8"/>
    </x:row>
    <x:row r="50">
      <x:c r="A50" s="8" t="str">
        <x:v>navigation</x:v>
      </x:c>
      <x:c r="B50" s="8" t="str">
        <x:v>iOS</x:v>
      </x:c>
      <x:c r="C50" s="8" t="str">
        <x:v>scroll offset resets</x:v>
      </x:c>
      <x:c r="D50" s="8" t="str">
        <x:v>open case 1043; repeat after reload.</x:v>
      </x:c>
      <x:c r="E50" s="8" t="str">
        <x:v>increase timeout</x:v>
      </x:c>
      <x:c r="F50" s="8" t="str">
        <x:v>Ben</x:v>
      </x:c>
      <x:c r="G50" s="8" t="str">
        <x:v>open</x:v>
      </x:c>
      <x:c r="H50" s="8" t="str">
        <x:v>P3</x:v>
      </x:c>
      <x:c r="I50" s="8" t="str">
        <x:v>2026-08-01</x:v>
      </x:c>
      <x:c r="J50" s="8" t="str">
        <x:v>2026-01-23</x:v>
      </x:c>
      <x:c r="K50" s="8" t="str">
        <x:v>https://developer.microsoft.com/en-us/microsoft-edge/webview2/</x:v>
      </x:c>
      <x:c r="L50" s="8"/>
      <x:c r="M50" s="8"/>
    </x:row>
    <x:row r="51">
      <x:c r="A51" s="8" t="str">
        <x:v>host object</x:v>
      </x:c>
      <x:c r="B51" s="8" t="str">
        <x:v>macOS</x:v>
      </x:c>
      <x:c r="C51" s="8" t="str">
        <x:v>console event missing</x:v>
      </x:c>
      <x:c r="D51" s="8"/>
      <x:c r="E51" s="8" t="str">
        <x:v>reproduce on clean profile</x:v>
      </x:c>
      <x:c r="F51" s="8" t="str">
        <x:v>Asha</x:v>
      </x:c>
      <x:c r="G51" s="8" t="str">
        <x:v>investigating</x:v>
      </x:c>
      <x:c r="H51" s="8" t="str">
        <x:v>P0</x:v>
      </x:c>
      <x:c r="I51" s="8" t="str">
        <x:v>2026-09-01</x:v>
      </x:c>
      <x:c r="J51" s="8" t="str">
        <x:v>2026-02-24</x:v>
      </x:c>
      <x:c r="K51" s="8"/>
      <x:c r="L51" s="8"/>
      <x:c r="M51" s="8"/>
    </x:row>
    <x:row r="52">
      <x:c r="A52" s="8" t="str">
        <x:v>bridge</x:v>
      </x:c>
      <x:c r="B52" s="8" t="str">
        <x:v>Linux</x:v>
      </x:c>
      <x:c r="C52" s="8" t="str">
        <x:v>blank page after reload</x:v>
      </x:c>
      <x:c r="D52" s="8" t="str">
        <x:v>open case 1045; repeat after reload.</x:v>
      </x:c>
      <x:c r="E52" s="8" t="str">
        <x:v>set explicit user agent</x:v>
      </x:c>
      <x:c r="F52" s="8" t="str">
        <x:v>Ben</x:v>
      </x:c>
      <x:c r="G52" s="8" t="str">
        <x:v>needs reproduction</x:v>
      </x:c>
      <x:c r="H52" s="8" t="str">
        <x:v>P3</x:v>
      </x:c>
      <x:c r="I52" s="8" t="str">
        <x:v>2026-01-01</x:v>
      </x:c>
      <x:c r="J52" s="8" t="str">
        <x:v>2026-03-25</x:v>
      </x:c>
      <x:c r="K52" s="8"/>
      <x:c r="L52" s="8" t="str">
        <x:v>Verify behavior on a cold start and after the page reloads without destroying the native view.</x:v>
      </x:c>
      <x:c r="M52" s="8"/>
    </x:row>
    <x:row r="53">
      <x:c r="A53" s="8" t="str">
        <x:v>navigation</x:v>
      </x:c>
      <x:c r="B53" s="8" t="str">
        <x:v>macOS</x:v>
      </x:c>
      <x:c r="C53" s="8" t="str">
        <x:v>resource blocked by policy</x:v>
      </x:c>
      <x:c r="D53" s="8" t="str">
        <x:v>open case 1046; repeat after offline toggle.</x:v>
      </x:c>
      <x:c r="E53" s="8" t="str">
        <x:v>use a bridge queue</x:v>
      </x:c>
      <x:c r="F53" s="8" t="str">
        <x:v>Ben</x:v>
      </x:c>
      <x:c r="G53" s="8" t="str">
        <x:v>needs reproduction</x:v>
      </x:c>
      <x:c r="H53" s="8" t="str">
        <x:v>P1</x:v>
      </x:c>
      <x:c r="I53" s="8" t="str">
        <x:v>2026-02-01</x:v>
      </x:c>
      <x:c r="J53" s="8" t="str">
        <x:v>2026-04-26</x:v>
      </x:c>
      <x:c r="K53" s="8" t="str">
        <x:v>https://developer.microsoft.com/en-us/microsoft-edge/webview2/</x:v>
      </x:c>
      <x:c r="L53" s="8" t="str">
        <x:v>Observed in a local test run: the content rendered, but the console warning appeared twice.</x:v>
      </x:c>
      <x:c r="M53" s="8"/>
    </x:row>
    <x:row r="54">
      <x:c r="A54" s="8" t="str">
        <x:v>Category</x:v>
      </x:c>
      <x:c r="B54" s="8" t="str">
        <x:v>Platform</x:v>
      </x:c>
      <x:c r="C54" s="8" t="str">
        <x:v>Symptom</x:v>
      </x:c>
      <x:c r="D54" s="8" t="str">
        <x:v>Reproduction</x:v>
      </x:c>
      <x:c r="E54" s="8" t="str">
        <x:v>Workaround</x:v>
      </x:c>
      <x:c r="F54" s="8" t="str">
        <x:v>Owner</x:v>
      </x:c>
      <x:c r="G54" s="8" t="str">
        <x:v>Status</x:v>
      </x:c>
      <x:c r="H54" s="8" t="str">
        <x:v>Severity</x:v>
      </x:c>
      <x:c r="I54" s="8" t="str">
        <x:v>First seen</x:v>
      </x:c>
      <x:c r="J54" s="8" t="str">
        <x:v>Last seen</x:v>
      </x:c>
      <x:c r="K54" s="8" t="str">
        <x:v>Reference</x:v>
      </x:c>
      <x:c r="L54" s="8" t="str">
        <x:v>Free note</x:v>
      </x:c>
      <x:c r="M54" s="8" t="str">
        <x:v>repeated header</x:v>
      </x:c>
    </x:row>
    <x:row r="55">
      <x:c r="A55" s="8" t="str">
        <x:v>storage</x:v>
      </x:c>
      <x:c r="B55" s="8" t="str">
        <x:v>iOS</x:v>
      </x:c>
      <x:c r="C55" s="8" t="str">
        <x:v>focus leaves native control</x:v>
      </x:c>
      <x:c r="D55" s="8" t="str">
        <x:v>open case 1047; repeat after sleep.</x:v>
      </x:c>
      <x:c r="E55" s="8" t="str">
        <x:v>none yet</x:v>
      </x:c>
      <x:c r="F55" s="8" t="str">
        <x:v>Mei</x:v>
      </x:c>
      <x:c r="G55" s="8" t="str">
        <x:v>needs reproduction</x:v>
      </x:c>
      <x:c r="H55" s="8" t="str">
        <x:v>P1</x:v>
      </x:c>
      <x:c r="I55" s="8" t="str">
        <x:v>2026-03-01</x:v>
      </x:c>
      <x:c r="J55" s="8" t="str">
        <x:v>2026-05-27</x:v>
      </x:c>
      <x:c r="K55" s="8" t="str">
        <x:v>https://developer.android.com/reference/android/webkit/WebView</x:v>
      </x:c>
      <x:c r="L55" s="8" t="str">
        <x:v>The bridge callback is stable for small payloads, but large JSON messages show visible delay during navigation.</x:v>
      </x:c>
      <x:c r="M55" s="8"/>
    </x:row>
    <x:row r="56">
      <x:c r="A56" s="8" t="str">
        <x:v>security</x:v>
      </x:c>
      <x:c r="B56" s="8" t="str">
        <x:v>macOS</x:v>
      </x:c>
      <x:c r="C56" s="8" t="str">
        <x:v>focus leaves native control</x:v>
      </x:c>
      <x:c r="D56" s="8" t="str">
        <x:v>open case 1048; repeat after reload.</x:v>
      </x:c>
      <x:c r="E56" s="8" t="str">
        <x:v>use a bridge queue</x:v>
      </x:c>
      <x:c r="F56" s="8" t="str">
        <x:v>Asha</x:v>
      </x:c>
      <x:c r="G56" s="8" t="str">
        <x:v>needs reproduction</x:v>
      </x:c>
      <x:c r="H56" s="8" t="str">
        <x:v>P1</x:v>
      </x:c>
      <x:c r="I56" s="8" t="str">
        <x:v>2026-04-01</x:v>
      </x:c>
      <x:c r="J56" s="8" t="str">
        <x:v>2026-06-20</x:v>
      </x:c>
      <x:c r="K56" s="8"/>
      <x:c r="L56" s="8" t="str">
        <x:v>This sentence is long enough to exercise wrapping and downstream chunk boundaries in Markdown output.</x:v>
      </x:c>
      <x:c r="M56" s="8"/>
    </x:row>
    <x:row r="57">
      <x:c r="A57" s="8" t="str">
        <x:v>storage</x:v>
      </x:c>
      <x:c r="B57" s="8" t="str">
        <x:v>iOS</x:v>
      </x:c>
      <x:c r="C57" s="8" t="str">
        <x:v>scroll offset resets</x:v>
      </x:c>
      <x:c r="D57" s="8" t="str">
        <x:v>open case 1049; repeat after cold start.</x:v>
      </x:c>
      <x:c r="E57" s="8" t="str">
        <x:v>none yet</x:v>
      </x:c>
      <x:c r="F57" s="8" t="str">
        <x:v>Ben</x:v>
      </x:c>
      <x:c r="G57" s="8" t="str">
        <x:v>needs reproduction</x:v>
      </x:c>
      <x:c r="H57" s="8" t="str">
        <x:v>P1</x:v>
      </x:c>
      <x:c r="I57" s="8" t="str">
        <x:v>2026-05-01</x:v>
      </x:c>
      <x:c r="J57" s="8" t="str">
        <x:v>2026-07-21</x:v>
      </x:c>
      <x:c r="K57" s="8" t="str">
        <x:v>https://learn.microsoft.com/en-us/microsoft-edge/webview2/concepts/security</x:v>
      </x:c>
      <x:c r="L57" s="8"/>
      <x:c r="M57" s="8"/>
    </x:row>
    <x:row r="58">
      <x:c r="A58" s="8" t="str">
        <x:v>host object</x:v>
      </x:c>
      <x:c r="B58" s="8" t="str">
        <x:v>Android</x:v>
      </x:c>
      <x:c r="C58" s="8" t="str">
        <x:v>large response times out</x:v>
      </x:c>
      <x:c r="D58" s="8" t="str">
        <x:v>open case 1050; repeat after offline toggle.</x:v>
      </x:c>
      <x:c r="E58" s="8" t="str">
        <x:v>retry after NavigationCompleted</x:v>
      </x:c>
      <x:c r="F58" s="8" t="str">
        <x:v>Carla</x:v>
      </x:c>
      <x:c r="G58" s="8" t="str">
        <x:v>needs reproduction</x:v>
      </x:c>
      <x:c r="H58" s="8" t="str">
        <x:v>P0</x:v>
      </x:c>
      <x:c r="I58" s="8" t="str">
        <x:v>2026-06-01</x:v>
      </x:c>
      <x:c r="J58" s="8" t="str">
        <x:v>2026-08-22</x:v>
      </x:c>
      <x:c r="K58" s="8"/>
      <x:c r="L58" s="8" t="str">
        <x:v>Follow-up: compare the result when the network security policy is relaxed versus when it is enforced.</x:v>
      </x:c>
      <x:c r="M58" s="8"/>
    </x:row>
    <x:row r="59">
      <x:c r="A59" s="8" t="str">
        <x:v>lifecycle</x:v>
      </x:c>
      <x:c r="B59" s="8" t="str">
        <x:v>iOS</x:v>
      </x:c>
      <x:c r="C59" s="8" t="str">
        <x:v>console event missing</x:v>
      </x:c>
      <x:c r="D59" s="8"/>
      <x:c r="E59" s="8" t="str">
        <x:v>use a bridge queue</x:v>
      </x:c>
      <x:c r="F59" s="8" t="str">
        <x:v>Asha</x:v>
      </x:c>
      <x:c r="G59" s="8" t="str">
        <x:v>investigating</x:v>
      </x:c>
      <x:c r="H59" s="8" t="str">
        <x:v>P1</x:v>
      </x:c>
      <x:c r="I59" s="8" t="str">
        <x:v>2026-07-01</x:v>
      </x:c>
      <x:c r="J59" s="8" t="str">
        <x:v>2026-09-23</x:v>
      </x:c>
      <x:c r="K59" s="8"/>
      <x:c r="L59" s="8" t="str">
        <x:v>The bridge callback is stable for small payloads, but large JSON messages show visible delay during navigation.</x:v>
      </x:c>
      <x:c r="M59" s="8"/>
    </x:row>
    <x:row r="60">
      <x:c r="A60" s="8" t="str">
        <x:v>storage</x:v>
      </x:c>
      <x:c r="B60" s="8" t="str">
        <x:v>macOS</x:v>
      </x:c>
      <x:c r="C60" s="8" t="str">
        <x:v>large response times out</x:v>
      </x:c>
      <x:c r="D60" s="8" t="str">
        <x:v>open case 1052; repeat after reload.</x:v>
      </x:c>
      <x:c r="E60" s="8" t="str">
        <x:v>increase timeout</x:v>
      </x:c>
      <x:c r="F60" s="8" t="str">
        <x:v>No owner</x:v>
      </x:c>
      <x:c r="G60" s="8" t="str">
        <x:v>needs reproduction</x:v>
      </x:c>
      <x:c r="H60" s="8" t="str">
        <x:v>P0</x:v>
      </x:c>
      <x:c r="I60" s="8" t="str">
        <x:v>2026-08-01</x:v>
      </x:c>
      <x:c r="J60" s="8" t="str">
        <x:v>2026-01-24</x:v>
      </x:c>
      <x:c r="K60" s="8"/>
      <x:c r="L60" s="8"/>
      <x:c r="M60" s="8"/>
    </x:row>
    <x:row r="61">
      <x:c r="A61" s="8" t="str">
        <x:v>storage</x:v>
      </x:c>
      <x:c r="B61" s="8" t="str">
        <x:v>Windows</x:v>
      </x:c>
      <x:c r="C61" s="8" t="str">
        <x:v>console event missing</x:v>
      </x:c>
      <x:c r="D61" s="8" t="str">
        <x:v>open case 1053; repeat after sleep.</x:v>
      </x:c>
      <x:c r="E61" s="8" t="str">
        <x:v>reproduce on clean profile</x:v>
      </x:c>
      <x:c r="F61" s="8" t="str">
        <x:v>Mei</x:v>
      </x:c>
      <x:c r="G61" s="8" t="str">
        <x:v>investigating</x:v>
      </x:c>
      <x:c r="H61" s="8" t="str">
        <x:v>P2</x:v>
      </x:c>
      <x:c r="I61" s="8" t="str">
        <x:v>2026-09-01</x:v>
      </x:c>
      <x:c r="J61" s="8" t="str">
        <x:v>2026-02-25</x:v>
      </x:c>
      <x:c r="K61" s="8" t="str">
        <x:v>https://developer.apple.com/documentation/webkit/wkwebview</x:v>
      </x:c>
      <x:c r="L61" s="8"/>
      <x:c r="M61" s="8"/>
    </x:row>
    <x:row r="62">
      <x:c r="A62" s="8" t="str">
        <x:v>storage</x:v>
      </x:c>
      <x:c r="B62" s="8" t="str">
        <x:v>Android</x:v>
      </x:c>
      <x:c r="C62" s="8" t="str">
        <x:v>large response times out</x:v>
      </x:c>
      <x:c r="D62" s="8" t="str">
        <x:v>open case 1054; repeat after offline toggle.</x:v>
      </x:c>
      <x:c r="E62" s="8" t="str">
        <x:v>none yet</x:v>
      </x:c>
      <x:c r="F62" s="8" t="str">
        <x:v>Ben</x:v>
      </x:c>
      <x:c r="G62" s="8" t="str">
        <x:v>resolved</x:v>
      </x:c>
      <x:c r="H62" s="8" t="str">
        <x:v>P0</x:v>
      </x:c>
      <x:c r="I62" s="8" t="str">
        <x:v>2026-01-01</x:v>
      </x:c>
      <x:c r="J62" s="8" t="str">
        <x:v>2026-03-26</x:v>
      </x:c>
      <x:c r="K62" s="8" t="str">
        <x:v>https://developer.apple.com/documentation/webkit/wkwebview</x:v>
      </x:c>
      <x:c r="L62" s="8" t="str">
        <x:v>The owner field was not captured in the original notes, so classification should remain conservative.</x:v>
      </x:c>
      <x:c r="M62" s="8"/>
    </x:row>
    <x:row r="63">
      <x:c r="A63" s="8" t="str">
        <x:v>navigation</x:v>
      </x:c>
      <x:c r="B63" s="8" t="str">
        <x:v>Windows</x:v>
      </x:c>
      <x:c r="C63" s="8" t="str">
        <x:v>console event missing</x:v>
      </x:c>
      <x:c r="D63" s="8" t="str">
        <x:v>open case 1055; repeat after cold start.</x:v>
      </x:c>
      <x:c r="E63" s="8" t="str">
        <x:v>increase timeout</x:v>
      </x:c>
      <x:c r="F63" s="8" t="str">
        <x:v>No owner</x:v>
      </x:c>
      <x:c r="G63" s="8" t="str">
        <x:v>needs reproduction</x:v>
      </x:c>
      <x:c r="H63" s="8" t="str">
        <x:v>P1</x:v>
      </x:c>
      <x:c r="I63" s="8" t="str">
        <x:v>2026-02-01</x:v>
      </x:c>
      <x:c r="J63" s="8" t="str">
        <x:v>2026-04-27</x:v>
      </x:c>
      <x:c r="K63" s="8"/>
      <x:c r="L63" s="8" t="str">
        <x:v>This sentence is long enough to exercise wrapping and downstream chunk boundaries in Markdown output.</x:v>
      </x:c>
      <x:c r="M63" s="8"/>
    </x:row>
    <x:row r="64">
      <x:c r="A64" s="8" t="str">
        <x:v>security</x:v>
      </x:c>
      <x:c r="B64" s="8" t="str">
        <x:v>macOS</x:v>
      </x:c>
      <x:c r="C64" s="8" t="str">
        <x:v>console event missing</x:v>
      </x:c>
      <x:c r="D64" s="8" t="str">
        <x:v>open case 1056; repeat after sleep.</x:v>
      </x:c>
      <x:c r="E64" s="8" t="str">
        <x:v>reproduce on clean profile</x:v>
      </x:c>
      <x:c r="F64" s="8" t="str">
        <x:v>Asha</x:v>
      </x:c>
      <x:c r="G64" s="8" t="str">
        <x:v>open</x:v>
      </x:c>
      <x:c r="H64" s="8" t="str">
        <x:v>P2</x:v>
      </x:c>
      <x:c r="I64" s="8" t="str">
        <x:v>2026-03-01</x:v>
      </x:c>
      <x:c r="J64" s="8" t="str">
        <x:v>2026-05-20</x:v>
      </x:c>
      <x:c r="K64" s="8" t="str">
        <x:v>https://developer.apple.com/documentation/webkit/wkwebview</x:v>
      </x:c>
      <x:c r="L64" s="8" t="str">
        <x:v>Potential duplicate: this paragraph is repeated in another section to test deduplication and chunk metadata.</x:v>
      </x:c>
      <x:c r="M64" s="8"/>
    </x:row>
    <x:row r="65">
      <x:c r="A65" s="8" t="str">
        <x:v>lifecycle</x:v>
      </x:c>
      <x:c r="B65" s="8" t="str">
        <x:v>macOS</x:v>
      </x:c>
      <x:c r="C65" s="8" t="str">
        <x:v>large response times out</x:v>
      </x:c>
      <x:c r="D65" s="8"/>
      <x:c r="E65" s="8" t="str">
        <x:v>set explicit user agent</x:v>
      </x:c>
      <x:c r="F65" s="8" t="str">
        <x:v>Asha</x:v>
      </x:c>
      <x:c r="G65" s="8" t="str">
        <x:v>investigating</x:v>
      </x:c>
      <x:c r="H65" s="8" t="str">
        <x:v>P2</x:v>
      </x:c>
      <x:c r="I65" s="8" t="str">
        <x:v>2026-04-01</x:v>
      </x:c>
      <x:c r="J65" s="8" t="str">
        <x:v>2026-06-21</x:v>
      </x:c>
      <x:c r="K65" s="8"/>
      <x:c r="L65" s="8"/>
      <x:c r="M65" s="8"/>
    </x:row>
    <x:row r="66">
      <x:c r="A66" s="8" t="str">
        <x:v>security</x:v>
      </x:c>
      <x:c r="B66" s="8" t="str">
        <x:v>iOS</x:v>
      </x:c>
      <x:c r="C66" s="8" t="str">
        <x:v>scroll offset resets</x:v>
      </x:c>
      <x:c r="D66" s="8" t="str">
        <x:v>open case 1058; repeat after offline toggle.</x:v>
      </x:c>
      <x:c r="E66" s="8" t="str">
        <x:v>retry after NavigationCompleted</x:v>
      </x:c>
      <x:c r="F66" s="8" t="str">
        <x:v>Ben</x:v>
      </x:c>
      <x:c r="G66" s="8" t="str">
        <x:v>investigating</x:v>
      </x:c>
      <x:c r="H66" s="8" t="str">
        <x:v>P2</x:v>
      </x:c>
      <x:c r="I66" s="8" t="str">
        <x:v>2026-05-01</x:v>
      </x:c>
      <x:c r="J66" s="8" t="str">
        <x:v>2026-07-22</x:v>
      </x:c>
      <x:c r="K66" s="8" t="str">
        <x:v>https://github.com/react-native-webview/react-native-webview</x:v>
      </x:c>
      <x:c r="L66" s="8" t="str">
        <x:v>Observed in a local test run: the content rendered, but the console warning appeared twice.</x:v>
      </x:c>
      <x:c r="M66" s="8"/>
    </x:row>
    <x:row r="67">
      <x:c r="A67" s="8" t="str">
        <x:v>lifecycle</x:v>
      </x:c>
      <x:c r="B67" s="8" t="str">
        <x:v>Windows</x:v>
      </x:c>
      <x:c r="C67" s="8" t="str">
        <x:v>console event missing</x:v>
      </x:c>
      <x:c r="D67" s="8" t="str">
        <x:v>open case 1059; repeat after cold start.</x:v>
      </x:c>
      <x:c r="E67" s="8" t="str">
        <x:v>use a bridge queue</x:v>
      </x:c>
      <x:c r="F67" s="8" t="str">
        <x:v>Ben</x:v>
      </x:c>
      <x:c r="G67" s="8" t="str">
        <x:v>investigating</x:v>
      </x:c>
      <x:c r="H67" s="8" t="str">
        <x:v>P1</x:v>
      </x:c>
      <x:c r="I67" s="8" t="str">
        <x:v>2026-06-01</x:v>
      </x:c>
      <x:c r="J67" s="8" t="str">
        <x:v>2026-08-23</x:v>
      </x:c>
      <x:c r="K67" s="8" t="str">
        <x:v>https://learn.microsoft.com/en-us/microsoft-edge/webview2/concepts/security</x:v>
      </x:c>
      <x:c r="L67" s="8"/>
      <x:c r="M67" s="8"/>
    </x:row>
    <x:row r="68">
      <x:c r="A68" s="8" t="str">
        <x:v>lifecycle</x:v>
      </x:c>
      <x:c r="B68" s="8" t="str">
        <x:v>Windows</x:v>
      </x:c>
      <x:c r="C68" s="8" t="str">
        <x:v>scroll offset resets</x:v>
      </x:c>
      <x:c r="D68" s="8" t="str">
        <x:v>open case 1060; repeat after sleep.</x:v>
      </x:c>
      <x:c r="E68" s="8" t="str">
        <x:v>none yet</x:v>
      </x:c>
      <x:c r="F68" s="8" t="str">
        <x:v>No owner</x:v>
      </x:c>
      <x:c r="G68" s="8" t="str">
        <x:v>open</x:v>
      </x:c>
      <x:c r="H68" s="8" t="str">
        <x:v>P1</x:v>
      </x:c>
      <x:c r="I68" s="8" t="str">
        <x:v>2026-07-01</x:v>
      </x:c>
      <x:c r="J68" s="8" t="str">
        <x:v>2026-09-24</x:v>
      </x:c>
      <x:c r="K68" s="8" t="str">
        <x:v>https://developer.android.com/reference/android/webkit/WebView</x:v>
      </x:c>
      <x:c r="L68" s="8" t="str">
        <x:v>This sentence is long enough to exercise wrapping and downstream chunk boundaries in Markdown output.</x:v>
      </x:c>
      <x:c r="M68" s="8"/>
    </x:row>
    <x:row r="69">
      <x:c r="A69" s="8" t="str">
        <x:v>storage</x:v>
      </x:c>
      <x:c r="B69" s="8" t="str">
        <x:v>Windows</x:v>
      </x:c>
      <x:c r="C69" s="8" t="str">
        <x:v>console event missing</x:v>
      </x:c>
      <x:c r="D69" s="8" t="str">
        <x:v>open case 1061; repeat after sleep.</x:v>
      </x:c>
      <x:c r="E69" s="8" t="str">
        <x:v>retry after NavigationCompleted</x:v>
      </x:c>
      <x:c r="F69" s="8" t="str">
        <x:v>Asha</x:v>
      </x:c>
      <x:c r="G69" s="8" t="str">
        <x:v>open</x:v>
      </x:c>
      <x:c r="H69" s="8" t="str">
        <x:v>P0</x:v>
      </x:c>
      <x:c r="I69" s="8" t="str">
        <x:v>2026-08-01</x:v>
      </x:c>
      <x:c r="J69" s="8" t="str">
        <x:v>2026-01-25</x:v>
      </x:c>
      <x:c r="K69" s="8"/>
      <x:c r="L69" s="8" t="str">
        <x:v>Observed in a local test run: the content rendered, but the console warning appeared twice.</x:v>
      </x:c>
      <x:c r="M69" s="8"/>
    </x:row>
    <x:row r="70">
      <x:c r="A70" s="8"/>
      <x:c r="B70" s="8"/>
      <x:c r="C70" s="8"/>
      <x:c r="D70" s="8"/>
      <x:c r="E70" s="8"/>
      <x:c r="F70" s="8"/>
      <x:c r="G70" s="8"/>
      <x:c r="H70" s="8"/>
      <x:c r="I70" s="8"/>
      <x:c r="J70" s="8"/>
      <x:c r="K70" s="8"/>
      <x:c r="L70" s="8"/>
      <x:c r="M70" s="8"/>
    </x:row>
    <x:row r="71">
      <x:c r="A71" s="8" t="str">
        <x:v>navigation</x:v>
      </x:c>
      <x:c r="B71" s="8" t="str">
        <x:v>Android</x:v>
      </x:c>
      <x:c r="C71" s="8" t="str">
        <x:v>resource blocked by policy</x:v>
      </x:c>
      <x:c r="D71" s="8" t="str">
        <x:v>open case 1062; repeat after sleep.</x:v>
      </x:c>
      <x:c r="E71" s="8" t="str">
        <x:v>none yet</x:v>
      </x:c>
      <x:c r="F71" s="8" t="str">
        <x:v>No owner</x:v>
      </x:c>
      <x:c r="G71" s="8" t="str">
        <x:v>resolved</x:v>
      </x:c>
      <x:c r="H71" s="8" t="str">
        <x:v>P3</x:v>
      </x:c>
      <x:c r="I71" s="8" t="str">
        <x:v>2026-09-01</x:v>
      </x:c>
      <x:c r="J71" s="8" t="str">
        <x:v>2026-02-26</x:v>
      </x:c>
      <x:c r="K71" s="8"/>
      <x:c r="L71" s="8"/>
      <x:c r="M71" s="8"/>
    </x:row>
    <x:row r="72">
      <x:c r="A72" s="8" t="str">
        <x:v>navigation</x:v>
      </x:c>
      <x:c r="B72" s="8" t="str">
        <x:v>macOS</x:v>
      </x:c>
      <x:c r="C72" s="8" t="str">
        <x:v>console event missing</x:v>
      </x:c>
      <x:c r="D72" s="8"/>
      <x:c r="E72" s="8" t="str">
        <x:v>use a bridge queue</x:v>
      </x:c>
      <x:c r="F72" s="8" t="str">
        <x:v>Carla</x:v>
      </x:c>
      <x:c r="G72" s="8" t="str">
        <x:v>blocked</x:v>
      </x:c>
      <x:c r="H72" s="8" t="str">
        <x:v>P0</x:v>
      </x:c>
      <x:c r="I72" s="8" t="str">
        <x:v>2026-01-01</x:v>
      </x:c>
      <x:c r="J72" s="8" t="str">
        <x:v>2026-03-27</x:v>
      </x:c>
      <x:c r="K72" s="8"/>
      <x:c r="L72" s="8" t="str">
        <x:v>Observed in a local test run: the content rendered, but the console warning appeared twice.</x:v>
      </x:c>
      <x:c r="M72" s="8"/>
    </x:row>
    <x:row r="73">
      <x:c r="A73" s="8" t="str">
        <x:v>navigation</x:v>
      </x:c>
      <x:c r="B73" s="8" t="str">
        <x:v>iOS</x:v>
      </x:c>
      <x:c r="C73" s="8" t="str">
        <x:v>resource blocked by policy</x:v>
      </x:c>
      <x:c r="D73" s="8" t="str">
        <x:v>open case 1064; repeat after reload.</x:v>
      </x:c>
      <x:c r="E73" s="8" t="str">
        <x:v>reproduce on clean profile</x:v>
      </x:c>
      <x:c r="F73" s="8" t="str">
        <x:v>Asha</x:v>
      </x:c>
      <x:c r="G73" s="8" t="str">
        <x:v>investigating</x:v>
      </x:c>
      <x:c r="H73" s="8" t="str">
        <x:v>P2</x:v>
      </x:c>
      <x:c r="I73" s="8" t="str">
        <x:v>2026-02-01</x:v>
      </x:c>
      <x:c r="J73" s="8" t="str">
        <x:v>2026-04-20</x:v>
      </x:c>
      <x:c r="K73" s="8" t="str">
        <x:v>https://developer.android.com/reference/android/webkit/WebView</x:v>
      </x:c>
      <x:c r="L73" s="8" t="str">
        <x:v>Verify behavior on a cold start and after the page reloads without destroying the native view.</x:v>
      </x:c>
      <x:c r="M73" s="8"/>
    </x:row>
    <x:row r="74">
      <x:c r="A74" s="8" t="str">
        <x:v>navigation</x:v>
      </x:c>
      <x:c r="B74" s="8" t="str">
        <x:v>iOS</x:v>
      </x:c>
      <x:c r="C74" s="8" t="str">
        <x:v>console event missing</x:v>
      </x:c>
      <x:c r="D74" s="8" t="str">
        <x:v>open case 1065; repeat after sleep.</x:v>
      </x:c>
      <x:c r="E74" s="8" t="str">
        <x:v>retry after NavigationCompleted</x:v>
      </x:c>
      <x:c r="F74" s="8" t="str">
        <x:v>Ben</x:v>
      </x:c>
      <x:c r="G74" s="8" t="str">
        <x:v>needs reproduction</x:v>
      </x:c>
      <x:c r="H74" s="8" t="str">
        <x:v>P0</x:v>
      </x:c>
      <x:c r="I74" s="8" t="str">
        <x:v>2026-03-01</x:v>
      </x:c>
      <x:c r="J74" s="8" t="str">
        <x:v>2026-05-21</x:v>
      </x:c>
      <x:c r="K74" s="8"/>
      <x:c r="L74" s="8" t="str">
        <x:v>The bridge callback is stable for small payloads, but large JSON messages show visible delay during navigation.</x:v>
      </x:c>
      <x:c r="M74" s="8"/>
    </x:row>
    <x:row r="75">
      <x:c r="A75" s="8" t="str">
        <x:v>security</x:v>
      </x:c>
      <x:c r="B75" s="8" t="str">
        <x:v>iOS</x:v>
      </x:c>
      <x:c r="C75" s="8" t="str">
        <x:v>scroll offset resets</x:v>
      </x:c>
      <x:c r="D75" s="8" t="str">
        <x:v>open case 1066; repeat after cold start.</x:v>
      </x:c>
      <x:c r="E75" s="8" t="str">
        <x:v>retry after NavigationCompleted</x:v>
      </x:c>
      <x:c r="F75" s="8" t="str">
        <x:v>Carla</x:v>
      </x:c>
      <x:c r="G75" s="8" t="str">
        <x:v>needs reproduction</x:v>
      </x:c>
      <x:c r="H75" s="8" t="str">
        <x:v>P3</x:v>
      </x:c>
      <x:c r="I75" s="8" t="str">
        <x:v>2026-04-01</x:v>
      </x:c>
      <x:c r="J75" s="8" t="str">
        <x:v>2026-06-22</x:v>
      </x:c>
      <x:c r="K75" s="8" t="str">
        <x:v>https://learn.microsoft.com/en-us/microsoft-edge/webview2/concepts/security</x:v>
      </x:c>
      <x:c r="L75" s="8"/>
      <x:c r="M75" s="8"/>
    </x:row>
    <x:row r="76">
      <x:c r="A76" s="8" t="str">
        <x:v>security</x:v>
      </x:c>
      <x:c r="B76" s="8" t="str">
        <x:v>macOS</x:v>
      </x:c>
      <x:c r="C76" s="8" t="str">
        <x:v>scroll offset resets</x:v>
      </x:c>
      <x:c r="D76" s="8" t="str">
        <x:v>open case 1067; repeat after cold start.</x:v>
      </x:c>
      <x:c r="E76" s="8" t="str">
        <x:v>set explicit user agent</x:v>
      </x:c>
      <x:c r="F76" s="8" t="str">
        <x:v>No owner</x:v>
      </x:c>
      <x:c r="G76" s="8" t="str">
        <x:v>investigating</x:v>
      </x:c>
      <x:c r="H76" s="8" t="str">
        <x:v>P2</x:v>
      </x:c>
      <x:c r="I76" s="8" t="str">
        <x:v>2026-05-01</x:v>
      </x:c>
      <x:c r="J76" s="8" t="str">
        <x:v>2026-07-23</x:v>
      </x:c>
      <x:c r="K76" s="8"/>
      <x:c r="L76" s="8"/>
      <x:c r="M76" s="8"/>
    </x:row>
    <x:row r="77">
      <x:c r="A77" s="8" t="str">
        <x:v>lifecycle</x:v>
      </x:c>
      <x:c r="B77" s="8" t="str">
        <x:v>Android</x:v>
      </x:c>
      <x:c r="C77" s="8" t="str">
        <x:v>console event missing</x:v>
      </x:c>
      <x:c r="D77" s="8" t="str">
        <x:v>open case 1068; repeat after offline toggle.</x:v>
      </x:c>
      <x:c r="E77" s="8" t="str">
        <x:v>increase timeout</x:v>
      </x:c>
      <x:c r="F77" s="8" t="str">
        <x:v>Ben</x:v>
      </x:c>
      <x:c r="G77" s="8" t="str">
        <x:v>blocked</x:v>
      </x:c>
      <x:c r="H77" s="8" t="str">
        <x:v>P2</x:v>
      </x:c>
      <x:c r="I77" s="8" t="str">
        <x:v>2026-06-01</x:v>
      </x:c>
      <x:c r="J77" s="8" t="str">
        <x:v>2026-08-24</x:v>
      </x:c>
      <x:c r="K77" s="8"/>
      <x:c r="L77" s="8" t="str">
        <x:v>Verify behavior on a cold start and after the page reloads without destroying the native view.</x:v>
      </x:c>
      <x:c r="M77" s="8"/>
    </x:row>
    <x:row r="78">
      <x:c r="A78" s="8" t="str">
        <x:v>security</x:v>
      </x:c>
      <x:c r="B78" s="8" t="str">
        <x:v>macOS</x:v>
      </x:c>
      <x:c r="C78" s="8" t="str">
        <x:v>scroll offset resets</x:v>
      </x:c>
      <x:c r="D78" s="8"/>
      <x:c r="E78" s="8" t="str">
        <x:v>none yet</x:v>
      </x:c>
      <x:c r="F78" s="8" t="str">
        <x:v>Diego</x:v>
      </x:c>
      <x:c r="G78" s="8" t="str">
        <x:v>investigating</x:v>
      </x:c>
      <x:c r="H78" s="8" t="str">
        <x:v>P3</x:v>
      </x:c>
      <x:c r="I78" s="8" t="str">
        <x:v>2026-07-01</x:v>
      </x:c>
      <x:c r="J78" s="8" t="str">
        <x:v>2026-09-25</x:v>
      </x:c>
      <x:c r="K78" s="8"/>
      <x:c r="L78" s="8" t="str">
        <x:v>A blank cell here is intentional. The source workbook has notes placed away from the nearest table.</x:v>
      </x:c>
      <x:c r="M78" s="8"/>
    </x:row>
    <x:row r="79">
      <x:c r="A79" s="8" t="str">
        <x:v>security</x:v>
      </x:c>
      <x:c r="B79" s="8" t="str">
        <x:v>iOS</x:v>
      </x:c>
      <x:c r="C79" s="8" t="str">
        <x:v>blank page after reload</x:v>
      </x:c>
      <x:c r="D79" s="8" t="str">
        <x:v>open case 1070; repeat after cold start.</x:v>
      </x:c>
      <x:c r="E79" s="8" t="str">
        <x:v>retry after NavigationCompleted</x:v>
      </x:c>
      <x:c r="F79" s="8" t="str">
        <x:v>Carla</x:v>
      </x:c>
      <x:c r="G79" s="8" t="str">
        <x:v>investigating</x:v>
      </x:c>
      <x:c r="H79" s="8" t="str">
        <x:v>P1</x:v>
      </x:c>
      <x:c r="I79" s="8" t="str">
        <x:v>2026-08-01</x:v>
      </x:c>
      <x:c r="J79" s="8" t="str">
        <x:v>2026-01-26</x:v>
      </x:c>
      <x:c r="K79" s="8" t="str">
        <x:v>https://learn.microsoft.com/en-us/microsoft-edge/webview2/concepts/security</x:v>
      </x:c>
      <x:c r="L79" s="8"/>
      <x:c r="M79" s="8"/>
    </x:row>
    <x:row r="80">
      <x:c r="A80" s="8" t="str">
        <x:v>bridge</x:v>
      </x:c>
      <x:c r="B80" s="8" t="str">
        <x:v>Android</x:v>
      </x:c>
      <x:c r="C80" s="8" t="str">
        <x:v>scroll offset resets</x:v>
      </x:c>
      <x:c r="D80" s="8" t="str">
        <x:v>open case 1071; repeat after reload.</x:v>
      </x:c>
      <x:c r="E80" s="8" t="str">
        <x:v>retry after NavigationCompleted</x:v>
      </x:c>
      <x:c r="F80" s="8" t="str">
        <x:v>Ben</x:v>
      </x:c>
      <x:c r="G80" s="8" t="str">
        <x:v>open</x:v>
      </x:c>
      <x:c r="H80" s="8" t="str">
        <x:v>P1</x:v>
      </x:c>
      <x:c r="I80" s="8" t="str">
        <x:v>2026-09-01</x:v>
      </x:c>
      <x:c r="J80" s="8" t="str">
        <x:v>2026-02-27</x:v>
      </x:c>
      <x:c r="K80" s="8"/>
      <x:c r="L80" s="8"/>
      <x:c r="M80" s="8"/>
    </x:row>
    <x:row r="81">
      <x:c r="A81" s="8" t="str">
        <x:v>storage</x:v>
      </x:c>
      <x:c r="B81" s="8" t="str">
        <x:v>Android</x:v>
      </x:c>
      <x:c r="C81" s="8" t="str">
        <x:v>resource blocked by policy</x:v>
      </x:c>
      <x:c r="D81" s="8"/>
      <x:c r="E81" s="8" t="str">
        <x:v>use a bridge queue</x:v>
      </x:c>
      <x:c r="F81" s="8" t="str">
        <x:v>Diego</x:v>
      </x:c>
      <x:c r="G81" s="8" t="str">
        <x:v>open</x:v>
      </x:c>
      <x:c r="H81" s="8" t="str">
        <x:v>P0</x:v>
      </x:c>
      <x:c r="I81" s="8" t="str">
        <x:v>2026-01-01</x:v>
      </x:c>
      <x:c r="J81" s="8" t="str">
        <x:v>2026-03-20</x:v>
      </x:c>
      <x:c r="K81" s="8"/>
      <x:c r="L81" s="8"/>
      <x:c r="M81" s="8"/>
    </x:row>
    <x:row r="82">
      <x:c r="A82" s="8" t="str">
        <x:v>bridge</x:v>
      </x:c>
      <x:c r="B82" s="8" t="str">
        <x:v>Windows</x:v>
      </x:c>
      <x:c r="C82" s="8" t="str">
        <x:v>blank page after reload</x:v>
      </x:c>
      <x:c r="D82" s="8" t="str">
        <x:v>open case 1073; repeat after offline toggle.</x:v>
      </x:c>
      <x:c r="E82" s="8" t="str">
        <x:v>reproduce on clean profile</x:v>
      </x:c>
      <x:c r="F82" s="8" t="str">
        <x:v>Carla</x:v>
      </x:c>
      <x:c r="G82" s="8" t="str">
        <x:v>resolved</x:v>
      </x:c>
      <x:c r="H82" s="8" t="str">
        <x:v>P0</x:v>
      </x:c>
      <x:c r="I82" s="8" t="str">
        <x:v>2026-02-01</x:v>
      </x:c>
      <x:c r="J82" s="8" t="str">
        <x:v>2026-04-21</x:v>
      </x:c>
      <x:c r="K82" s="8" t="str">
        <x:v>https://github.com/react-native-webview/react-native-webview</x:v>
      </x:c>
      <x:c r="L82" s="8" t="str">
        <x:v>The bridge callback is stable for small payloads, but large JSON messages show visible delay during navigation.</x:v>
      </x:c>
      <x:c r="M82" s="8"/>
    </x:row>
    <x:row r="83">
      <x:c r="A83" s="8" t="str">
        <x:v>storage</x:v>
      </x:c>
      <x:c r="B83" s="8" t="str">
        <x:v>iOS</x:v>
      </x:c>
      <x:c r="C83" s="8" t="str">
        <x:v>large response times out</x:v>
      </x:c>
      <x:c r="D83" s="8" t="str">
        <x:v>open case 1074; repeat after offline toggle.</x:v>
      </x:c>
      <x:c r="E83" s="8" t="str">
        <x:v>increase timeout</x:v>
      </x:c>
      <x:c r="F83" s="8" t="str">
        <x:v>Asha</x:v>
      </x:c>
      <x:c r="G83" s="8" t="str">
        <x:v>investigating</x:v>
      </x:c>
      <x:c r="H83" s="8" t="str">
        <x:v>P3</x:v>
      </x:c>
      <x:c r="I83" s="8" t="str">
        <x:v>2026-03-01</x:v>
      </x:c>
      <x:c r="J83" s="8" t="str">
        <x:v>2026-05-22</x:v>
      </x:c>
      <x:c r="K83" s="8" t="str">
        <x:v>https://github.com/react-native-webview/react-native-webview</x:v>
      </x:c>
      <x:c r="L83" s="8"/>
      <x:c r="M83" s="8"/>
    </x:row>
    <x:row r="84">
      <x:c r="A84" s="8" t="str">
        <x:v>storage</x:v>
      </x:c>
      <x:c r="B84" s="8" t="str">
        <x:v>Android</x:v>
      </x:c>
      <x:c r="C84" s="8" t="str">
        <x:v>scroll offset resets</x:v>
      </x:c>
      <x:c r="D84" s="8" t="str">
        <x:v>open case 1075; repeat after cold start.</x:v>
      </x:c>
      <x:c r="E84" s="8" t="str">
        <x:v>use a bridge queue</x:v>
      </x:c>
      <x:c r="F84" s="8" t="str">
        <x:v>Asha</x:v>
      </x:c>
      <x:c r="G84" s="8" t="str">
        <x:v>investigating</x:v>
      </x:c>
      <x:c r="H84" s="8" t="str">
        <x:v>P2</x:v>
      </x:c>
      <x:c r="I84" s="8" t="str">
        <x:v>2026-04-01</x:v>
      </x:c>
      <x:c r="J84" s="8" t="str">
        <x:v>2026-06-23</x:v>
      </x:c>
      <x:c r="K84" s="8"/>
      <x:c r="L84" s="8"/>
      <x:c r="M84" s="8"/>
    </x:row>
    <x:row r="85">
      <x:c r="A85" s="8" t="str">
        <x:v>host object</x:v>
      </x:c>
      <x:c r="B85" s="8" t="str">
        <x:v>Android</x:v>
      </x:c>
      <x:c r="C85" s="8" t="str">
        <x:v>console event missing</x:v>
      </x:c>
      <x:c r="D85" s="8"/>
      <x:c r="E85" s="8" t="str">
        <x:v>increase timeout</x:v>
      </x:c>
      <x:c r="F85" s="8" t="str">
        <x:v>Mei</x:v>
      </x:c>
      <x:c r="G85" s="8" t="str">
        <x:v>investigating</x:v>
      </x:c>
      <x:c r="H85" s="8" t="str">
        <x:v>P1</x:v>
      </x:c>
      <x:c r="I85" s="8" t="str">
        <x:v>2026-05-01</x:v>
      </x:c>
      <x:c r="J85" s="8" t="str">
        <x:v>2026-07-24</x:v>
      </x:c>
      <x:c r="K85" s="8" t="str">
        <x:v>https://developer.apple.com/documentation/webkit/wkwebview</x:v>
      </x:c>
      <x:c r="L85" s="8"/>
      <x:c r="M85" s="8"/>
    </x:row>
    <x:row r="86">
      <x:c r="A86" s="8" t="str">
        <x:v>lifecycle</x:v>
      </x:c>
      <x:c r="B86" s="8" t="str">
        <x:v>Windows</x:v>
      </x:c>
      <x:c r="C86" s="8" t="str">
        <x:v>focus leaves native control</x:v>
      </x:c>
      <x:c r="D86" s="8"/>
      <x:c r="E86" s="8" t="str">
        <x:v>reproduce on clean profile</x:v>
      </x:c>
      <x:c r="F86" s="8" t="str">
        <x:v>Mei</x:v>
      </x:c>
      <x:c r="G86" s="8" t="str">
        <x:v>investigating</x:v>
      </x:c>
      <x:c r="H86" s="8" t="str">
        <x:v>P2</x:v>
      </x:c>
      <x:c r="I86" s="8" t="str">
        <x:v>2026-06-01</x:v>
      </x:c>
      <x:c r="J86" s="8" t="str">
        <x:v>2026-08-25</x:v>
      </x:c>
      <x:c r="K86" s="8"/>
      <x:c r="L86" s="8"/>
      <x:c r="M86" s="8"/>
    </x:row>
    <x:row r="87">
      <x:c r="A87" s="8" t="str">
        <x:v>security</x:v>
      </x:c>
      <x:c r="B87" s="8" t="str">
        <x:v>Android</x:v>
      </x:c>
      <x:c r="C87" s="8" t="str">
        <x:v>resource blocked by policy</x:v>
      </x:c>
      <x:c r="D87" s="8" t="str">
        <x:v>open case 1078; repeat after offline toggle.</x:v>
      </x:c>
      <x:c r="E87" s="8" t="str">
        <x:v>use a bridge queue</x:v>
      </x:c>
      <x:c r="F87" s="8" t="str">
        <x:v>Asha</x:v>
      </x:c>
      <x:c r="G87" s="8" t="str">
        <x:v>open</x:v>
      </x:c>
      <x:c r="H87" s="8" t="str">
        <x:v>P2</x:v>
      </x:c>
      <x:c r="I87" s="8" t="str">
        <x:v>2026-07-01</x:v>
      </x:c>
      <x:c r="J87" s="8" t="str">
        <x:v>2026-09-26</x:v>
      </x:c>
      <x:c r="K87" s="8"/>
      <x:c r="L87" s="8" t="str">
        <x:v>Follow-up: compare the result when the network security policy is relaxed versus when it is enforced.</x:v>
      </x:c>
      <x:c r="M87" s="8"/>
    </x:row>
    <x:row r="88">
      <x:c r="A88" s="8" t="str">
        <x:v>navigation</x:v>
      </x:c>
      <x:c r="B88" s="8" t="str">
        <x:v>macOS</x:v>
      </x:c>
      <x:c r="C88" s="8" t="str">
        <x:v>console event missing</x:v>
      </x:c>
      <x:c r="D88" s="8" t="str">
        <x:v>open case 1079; repeat after sleep.</x:v>
      </x:c>
      <x:c r="E88" s="8" t="str">
        <x:v>use a bridge queue</x:v>
      </x:c>
      <x:c r="F88" s="8" t="str">
        <x:v>No owner</x:v>
      </x:c>
      <x:c r="G88" s="8" t="str">
        <x:v>blocked</x:v>
      </x:c>
      <x:c r="H88" s="8" t="str">
        <x:v>P1</x:v>
      </x:c>
      <x:c r="I88" s="8" t="str">
        <x:v>2026-08-01</x:v>
      </x:c>
      <x:c r="J88" s="8" t="str">
        <x:v>2026-01-27</x:v>
      </x:c>
      <x:c r="K88" s="8"/>
      <x:c r="L88" s="8" t="str">
        <x:v>Observed in a local test run: the content rendered, but the console warning appeared twice.</x:v>
      </x:c>
      <x:c r="M88" s="8"/>
    </x:row>
    <x:row r="89">
      <x:c r="A89" s="8" t="str">
        <x:v>bridge</x:v>
      </x:c>
      <x:c r="B89" s="8" t="str">
        <x:v>iOS</x:v>
      </x:c>
      <x:c r="C89" s="8" t="str">
        <x:v>blank page after reload</x:v>
      </x:c>
      <x:c r="D89" s="8" t="str">
        <x:v>open case 1080; repeat after cold start.</x:v>
      </x:c>
      <x:c r="E89" s="8" t="str">
        <x:v>retry after NavigationCompleted</x:v>
      </x:c>
      <x:c r="F89" s="8" t="str">
        <x:v>Carla</x:v>
      </x:c>
      <x:c r="G89" s="8" t="str">
        <x:v>investigating</x:v>
      </x:c>
      <x:c r="H89" s="8" t="str">
        <x:v>P2</x:v>
      </x:c>
      <x:c r="I89" s="8" t="str">
        <x:v>2026-09-01</x:v>
      </x:c>
      <x:c r="J89" s="8" t="str">
        <x:v>2026-02-20</x:v>
      </x:c>
      <x:c r="K89" s="8" t="str">
        <x:v>https://github.com/react-native-webview/react-native-webview</x:v>
      </x:c>
      <x:c r="L89" s="8" t="str">
        <x:v>This sentence is long enough to exercise wrapping and downstream chunk boundaries in Markdown output.</x:v>
      </x:c>
      <x:c r="M89" s="8"/>
    </x:row>
    <x:row r="90">
      <x:c r="A90" s="8" t="str">
        <x:v>lifecycle</x:v>
      </x:c>
      <x:c r="B90" s="8" t="str">
        <x:v>Linux</x:v>
      </x:c>
      <x:c r="C90" s="8" t="str">
        <x:v>large response times out</x:v>
      </x:c>
      <x:c r="D90" s="8" t="str">
        <x:v>open case 1081; repeat after cold start.</x:v>
      </x:c>
      <x:c r="E90" s="8" t="str">
        <x:v>set explicit user agent</x:v>
      </x:c>
      <x:c r="F90" s="8" t="str">
        <x:v>Carla</x:v>
      </x:c>
      <x:c r="G90" s="8" t="str">
        <x:v>open</x:v>
      </x:c>
      <x:c r="H90" s="8" t="str">
        <x:v>P1</x:v>
      </x:c>
      <x:c r="I90" s="8" t="str">
        <x:v>2026-01-01</x:v>
      </x:c>
      <x:c r="J90" s="8" t="str">
        <x:v>2026-03-21</x:v>
      </x:c>
      <x:c r="K90" s="8" t="str">
        <x:v>https://developer.microsoft.com/en-us/microsoft-edge/webview2/</x:v>
      </x:c>
      <x:c r="L90" s="8" t="str">
        <x:v>The bridge callback is stable for small payloads, but large JSON messages show visible delay during navigation.</x:v>
      </x:c>
      <x:c r="M90" s="8"/>
    </x:row>
    <x:row r="91">
      <x:c r="A91" s="8" t="str">
        <x:v>lifecycle</x:v>
      </x:c>
      <x:c r="B91" s="8" t="str">
        <x:v>Android</x:v>
      </x:c>
      <x:c r="C91" s="8" t="str">
        <x:v>scroll offset resets</x:v>
      </x:c>
      <x:c r="D91" s="8" t="str">
        <x:v>open case 1082; repeat after offline toggle.</x:v>
      </x:c>
      <x:c r="E91" s="8" t="str">
        <x:v>reproduce on clean profile</x:v>
      </x:c>
      <x:c r="F91" s="8" t="str">
        <x:v>Ben</x:v>
      </x:c>
      <x:c r="G91" s="8" t="str">
        <x:v>investigating</x:v>
      </x:c>
      <x:c r="H91" s="8" t="str">
        <x:v>P1</x:v>
      </x:c>
      <x:c r="I91" s="8" t="str">
        <x:v>2026-02-01</x:v>
      </x:c>
      <x:c r="J91" s="8" t="str">
        <x:v>2026-04-22</x:v>
      </x:c>
      <x:c r="K91" s="8" t="str">
        <x:v>https://github.com/react-native-webview/react-native-webview</x:v>
      </x:c>
      <x:c r="L91" s="8"/>
      <x:c r="M91" s="8"/>
    </x:row>
    <x:row r="92">
      <x:c r="A92" s="8" t="str">
        <x:v>storage</x:v>
      </x:c>
      <x:c r="B92" s="8" t="str">
        <x:v>macOS</x:v>
      </x:c>
      <x:c r="C92" s="8" t="str">
        <x:v>focus leaves native control</x:v>
      </x:c>
      <x:c r="D92" s="8"/>
      <x:c r="E92" s="8" t="str">
        <x:v>use a bridge queue</x:v>
      </x:c>
      <x:c r="F92" s="8" t="str">
        <x:v>Diego</x:v>
      </x:c>
      <x:c r="G92" s="8" t="str">
        <x:v>investigating</x:v>
      </x:c>
      <x:c r="H92" s="8" t="str">
        <x:v>P2</x:v>
      </x:c>
      <x:c r="I92" s="8" t="str">
        <x:v>2026-03-01</x:v>
      </x:c>
      <x:c r="J92" s="8" t="str">
        <x:v>2026-05-23</x:v>
      </x:c>
      <x:c r="K92" s="8" t="str">
        <x:v>https://developer.apple.com/documentation/webkit/wkwebview</x:v>
      </x:c>
      <x:c r="L92" s="8" t="str">
        <x:v>This sentence is long enough to exercise wrapping and downstream chunk boundaries in Markdown output.</x:v>
      </x:c>
      <x:c r="M92" s="8"/>
    </x:row>
    <x:row r="93">
      <x:c r="A93" s="8" t="str">
        <x:v>security</x:v>
      </x:c>
      <x:c r="B93" s="8" t="str">
        <x:v>Android</x:v>
      </x:c>
      <x:c r="C93" s="8" t="str">
        <x:v>resource blocked by policy</x:v>
      </x:c>
      <x:c r="D93" s="8" t="str">
        <x:v>open case 1084; repeat after sleep.</x:v>
      </x:c>
      <x:c r="E93" s="8" t="str">
        <x:v>retry after NavigationCompleted</x:v>
      </x:c>
      <x:c r="F93" s="8" t="str">
        <x:v>Mei</x:v>
      </x:c>
      <x:c r="G93" s="8" t="str">
        <x:v>open</x:v>
      </x:c>
      <x:c r="H93" s="8" t="str">
        <x:v>P3</x:v>
      </x:c>
      <x:c r="I93" s="8" t="str">
        <x:v>2026-04-01</x:v>
      </x:c>
      <x:c r="J93" s="8" t="str">
        <x:v>2026-06-24</x:v>
      </x:c>
      <x:c r="K93" s="8" t="str">
        <x:v>https://github.com/react-native-webview/react-native-webview</x:v>
      </x:c>
      <x:c r="L93" s="8" t="str">
        <x:v>Observed in a local test run: the content rendered, but the console warning appeared twice.</x:v>
      </x:c>
      <x:c r="M93" s="8"/>
    </x:row>
    <x:row r="94">
      <x:c r="A94" s="8" t="str">
        <x:v>security</x:v>
      </x:c>
      <x:c r="B94" s="8" t="str">
        <x:v>Linux</x:v>
      </x:c>
      <x:c r="C94" s="8" t="str">
        <x:v>large response times out</x:v>
      </x:c>
      <x:c r="D94" s="8"/>
      <x:c r="E94" s="8" t="str">
        <x:v>reproduce on clean profile</x:v>
      </x:c>
      <x:c r="F94" s="8" t="str">
        <x:v>Asha</x:v>
      </x:c>
      <x:c r="G94" s="8" t="str">
        <x:v>open</x:v>
      </x:c>
      <x:c r="H94" s="8" t="str">
        <x:v>P2</x:v>
      </x:c>
      <x:c r="I94" s="8" t="str">
        <x:v>2026-05-01</x:v>
      </x:c>
      <x:c r="J94" s="8" t="str">
        <x:v>2026-07-25</x:v>
      </x:c>
      <x:c r="K94" s="8"/>
      <x:c r="L94" s="8"/>
      <x:c r="M94" s="8"/>
    </x:row>
    <x:row r="95">
      <x:c r="A95" s="8" t="str">
        <x:v>navigation</x:v>
      </x:c>
      <x:c r="B95" s="8" t="str">
        <x:v>Linux</x:v>
      </x:c>
      <x:c r="C95" s="8" t="str">
        <x:v>focus leaves native control</x:v>
      </x:c>
      <x:c r="D95" s="8" t="str">
        <x:v>open case 1086; repeat after cold start.</x:v>
      </x:c>
      <x:c r="E95" s="8" t="str">
        <x:v>set explicit user agent</x:v>
      </x:c>
      <x:c r="F95" s="8" t="str">
        <x:v>Ben</x:v>
      </x:c>
      <x:c r="G95" s="8" t="str">
        <x:v>investigating</x:v>
      </x:c>
      <x:c r="H95" s="8" t="str">
        <x:v>P0</x:v>
      </x:c>
      <x:c r="I95" s="8" t="str">
        <x:v>2026-06-01</x:v>
      </x:c>
      <x:c r="J95" s="8" t="str">
        <x:v>2026-08-26</x:v>
      </x:c>
      <x:c r="K95" s="8" t="str">
        <x:v>https://developer.android.com/reference/android/webkit/WebView</x:v>
      </x:c>
      <x:c r="L95" s="8"/>
      <x:c r="M95" s="8"/>
    </x:row>
    <x:row r="96">
      <x:c r="A96" s="8" t="str">
        <x:v>security</x:v>
      </x:c>
      <x:c r="B96" s="8" t="str">
        <x:v>Linux</x:v>
      </x:c>
      <x:c r="C96" s="8" t="str">
        <x:v>scroll offset resets</x:v>
      </x:c>
      <x:c r="D96" s="8" t="str">
        <x:v>open case 1087; repeat after cold start.</x:v>
      </x:c>
      <x:c r="E96" s="8" t="str">
        <x:v>set explicit user agent</x:v>
      </x:c>
      <x:c r="F96" s="8" t="str">
        <x:v>Ben</x:v>
      </x:c>
      <x:c r="G96" s="8" t="str">
        <x:v>investigating</x:v>
      </x:c>
      <x:c r="H96" s="8" t="str">
        <x:v>P1</x:v>
      </x:c>
      <x:c r="I96" s="8" t="str">
        <x:v>2026-07-01</x:v>
      </x:c>
      <x:c r="J96" s="8" t="str">
        <x:v>2026-09-27</x:v>
      </x:c>
      <x:c r="K96" s="8"/>
      <x:c r="L96" s="8" t="str">
        <x:v>This sentence is long enough to exercise wrapping and downstream chunk boundaries in Markdown output.</x:v>
      </x:c>
      <x:c r="M96" s="8"/>
    </x:row>
    <x:row r="97">
      <x:c r="A97" s="8" t="str">
        <x:v>security</x:v>
      </x:c>
      <x:c r="B97" s="8" t="str">
        <x:v>iOS</x:v>
      </x:c>
      <x:c r="C97" s="8" t="str">
        <x:v>large response times out</x:v>
      </x:c>
      <x:c r="D97" s="8"/>
      <x:c r="E97" s="8" t="str">
        <x:v>none yet</x:v>
      </x:c>
      <x:c r="F97" s="8" t="str">
        <x:v>Diego</x:v>
      </x:c>
      <x:c r="G97" s="8" t="str">
        <x:v>resolved</x:v>
      </x:c>
      <x:c r="H97" s="8" t="str">
        <x:v>P2</x:v>
      </x:c>
      <x:c r="I97" s="8" t="str">
        <x:v>2026-08-01</x:v>
      </x:c>
      <x:c r="J97" s="8" t="str">
        <x:v>2026-01-20</x:v>
      </x:c>
      <x:c r="K97" s="8"/>
      <x:c r="L97" s="8" t="str">
        <x:v>Follow-up: compare the result when the network security policy is relaxed versus when it is enforced.</x:v>
      </x:c>
      <x:c r="M97" s="8"/>
    </x:row>
    <x:row r="98">
      <x:c r="A98" s="8" t="str">
        <x:v>bridge</x:v>
      </x:c>
      <x:c r="B98" s="8" t="str">
        <x:v>Linux</x:v>
      </x:c>
      <x:c r="C98" s="8" t="str">
        <x:v>console event missing</x:v>
      </x:c>
      <x:c r="D98" s="8" t="str">
        <x:v>open case 1089; repeat after sleep.</x:v>
      </x:c>
      <x:c r="E98" s="8" t="str">
        <x:v>none yet</x:v>
      </x:c>
      <x:c r="F98" s="8" t="str">
        <x:v>No owner</x:v>
      </x:c>
      <x:c r="G98" s="8" t="str">
        <x:v>resolved</x:v>
      </x:c>
      <x:c r="H98" s="8" t="str">
        <x:v>P1</x:v>
      </x:c>
      <x:c r="I98" s="8" t="str">
        <x:v>2026-09-01</x:v>
      </x:c>
      <x:c r="J98" s="8" t="str">
        <x:v>2026-02-21</x:v>
      </x:c>
      <x:c r="K98" s="8" t="str">
        <x:v>https://developer.microsoft.com/en-us/microsoft-edge/webview2/</x:v>
      </x:c>
      <x:c r="L98" s="8" t="str">
        <x:v>A blank cell here is intentional. The source workbook has notes placed away from the nearest table.</x:v>
      </x:c>
      <x:c r="M98" s="8"/>
    </x:row>
    <x:row r="99">
      <x:c r="A99" s="8" t="str">
        <x:v>storage</x:v>
      </x:c>
      <x:c r="B99" s="8" t="str">
        <x:v>Android</x:v>
      </x:c>
      <x:c r="C99" s="8" t="str">
        <x:v>resource blocked by policy</x:v>
      </x:c>
      <x:c r="D99" s="8" t="str">
        <x:v>open case 1090; repeat after sleep.</x:v>
      </x:c>
      <x:c r="E99" s="8" t="str">
        <x:v>increase timeout</x:v>
      </x:c>
      <x:c r="F99" s="8" t="str">
        <x:v>Ben</x:v>
      </x:c>
      <x:c r="G99" s="8" t="str">
        <x:v>needs reproduction</x:v>
      </x:c>
      <x:c r="H99" s="8" t="str">
        <x:v>P1</x:v>
      </x:c>
      <x:c r="I99" s="8" t="str">
        <x:v>2026-01-01</x:v>
      </x:c>
      <x:c r="J99" s="8" t="str">
        <x:v>2026-03-22</x:v>
      </x:c>
      <x:c r="K99" s="8"/>
      <x:c r="L99" s="8"/>
      <x:c r="M99" s="8"/>
    </x:row>
    <x:row r="100">
      <x:c r="A100" s="8" t="str">
        <x:v>lifecycle</x:v>
      </x:c>
      <x:c r="B100" s="8" t="str">
        <x:v>Windows</x:v>
      </x:c>
      <x:c r="C100" s="8" t="str">
        <x:v>focus leaves native control</x:v>
      </x:c>
      <x:c r="D100" s="8" t="str">
        <x:v>open case 1091; repeat after offline toggle.</x:v>
      </x:c>
      <x:c r="E100" s="8" t="str">
        <x:v>retry after NavigationCompleted</x:v>
      </x:c>
      <x:c r="F100" s="8" t="str">
        <x:v>Asha</x:v>
      </x:c>
      <x:c r="G100" s="8" t="str">
        <x:v>blocked</x:v>
      </x:c>
      <x:c r="H100" s="8" t="str">
        <x:v>P2</x:v>
      </x:c>
      <x:c r="I100" s="8" t="str">
        <x:v>2026-02-01</x:v>
      </x:c>
      <x:c r="J100" s="8" t="str">
        <x:v>2026-04-23</x:v>
      </x:c>
      <x:c r="K100" s="8" t="str">
        <x:v>https://github.com/react-native-webview/react-native-webview</x:v>
      </x:c>
      <x:c r="L100" s="8"/>
      <x:c r="M100" s="8"/>
    </x:row>
    <x:row r="101">
      <x:c r="A101" s="8" t="str">
        <x:v>lifecycle</x:v>
      </x:c>
      <x:c r="B101" s="8" t="str">
        <x:v>macOS</x:v>
      </x:c>
      <x:c r="C101" s="8" t="str">
        <x:v>scroll offset resets</x:v>
      </x:c>
      <x:c r="D101" s="8" t="str">
        <x:v>open case 1092; repeat after offline toggle.</x:v>
      </x:c>
      <x:c r="E101" s="8" t="str">
        <x:v>none yet</x:v>
      </x:c>
      <x:c r="F101" s="8" t="str">
        <x:v>Carla</x:v>
      </x:c>
      <x:c r="G101" s="8" t="str">
        <x:v>blocked</x:v>
      </x:c>
      <x:c r="H101" s="8" t="str">
        <x:v>P0</x:v>
      </x:c>
      <x:c r="I101" s="8" t="str">
        <x:v>2026-03-01</x:v>
      </x:c>
      <x:c r="J101" s="8" t="str">
        <x:v>2026-05-24</x:v>
      </x:c>
      <x:c r="K101" s="8"/>
      <x:c r="L101" s="8"/>
      <x:c r="M101" s="8"/>
    </x:row>
    <x:row r="102">
      <x:c r="A102" s="8"/>
      <x:c r="B102" s="8"/>
      <x:c r="C102" s="8"/>
      <x:c r="D102" s="8"/>
      <x:c r="E102" s="8"/>
      <x:c r="F102" s="8"/>
      <x:c r="G102" s="8"/>
      <x:c r="H102" s="8"/>
      <x:c r="I102" s="8"/>
      <x:c r="J102" s="8"/>
      <x:c r="K102" s="8"/>
      <x:c r="L102" s="8"/>
      <x:c r="M102" s="8"/>
    </x:row>
    <x:row r="103">
      <x:c r="A103" s="8" t="str">
        <x:v>bridge</x:v>
      </x:c>
      <x:c r="B103" s="8" t="str">
        <x:v>Linux</x:v>
      </x:c>
      <x:c r="C103" s="8" t="str">
        <x:v>resource blocked by policy</x:v>
      </x:c>
      <x:c r="D103" s="8" t="str">
        <x:v>open case 1093; repeat after cold start.</x:v>
      </x:c>
      <x:c r="E103" s="8" t="str">
        <x:v>increase timeout</x:v>
      </x:c>
      <x:c r="F103" s="8" t="str">
        <x:v>Ben</x:v>
      </x:c>
      <x:c r="G103" s="8" t="str">
        <x:v>resolved</x:v>
      </x:c>
      <x:c r="H103" s="8" t="str">
        <x:v>P0</x:v>
      </x:c>
      <x:c r="I103" s="8" t="str">
        <x:v>2026-04-01</x:v>
      </x:c>
      <x:c r="J103" s="8" t="str">
        <x:v>2026-06-25</x:v>
      </x:c>
      <x:c r="K103" s="8"/>
      <x:c r="L103" s="8"/>
      <x:c r="M103" s="8"/>
    </x:row>
    <x:row r="104">
      <x:c r="A104" s="8" t="str">
        <x:v>Category</x:v>
      </x:c>
      <x:c r="B104" s="8" t="str">
        <x:v>Platform</x:v>
      </x:c>
      <x:c r="C104" s="8" t="str">
        <x:v>Symptom</x:v>
      </x:c>
      <x:c r="D104" s="8" t="str">
        <x:v>Reproduction</x:v>
      </x:c>
      <x:c r="E104" s="8" t="str">
        <x:v>Workaround</x:v>
      </x:c>
      <x:c r="F104" s="8" t="str">
        <x:v>Owner</x:v>
      </x:c>
      <x:c r="G104" s="8" t="str">
        <x:v>Status</x:v>
      </x:c>
      <x:c r="H104" s="8" t="str">
        <x:v>Severity</x:v>
      </x:c>
      <x:c r="I104" s="8" t="str">
        <x:v>First seen</x:v>
      </x:c>
      <x:c r="J104" s="8" t="str">
        <x:v>Last seen</x:v>
      </x:c>
      <x:c r="K104" s="8" t="str">
        <x:v>Reference</x:v>
      </x:c>
      <x:c r="L104" s="8" t="str">
        <x:v>Free note</x:v>
      </x:c>
      <x:c r="M104" s="8" t="str">
        <x:v>repeated header</x:v>
      </x:c>
    </x:row>
    <x:row r="105">
      <x:c r="A105" s="8" t="str">
        <x:v>security</x:v>
      </x:c>
      <x:c r="B105" s="8" t="str">
        <x:v>macOS</x:v>
      </x:c>
      <x:c r="C105" s="8" t="str">
        <x:v>large response times out</x:v>
      </x:c>
      <x:c r="D105" s="8" t="str">
        <x:v>open case 1094; repeat after offline toggle.</x:v>
      </x:c>
      <x:c r="E105" s="8" t="str">
        <x:v>none yet</x:v>
      </x:c>
      <x:c r="F105" s="8" t="str">
        <x:v>No owner</x:v>
      </x:c>
      <x:c r="G105" s="8" t="str">
        <x:v>open</x:v>
      </x:c>
      <x:c r="H105" s="8" t="str">
        <x:v>P3</x:v>
      </x:c>
      <x:c r="I105" s="8" t="str">
        <x:v>2026-05-01</x:v>
      </x:c>
      <x:c r="J105" s="8" t="str">
        <x:v>2026-07-26</x:v>
      </x:c>
      <x:c r="K105" s="8"/>
      <x:c r="L105" s="8"/>
      <x:c r="M105" s="8"/>
    </x:row>
    <x:row r="106">
      <x:c r="A106" s="8" t="str">
        <x:v>security</x:v>
      </x:c>
      <x:c r="B106" s="8" t="str">
        <x:v>Windows</x:v>
      </x:c>
      <x:c r="C106" s="8" t="str">
        <x:v>console event missing</x:v>
      </x:c>
      <x:c r="D106" s="8" t="str">
        <x:v>open case 1095; repeat after offline toggle.</x:v>
      </x:c>
      <x:c r="E106" s="8" t="str">
        <x:v>increase timeout</x:v>
      </x:c>
      <x:c r="F106" s="8" t="str">
        <x:v>Ben</x:v>
      </x:c>
      <x:c r="G106" s="8" t="str">
        <x:v>investigating</x:v>
      </x:c>
      <x:c r="H106" s="8" t="str">
        <x:v>P1</x:v>
      </x:c>
      <x:c r="I106" s="8" t="str">
        <x:v>2026-06-01</x:v>
      </x:c>
      <x:c r="J106" s="8" t="str">
        <x:v>2026-08-27</x:v>
      </x:c>
      <x:c r="K106" s="8" t="str">
        <x:v>https://developer.microsoft.com/en-us/microsoft-edge/webview2/</x:v>
      </x:c>
      <x:c r="L106" s="8" t="str">
        <x:v>Potential duplicate: this paragraph is repeated in another section to test deduplication and chunk metadata.</x:v>
      </x:c>
      <x:c r="M106" s="8"/>
    </x:row>
    <x:row r="107">
      <x:c r="A107" s="8" t="str">
        <x:v>lifecycle</x:v>
      </x:c>
      <x:c r="B107" s="8" t="str">
        <x:v>Linux</x:v>
      </x:c>
      <x:c r="C107" s="8" t="str">
        <x:v>console event missing</x:v>
      </x:c>
      <x:c r="D107" s="8"/>
      <x:c r="E107" s="8" t="str">
        <x:v>use a bridge queue</x:v>
      </x:c>
      <x:c r="F107" s="8" t="str">
        <x:v>Carla</x:v>
      </x:c>
      <x:c r="G107" s="8" t="str">
        <x:v>investigating</x:v>
      </x:c>
      <x:c r="H107" s="8" t="str">
        <x:v>P2</x:v>
      </x:c>
      <x:c r="I107" s="8" t="str">
        <x:v>2026-07-01</x:v>
      </x:c>
      <x:c r="J107" s="8" t="str">
        <x:v>2026-09-20</x:v>
      </x:c>
      <x:c r="K107" s="8"/>
      <x:c r="L107" s="8" t="str">
        <x:v>A blank cell here is intentional. The source workbook has notes placed away from the nearest table.</x:v>
      </x:c>
      <x:c r="M107" s="8"/>
    </x:row>
    <x:row r="108">
      <x:c r="A108" s="8" t="str">
        <x:v>security</x:v>
      </x:c>
      <x:c r="B108" s="8" t="str">
        <x:v>iOS</x:v>
      </x:c>
      <x:c r="C108" s="8" t="str">
        <x:v>console event missing</x:v>
      </x:c>
      <x:c r="D108" s="8" t="str">
        <x:v>open case 1097; repeat after sleep.</x:v>
      </x:c>
      <x:c r="E108" s="8" t="str">
        <x:v>none yet</x:v>
      </x:c>
      <x:c r="F108" s="8" t="str">
        <x:v>Carla</x:v>
      </x:c>
      <x:c r="G108" s="8" t="str">
        <x:v>needs reproduction</x:v>
      </x:c>
      <x:c r="H108" s="8" t="str">
        <x:v>P2</x:v>
      </x:c>
      <x:c r="I108" s="8" t="str">
        <x:v>2026-08-01</x:v>
      </x:c>
      <x:c r="J108" s="8" t="str">
        <x:v>2026-01-21</x:v>
      </x:c>
      <x:c r="K108" s="8" t="str">
        <x:v>https://developer.apple.com/documentation/webkit/wkwebview</x:v>
      </x:c>
      <x:c r="L108" s="8" t="str">
        <x:v>Follow-up: compare the result when the network security policy is relaxed versus when it is enforced.</x:v>
      </x:c>
      <x:c r="M108" s="8"/>
    </x:row>
    <x:row r="109">
      <x:c r="A109" s="8" t="str">
        <x:v>bridge</x:v>
      </x:c>
      <x:c r="B109" s="8" t="str">
        <x:v>iOS</x:v>
      </x:c>
      <x:c r="C109" s="8" t="str">
        <x:v>blank page after reload</x:v>
      </x:c>
      <x:c r="D109" s="8"/>
      <x:c r="E109" s="8" t="str">
        <x:v>retry after NavigationCompleted</x:v>
      </x:c>
      <x:c r="F109" s="8" t="str">
        <x:v>Diego</x:v>
      </x:c>
      <x:c r="G109" s="8" t="str">
        <x:v>investigating</x:v>
      </x:c>
      <x:c r="H109" s="8" t="str">
        <x:v>P2</x:v>
      </x:c>
      <x:c r="I109" s="8" t="str">
        <x:v>2026-09-01</x:v>
      </x:c>
      <x:c r="J109" s="8" t="str">
        <x:v>2026-02-22</x:v>
      </x:c>
      <x:c r="K109" s="8" t="str">
        <x:v>https://developer.android.com/reference/android/webkit/WebView</x:v>
      </x:c>
      <x:c r="L109" s="8"/>
      <x:c r="M109" s="8"/>
    </x:row>
    <x:row r="110">
      <x:c r="A110" s="8" t="str">
        <x:v>storage</x:v>
      </x:c>
      <x:c r="B110" s="8" t="str">
        <x:v>Windows</x:v>
      </x:c>
      <x:c r="C110" s="8" t="str">
        <x:v>scroll offset resets</x:v>
      </x:c>
      <x:c r="D110" s="8"/>
      <x:c r="E110" s="8" t="str">
        <x:v>retry after NavigationCompleted</x:v>
      </x:c>
      <x:c r="F110" s="8" t="str">
        <x:v>Diego</x:v>
      </x:c>
      <x:c r="G110" s="8" t="str">
        <x:v>blocked</x:v>
      </x:c>
      <x:c r="H110" s="8" t="str">
        <x:v>P1</x:v>
      </x:c>
      <x:c r="I110" s="8" t="str">
        <x:v>2026-01-01</x:v>
      </x:c>
      <x:c r="J110" s="8" t="str">
        <x:v>2026-03-23</x:v>
      </x:c>
      <x:c r="K110" s="8" t="str">
        <x:v>https://developer.android.com/reference/android/webkit/WebView</x:v>
      </x:c>
      <x:c r="L110" s="8" t="str">
        <x:v>A blank cell here is intentional. The source workbook has notes placed away from the nearest table.</x:v>
      </x:c>
      <x:c r="M110" s="8"/>
    </x:row>
    <x:row r="111">
      <x:c r="A111" s="8" t="str">
        <x:v>lifecycle</x:v>
      </x:c>
      <x:c r="B111" s="8" t="str">
        <x:v>Linux</x:v>
      </x:c>
      <x:c r="C111" s="8" t="str">
        <x:v>console event missing</x:v>
      </x:c>
      <x:c r="D111" s="8" t="str">
        <x:v>open case 1100; repeat after sleep.</x:v>
      </x:c>
      <x:c r="E111" s="8" t="str">
        <x:v>none yet</x:v>
      </x:c>
      <x:c r="F111" s="8" t="str">
        <x:v>Ben</x:v>
      </x:c>
      <x:c r="G111" s="8" t="str">
        <x:v>investigating</x:v>
      </x:c>
      <x:c r="H111" s="8" t="str">
        <x:v>P1</x:v>
      </x:c>
      <x:c r="I111" s="8" t="str">
        <x:v>2026-02-01</x:v>
      </x:c>
      <x:c r="J111" s="8" t="str">
        <x:v>2026-04-24</x:v>
      </x:c>
      <x:c r="K111" s="8"/>
      <x:c r="L111" s="8" t="str">
        <x:v>Verify behavior on a cold start and after the page reloads without destroying the native view.</x:v>
      </x:c>
      <x:c r="M111" s="8"/>
    </x:row>
    <x:row r="112">
      <x:c r="A112" s="8" t="str">
        <x:v>host object</x:v>
      </x:c>
      <x:c r="B112" s="8" t="str">
        <x:v>Android</x:v>
      </x:c>
      <x:c r="C112" s="8" t="str">
        <x:v>console event missing</x:v>
      </x:c>
      <x:c r="D112" s="8" t="str">
        <x:v>open case 1101; repeat after cold start.</x:v>
      </x:c>
      <x:c r="E112" s="8" t="str">
        <x:v>increase timeout</x:v>
      </x:c>
      <x:c r="F112" s="8" t="str">
        <x:v>Ben</x:v>
      </x:c>
      <x:c r="G112" s="8" t="str">
        <x:v>blocked</x:v>
      </x:c>
      <x:c r="H112" s="8" t="str">
        <x:v>P2</x:v>
      </x:c>
      <x:c r="I112" s="8" t="str">
        <x:v>2026-03-01</x:v>
      </x:c>
      <x:c r="J112" s="8" t="str">
        <x:v>2026-05-25</x:v>
      </x:c>
      <x:c r="K112" s="8"/>
      <x:c r="L112" s="8"/>
      <x:c r="M112" s="8"/>
    </x:row>
    <x:row r="113">
      <x:c r="A113" s="8" t="str">
        <x:v>security</x:v>
      </x:c>
      <x:c r="B113" s="8" t="str">
        <x:v>macOS</x:v>
      </x:c>
      <x:c r="C113" s="8" t="str">
        <x:v>blank page after reload</x:v>
      </x:c>
      <x:c r="D113" s="8"/>
      <x:c r="E113" s="8" t="str">
        <x:v>increase timeout</x:v>
      </x:c>
      <x:c r="F113" s="8" t="str">
        <x:v>Ben</x:v>
      </x:c>
      <x:c r="G113" s="8" t="str">
        <x:v>blocked</x:v>
      </x:c>
      <x:c r="H113" s="8" t="str">
        <x:v>P1</x:v>
      </x:c>
      <x:c r="I113" s="8" t="str">
        <x:v>2026-04-01</x:v>
      </x:c>
      <x:c r="J113" s="8" t="str">
        <x:v>2026-06-26</x:v>
      </x:c>
      <x:c r="K113" s="8"/>
      <x:c r="L113" s="8" t="str">
        <x:v>The owner field was not captured in the original notes, so classification should remain conservative.</x:v>
      </x:c>
      <x:c r="M113" s="8"/>
    </x:row>
    <x:row r="114">
      <x:c r="A114" s="8" t="str">
        <x:v>navigation</x:v>
      </x:c>
      <x:c r="B114" s="8" t="str">
        <x:v>Windows</x:v>
      </x:c>
      <x:c r="C114" s="8" t="str">
        <x:v>resource blocked by policy</x:v>
      </x:c>
      <x:c r="D114" s="8" t="str">
        <x:v>open case 1103; repeat after reload.</x:v>
      </x:c>
      <x:c r="E114" s="8" t="str">
        <x:v>use a bridge queue</x:v>
      </x:c>
      <x:c r="F114" s="8" t="str">
        <x:v>Asha</x:v>
      </x:c>
      <x:c r="G114" s="8" t="str">
        <x:v>resolved</x:v>
      </x:c>
      <x:c r="H114" s="8" t="str">
        <x:v>P2</x:v>
      </x:c>
      <x:c r="I114" s="8" t="str">
        <x:v>2026-05-01</x:v>
      </x:c>
      <x:c r="J114" s="8" t="str">
        <x:v>2026-07-27</x:v>
      </x:c>
      <x:c r="K114" s="8" t="str">
        <x:v>https://developer.android.com/reference/android/webkit/WebView</x:v>
      </x:c>
      <x:c r="L114" s="8"/>
      <x:c r="M114" s="8"/>
    </x:row>
    <x:row r="115">
      <x:c r="A115" s="8" t="str">
        <x:v>security</x:v>
      </x:c>
      <x:c r="B115" s="8" t="str">
        <x:v>Windows</x:v>
      </x:c>
      <x:c r="C115" s="8" t="str">
        <x:v>console event missing</x:v>
      </x:c>
      <x:c r="D115" s="8" t="str">
        <x:v>open case 1104; repeat after sleep.</x:v>
      </x:c>
      <x:c r="E115" s="8" t="str">
        <x:v>use a bridge queue</x:v>
      </x:c>
      <x:c r="F115" s="8" t="str">
        <x:v>Ben</x:v>
      </x:c>
      <x:c r="G115" s="8" t="str">
        <x:v>needs reproduction</x:v>
      </x:c>
      <x:c r="H115" s="8" t="str">
        <x:v>P3</x:v>
      </x:c>
      <x:c r="I115" s="8" t="str">
        <x:v>2026-06-01</x:v>
      </x:c>
      <x:c r="J115" s="8" t="str">
        <x:v>2026-08-20</x:v>
      </x:c>
      <x:c r="K115" s="8"/>
      <x:c r="L115" s="8"/>
      <x:c r="M115" s="8"/>
    </x:row>
    <x:row r="116">
      <x:c r="A116" s="8" t="str">
        <x:v>storage</x:v>
      </x:c>
      <x:c r="B116" s="8" t="str">
        <x:v>Linux</x:v>
      </x:c>
      <x:c r="C116" s="8" t="str">
        <x:v>scroll offset resets</x:v>
      </x:c>
      <x:c r="D116" s="8" t="str">
        <x:v>open case 1105; repeat after offline toggle.</x:v>
      </x:c>
      <x:c r="E116" s="8" t="str">
        <x:v>none yet</x:v>
      </x:c>
      <x:c r="F116" s="8" t="str">
        <x:v>Ben</x:v>
      </x:c>
      <x:c r="G116" s="8" t="str">
        <x:v>needs reproduction</x:v>
      </x:c>
      <x:c r="H116" s="8" t="str">
        <x:v>P0</x:v>
      </x:c>
      <x:c r="I116" s="8" t="str">
        <x:v>2026-07-01</x:v>
      </x:c>
      <x:c r="J116" s="8" t="str">
        <x:v>2026-09-21</x:v>
      </x:c>
      <x:c r="K116" s="8"/>
      <x:c r="L116" s="8" t="str">
        <x:v>A blank cell here is intentional. The source workbook has notes placed away from the nearest table.</x:v>
      </x:c>
      <x:c r="M116" s="8"/>
    </x:row>
    <x:row r="117">
      <x:c r="A117" s="8" t="str">
        <x:v>lifecycle</x:v>
      </x:c>
      <x:c r="B117" s="8" t="str">
        <x:v>macOS</x:v>
      </x:c>
      <x:c r="C117" s="8" t="str">
        <x:v>focus leaves native control</x:v>
      </x:c>
      <x:c r="D117" s="8"/>
      <x:c r="E117" s="8" t="str">
        <x:v>use a bridge queue</x:v>
      </x:c>
      <x:c r="F117" s="8" t="str">
        <x:v>Asha</x:v>
      </x:c>
      <x:c r="G117" s="8" t="str">
        <x:v>investigating</x:v>
      </x:c>
      <x:c r="H117" s="8" t="str">
        <x:v>P2</x:v>
      </x:c>
      <x:c r="I117" s="8" t="str">
        <x:v>2026-08-01</x:v>
      </x:c>
      <x:c r="J117" s="8" t="str">
        <x:v>2026-01-22</x:v>
      </x:c>
      <x:c r="K117" s="8" t="str">
        <x:v>https://developer.microsoft.com/en-us/microsoft-edge/webview2/</x:v>
      </x:c>
      <x:c r="L117" s="8" t="str">
        <x:v>A blank cell here is intentional. The source workbook has notes placed away from the nearest table.</x:v>
      </x:c>
      <x:c r="M117" s="8"/>
    </x:row>
    <x:row r="118">
      <x:c r="A118" s="8" t="str">
        <x:v>security</x:v>
      </x:c>
      <x:c r="B118" s="8" t="str">
        <x:v>Linux</x:v>
      </x:c>
      <x:c r="C118" s="8" t="str">
        <x:v>large response times out</x:v>
      </x:c>
      <x:c r="D118" s="8" t="str">
        <x:v>open case 1107; repeat after reload.</x:v>
      </x:c>
      <x:c r="E118" s="8" t="str">
        <x:v>retry after NavigationCompleted</x:v>
      </x:c>
      <x:c r="F118" s="8" t="str">
        <x:v>Mei</x:v>
      </x:c>
      <x:c r="G118" s="8" t="str">
        <x:v>needs reproduction</x:v>
      </x:c>
      <x:c r="H118" s="8" t="str">
        <x:v>P2</x:v>
      </x:c>
      <x:c r="I118" s="8" t="str">
        <x:v>2026-09-01</x:v>
      </x:c>
      <x:c r="J118" s="8" t="str">
        <x:v>2026-02-23</x:v>
      </x:c>
      <x:c r="K118" s="8"/>
      <x:c r="L118" s="8" t="str">
        <x:v>Verify behavior on a cold start and after the page reloads without destroying the native view.</x:v>
      </x:c>
      <x:c r="M118" s="8"/>
    </x:row>
    <x:row r="119">
      <x:c r="A119" s="8" t="str">
        <x:v>security</x:v>
      </x:c>
      <x:c r="B119" s="8" t="str">
        <x:v>Android</x:v>
      </x:c>
      <x:c r="C119" s="8" t="str">
        <x:v>focus leaves native control</x:v>
      </x:c>
      <x:c r="D119" s="8" t="str">
        <x:v>open case 1108; repeat after offline toggle.</x:v>
      </x:c>
      <x:c r="E119" s="8" t="str">
        <x:v>set explicit user agent</x:v>
      </x:c>
      <x:c r="F119" s="8" t="str">
        <x:v>Mei</x:v>
      </x:c>
      <x:c r="G119" s="8" t="str">
        <x:v>needs reproduction</x:v>
      </x:c>
      <x:c r="H119" s="8" t="str">
        <x:v>P2</x:v>
      </x:c>
      <x:c r="I119" s="8" t="str">
        <x:v>2026-01-01</x:v>
      </x:c>
      <x:c r="J119" s="8" t="str">
        <x:v>2026-03-24</x:v>
      </x:c>
      <x:c r="K119" s="8"/>
      <x:c r="L119" s="8"/>
      <x:c r="M119" s="8"/>
    </x:row>
    <x:row r="120">
      <x:c r="A120" s="8" t="str">
        <x:v>navigation</x:v>
      </x:c>
      <x:c r="B120" s="8" t="str">
        <x:v>Windows</x:v>
      </x:c>
      <x:c r="C120" s="8" t="str">
        <x:v>focus leaves native control</x:v>
      </x:c>
      <x:c r="D120" s="8"/>
      <x:c r="E120" s="8" t="str">
        <x:v>retry after NavigationCompleted</x:v>
      </x:c>
      <x:c r="F120" s="8" t="str">
        <x:v>Diego</x:v>
      </x:c>
      <x:c r="G120" s="8" t="str">
        <x:v>investigating</x:v>
      </x:c>
      <x:c r="H120" s="8" t="str">
        <x:v>P3</x:v>
      </x:c>
      <x:c r="I120" s="8" t="str">
        <x:v>2026-02-01</x:v>
      </x:c>
      <x:c r="J120" s="8" t="str">
        <x:v>2026-04-25</x:v>
      </x:c>
      <x:c r="K120" s="8" t="str">
        <x:v>https://learn.microsoft.com/en-us/microsoft-edge/webview2/concepts/security</x:v>
      </x:c>
      <x:c r="L120" s="8" t="str">
        <x:v>The owner field was not captured in the original notes, so classification should remain conservative.</x:v>
      </x:c>
      <x:c r="M120" s="8"/>
    </x:row>
    <x:row r="121">
      <x:c r="A121" s="8" t="str">
        <x:v>storage</x:v>
      </x:c>
      <x:c r="B121" s="8" t="str">
        <x:v>Android</x:v>
      </x:c>
      <x:c r="C121" s="8" t="str">
        <x:v>blank page after reload</x:v>
      </x:c>
      <x:c r="D121" s="8" t="str">
        <x:v>open case 1110; repeat after sleep.</x:v>
      </x:c>
      <x:c r="E121" s="8" t="str">
        <x:v>none yet</x:v>
      </x:c>
      <x:c r="F121" s="8" t="str">
        <x:v>Asha</x:v>
      </x:c>
      <x:c r="G121" s="8" t="str">
        <x:v>needs reproduction</x:v>
      </x:c>
      <x:c r="H121" s="8" t="str">
        <x:v>P3</x:v>
      </x:c>
      <x:c r="I121" s="8" t="str">
        <x:v>2026-03-01</x:v>
      </x:c>
      <x:c r="J121" s="8" t="str">
        <x:v>2026-05-26</x:v>
      </x:c>
      <x:c r="K121" s="8" t="str">
        <x:v>https://developer.apple.com/documentation/webkit/wkwebview</x:v>
      </x:c>
      <x:c r="L121" s="8"/>
      <x:c r="M121" s="8"/>
    </x:row>
    <x:row r="122">
      <x:c r="A122" s="8" t="str">
        <x:v>storage</x:v>
      </x:c>
      <x:c r="B122" s="8" t="str">
        <x:v>iOS</x:v>
      </x:c>
      <x:c r="C122" s="8" t="str">
        <x:v>console event missing</x:v>
      </x:c>
      <x:c r="D122" s="8" t="str">
        <x:v>open case 1111; repeat after cold start.</x:v>
      </x:c>
      <x:c r="E122" s="8" t="str">
        <x:v>reproduce on clean profile</x:v>
      </x:c>
      <x:c r="F122" s="8" t="str">
        <x:v>Asha</x:v>
      </x:c>
      <x:c r="G122" s="8" t="str">
        <x:v>open</x:v>
      </x:c>
      <x:c r="H122" s="8" t="str">
        <x:v>P2</x:v>
      </x:c>
      <x:c r="I122" s="8" t="str">
        <x:v>2026-04-01</x:v>
      </x:c>
      <x:c r="J122" s="8" t="str">
        <x:v>2026-06-27</x:v>
      </x:c>
      <x:c r="K122" s="8" t="str">
        <x:v>https://developer.apple.com/documentation/webkit/wkwebview</x:v>
      </x:c>
      <x:c r="L122" s="8"/>
      <x:c r="M122" s="8"/>
    </x:row>
    <x:row r="123">
      <x:c r="A123" s="8" t="str">
        <x:v>navigation</x:v>
      </x:c>
      <x:c r="B123" s="8" t="str">
        <x:v>Windows</x:v>
      </x:c>
      <x:c r="C123" s="8" t="str">
        <x:v>large response times out</x:v>
      </x:c>
      <x:c r="D123" s="8" t="str">
        <x:v>open case 1112; repeat after offline toggle.</x:v>
      </x:c>
      <x:c r="E123" s="8" t="str">
        <x:v>use a bridge queue</x:v>
      </x:c>
      <x:c r="F123" s="8" t="str">
        <x:v>No owner</x:v>
      </x:c>
      <x:c r="G123" s="8" t="str">
        <x:v>needs reproduction</x:v>
      </x:c>
      <x:c r="H123" s="8" t="str">
        <x:v>P2</x:v>
      </x:c>
      <x:c r="I123" s="8" t="str">
        <x:v>2026-05-01</x:v>
      </x:c>
      <x:c r="J123" s="8" t="str">
        <x:v>2026-07-20</x:v>
      </x:c>
      <x:c r="K123" s="8"/>
      <x:c r="L123" s="8" t="str">
        <x:v>Observed in a local test run: the content rendered, but the console warning appeared twice.</x:v>
      </x:c>
      <x:c r="M123" s="8"/>
    </x:row>
    <x:row r="124">
      <x:c r="A124" s="8" t="str">
        <x:v>storage</x:v>
      </x:c>
      <x:c r="B124" s="8" t="str">
        <x:v>Android</x:v>
      </x:c>
      <x:c r="C124" s="8" t="str">
        <x:v>large response times out</x:v>
      </x:c>
      <x:c r="D124" s="8" t="str">
        <x:v>open case 1113; repeat after cold start.</x:v>
      </x:c>
      <x:c r="E124" s="8" t="str">
        <x:v>none yet</x:v>
      </x:c>
      <x:c r="F124" s="8" t="str">
        <x:v>No owner</x:v>
      </x:c>
      <x:c r="G124" s="8" t="str">
        <x:v>needs reproduction</x:v>
      </x:c>
      <x:c r="H124" s="8" t="str">
        <x:v>P0</x:v>
      </x:c>
      <x:c r="I124" s="8" t="str">
        <x:v>2026-06-01</x:v>
      </x:c>
      <x:c r="J124" s="8" t="str">
        <x:v>2026-08-21</x:v>
      </x:c>
      <x:c r="K124" s="8"/>
      <x:c r="L124" s="8"/>
      <x:c r="M124" s="8"/>
    </x:row>
    <x:row r="125">
      <x:c r="A125" s="8" t="str">
        <x:v>host object</x:v>
      </x:c>
      <x:c r="B125" s="8" t="str">
        <x:v>Android</x:v>
      </x:c>
      <x:c r="C125" s="8" t="str">
        <x:v>scroll offset resets</x:v>
      </x:c>
      <x:c r="D125" s="8"/>
      <x:c r="E125" s="8" t="str">
        <x:v>use a bridge queue</x:v>
      </x:c>
      <x:c r="F125" s="8" t="str">
        <x:v>Diego</x:v>
      </x:c>
      <x:c r="G125" s="8" t="str">
        <x:v>open</x:v>
      </x:c>
      <x:c r="H125" s="8" t="str">
        <x:v>P1</x:v>
      </x:c>
      <x:c r="I125" s="8" t="str">
        <x:v>2026-07-01</x:v>
      </x:c>
      <x:c r="J125" s="8" t="str">
        <x:v>2026-09-22</x:v>
      </x:c>
      <x:c r="K125" s="8" t="str">
        <x:v>https://learn.microsoft.com/en-us/microsoft-edge/webview2/concepts/security</x:v>
      </x:c>
      <x:c r="L125" s="8"/>
      <x:c r="M125" s="8"/>
    </x:row>
    <x:row r="126">
      <x:c r="A126" s="8" t="str">
        <x:v>navigation</x:v>
      </x:c>
      <x:c r="B126" s="8" t="str">
        <x:v>iOS</x:v>
      </x:c>
      <x:c r="C126" s="8" t="str">
        <x:v>console event missing</x:v>
      </x:c>
      <x:c r="D126" s="8" t="str">
        <x:v>open case 1115; repeat after offline toggle.</x:v>
      </x:c>
      <x:c r="E126" s="8" t="str">
        <x:v>use a bridge queue</x:v>
      </x:c>
      <x:c r="F126" s="8" t="str">
        <x:v>Diego</x:v>
      </x:c>
      <x:c r="G126" s="8" t="str">
        <x:v>blocked</x:v>
      </x:c>
      <x:c r="H126" s="8" t="str">
        <x:v>P0</x:v>
      </x:c>
      <x:c r="I126" s="8" t="str">
        <x:v>2026-08-01</x:v>
      </x:c>
      <x:c r="J126" s="8" t="str">
        <x:v>2026-01-23</x:v>
      </x:c>
      <x:c r="K126" s="8"/>
      <x:c r="L126" s="8" t="str">
        <x:v>Potential duplicate: this paragraph is repeated in another section to test deduplication and chunk metadata.</x:v>
      </x:c>
      <x:c r="M126" s="8"/>
    </x:row>
    <x:row r="127">
      <x:c r="A127" s="8" t="str">
        <x:v>host object</x:v>
      </x:c>
      <x:c r="B127" s="8" t="str">
        <x:v>Android</x:v>
      </x:c>
      <x:c r="C127" s="8" t="str">
        <x:v>focus leaves native control</x:v>
      </x:c>
      <x:c r="D127" s="8" t="str">
        <x:v>open case 1116; repeat after reload.</x:v>
      </x:c>
      <x:c r="E127" s="8" t="str">
        <x:v>use a bridge queue</x:v>
      </x:c>
      <x:c r="F127" s="8" t="str">
        <x:v>Mei</x:v>
      </x:c>
      <x:c r="G127" s="8" t="str">
        <x:v>blocked</x:v>
      </x:c>
      <x:c r="H127" s="8" t="str">
        <x:v>P0</x:v>
      </x:c>
      <x:c r="I127" s="8" t="str">
        <x:v>2026-09-01</x:v>
      </x:c>
      <x:c r="J127" s="8" t="str">
        <x:v>2026-02-24</x:v>
      </x:c>
      <x:c r="K127" s="8" t="str">
        <x:v>https://learn.microsoft.com/en-us/microsoft-edge/webview2/concepts/security</x:v>
      </x:c>
      <x:c r="L127" s="8" t="str">
        <x:v>This sentence is long enough to exercise wrapping and downstream chunk boundaries in Markdown output.</x:v>
      </x:c>
      <x:c r="M127" s="8"/>
    </x:row>
    <x:row r="128">
      <x:c r="A128" s="8" t="str">
        <x:v>security</x:v>
      </x:c>
      <x:c r="B128" s="8" t="str">
        <x:v>macOS</x:v>
      </x:c>
      <x:c r="C128" s="8" t="str">
        <x:v>scroll offset resets</x:v>
      </x:c>
      <x:c r="D128" s="8" t="str">
        <x:v>open case 1117; repeat after sleep.</x:v>
      </x:c>
      <x:c r="E128" s="8" t="str">
        <x:v>increase timeout</x:v>
      </x:c>
      <x:c r="F128" s="8" t="str">
        <x:v>Carla</x:v>
      </x:c>
      <x:c r="G128" s="8" t="str">
        <x:v>needs reproduction</x:v>
      </x:c>
      <x:c r="H128" s="8" t="str">
        <x:v>P3</x:v>
      </x:c>
      <x:c r="I128" s="8" t="str">
        <x:v>2026-01-01</x:v>
      </x:c>
      <x:c r="J128" s="8" t="str">
        <x:v>2026-03-25</x:v>
      </x:c>
      <x:c r="K128" s="8"/>
      <x:c r="L128" s="8" t="str">
        <x:v>The bridge callback is stable for small payloads, but large JSON messages show visible delay during navigation.</x:v>
      </x:c>
      <x:c r="M128" s="8"/>
    </x:row>
    <x:row r="129">
      <x:c r="A129" s="8" t="str">
        <x:v>host object</x:v>
      </x:c>
      <x:c r="B129" s="8" t="str">
        <x:v>Windows</x:v>
      </x:c>
      <x:c r="C129" s="8" t="str">
        <x:v>console event missing</x:v>
      </x:c>
      <x:c r="D129" s="8" t="str">
        <x:v>open case 1118; repeat after reload.</x:v>
      </x:c>
      <x:c r="E129" s="8" t="str">
        <x:v>increase timeout</x:v>
      </x:c>
      <x:c r="F129" s="8" t="str">
        <x:v>Asha</x:v>
      </x:c>
      <x:c r="G129" s="8" t="str">
        <x:v>investigating</x:v>
      </x:c>
      <x:c r="H129" s="8" t="str">
        <x:v>P1</x:v>
      </x:c>
      <x:c r="I129" s="8" t="str">
        <x:v>2026-02-01</x:v>
      </x:c>
      <x:c r="J129" s="8" t="str">
        <x:v>2026-04-26</x:v>
      </x:c>
      <x:c r="K129" s="8" t="str">
        <x:v>https://github.com/react-native-webview/react-native-webview</x:v>
      </x:c>
      <x:c r="L129" s="8" t="str">
        <x:v>Potential duplicate: this paragraph is repeated in another section to test deduplication and chunk metadata.</x:v>
      </x:c>
      <x:c r="M129" s="8"/>
    </x:row>
    <x:row r="130">
      <x:c r="A130" s="8" t="str">
        <x:v>security</x:v>
      </x:c>
      <x:c r="B130" s="8" t="str">
        <x:v>Linux</x:v>
      </x:c>
      <x:c r="C130" s="8" t="str">
        <x:v>focus leaves native control</x:v>
      </x:c>
      <x:c r="D130" s="8" t="str">
        <x:v>open case 1119; repeat after offline toggle.</x:v>
      </x:c>
      <x:c r="E130" s="8" t="str">
        <x:v>retry after NavigationCompleted</x:v>
      </x:c>
      <x:c r="F130" s="8" t="str">
        <x:v>Diego</x:v>
      </x:c>
      <x:c r="G130" s="8" t="str">
        <x:v>blocked</x:v>
      </x:c>
      <x:c r="H130" s="8" t="str">
        <x:v>P2</x:v>
      </x:c>
      <x:c r="I130" s="8" t="str">
        <x:v>2026-03-01</x:v>
      </x:c>
      <x:c r="J130" s="8" t="str">
        <x:v>2026-05-27</x:v>
      </x:c>
      <x:c r="K130" s="8"/>
      <x:c r="L130" s="8" t="str">
        <x:v>The owner field was not captured in the original notes, so classification should remain conservative.</x:v>
      </x:c>
      <x:c r="M130" s="8"/>
    </x:row>
    <x:row r="131">
      <x:c r="A131" s="8" t="str">
        <x:v>host object</x:v>
      </x:c>
      <x:c r="B131" s="8" t="str">
        <x:v>Android</x:v>
      </x:c>
      <x:c r="C131" s="8" t="str">
        <x:v>large response times out</x:v>
      </x:c>
      <x:c r="D131" s="8"/>
      <x:c r="E131" s="8" t="str">
        <x:v>reproduce on clean profile</x:v>
      </x:c>
      <x:c r="F131" s="8" t="str">
        <x:v>Ben</x:v>
      </x:c>
      <x:c r="G131" s="8" t="str">
        <x:v>blocked</x:v>
      </x:c>
      <x:c r="H131" s="8" t="str">
        <x:v>P0</x:v>
      </x:c>
      <x:c r="I131" s="8" t="str">
        <x:v>2026-04-01</x:v>
      </x:c>
      <x:c r="J131" s="8" t="str">
        <x:v>2026-06-20</x:v>
      </x:c>
      <x:c r="K131" s="8"/>
      <x:c r="L131" s="8"/>
      <x:c r="M131" s="8"/>
    </x:row>
    <x:row r="132">
      <x:c r="A132" s="8" t="str">
        <x:v>bridge</x:v>
      </x:c>
      <x:c r="B132" s="8" t="str">
        <x:v>Windows</x:v>
      </x:c>
      <x:c r="C132" s="8" t="str">
        <x:v>scroll offset resets</x:v>
      </x:c>
      <x:c r="D132" s="8"/>
      <x:c r="E132" s="8" t="str">
        <x:v>none yet</x:v>
      </x:c>
      <x:c r="F132" s="8" t="str">
        <x:v>Carla</x:v>
      </x:c>
      <x:c r="G132" s="8" t="str">
        <x:v>open</x:v>
      </x:c>
      <x:c r="H132" s="8" t="str">
        <x:v>P1</x:v>
      </x:c>
      <x:c r="I132" s="8" t="str">
        <x:v>2026-05-01</x:v>
      </x:c>
      <x:c r="J132" s="8" t="str">
        <x:v>2026-07-21</x:v>
      </x:c>
      <x:c r="K132" s="8"/>
      <x:c r="L132" s="8"/>
      <x:c r="M132" s="8"/>
    </x:row>
    <x:row r="133">
      <x:c r="A133" s="8" t="str">
        <x:v>lifecycle</x:v>
      </x:c>
      <x:c r="B133" s="8" t="str">
        <x:v>Linux</x:v>
      </x:c>
      <x:c r="C133" s="8" t="str">
        <x:v>resource blocked by policy</x:v>
      </x:c>
      <x:c r="D133" s="8" t="str">
        <x:v>open case 1122; repeat after reload.</x:v>
      </x:c>
      <x:c r="E133" s="8" t="str">
        <x:v>use a bridge queue</x:v>
      </x:c>
      <x:c r="F133" s="8" t="str">
        <x:v>Diego</x:v>
      </x:c>
      <x:c r="G133" s="8" t="str">
        <x:v>needs reproduction</x:v>
      </x:c>
      <x:c r="H133" s="8" t="str">
        <x:v>P3</x:v>
      </x:c>
      <x:c r="I133" s="8" t="str">
        <x:v>2026-06-01</x:v>
      </x:c>
      <x:c r="J133" s="8" t="str">
        <x:v>2026-08-22</x:v>
      </x:c>
      <x:c r="K133" s="8"/>
      <x:c r="L133" s="8"/>
      <x:c r="M133" s="8"/>
    </x:row>
    <x:row r="134">
      <x:c r="A134" s="8" t="str">
        <x:v>security</x:v>
      </x:c>
      <x:c r="B134" s="8" t="str">
        <x:v>Windows</x:v>
      </x:c>
      <x:c r="C134" s="8" t="str">
        <x:v>large response times out</x:v>
      </x:c>
      <x:c r="D134" s="8"/>
      <x:c r="E134" s="8" t="str">
        <x:v>use a bridge queue</x:v>
      </x:c>
      <x:c r="F134" s="8" t="str">
        <x:v>Diego</x:v>
      </x:c>
      <x:c r="G134" s="8" t="str">
        <x:v>needs reproduction</x:v>
      </x:c>
      <x:c r="H134" s="8" t="str">
        <x:v>P0</x:v>
      </x:c>
      <x:c r="I134" s="8" t="str">
        <x:v>2026-07-01</x:v>
      </x:c>
      <x:c r="J134" s="8" t="str">
        <x:v>2026-09-23</x:v>
      </x:c>
      <x:c r="K134" s="8"/>
      <x:c r="L134" s="8"/>
      <x:c r="M134" s="8"/>
    </x:row>
    <x:row r="135">
      <x:c r="A135" s="8"/>
      <x:c r="B135" s="8"/>
      <x:c r="C135" s="8"/>
      <x:c r="D135" s="8"/>
      <x:c r="E135" s="8"/>
      <x:c r="F135" s="8"/>
      <x:c r="G135" s="8"/>
      <x:c r="H135" s="8"/>
      <x:c r="I135" s="8"/>
      <x:c r="J135" s="8"/>
      <x:c r="K135" s="8"/>
      <x:c r="L135" s="8"/>
      <x:c r="M135" s="8"/>
    </x:row>
    <x:row r="136">
      <x:c r="A136" s="8" t="str">
        <x:v>bridge</x:v>
      </x:c>
      <x:c r="B136" s="8" t="str">
        <x:v>Linux</x:v>
      </x:c>
      <x:c r="C136" s="8" t="str">
        <x:v>console event missing</x:v>
      </x:c>
      <x:c r="D136" s="8" t="str">
        <x:v>open case 1124; repeat after sleep.</x:v>
      </x:c>
      <x:c r="E136" s="8" t="str">
        <x:v>set explicit user agent</x:v>
      </x:c>
      <x:c r="F136" s="8" t="str">
        <x:v>Asha</x:v>
      </x:c>
      <x:c r="G136" s="8" t="str">
        <x:v>resolved</x:v>
      </x:c>
      <x:c r="H136" s="8" t="str">
        <x:v>P0</x:v>
      </x:c>
      <x:c r="I136" s="8" t="str">
        <x:v>2026-08-01</x:v>
      </x:c>
      <x:c r="J136" s="8" t="str">
        <x:v>2026-01-24</x:v>
      </x:c>
      <x:c r="K136" s="8"/>
      <x:c r="L136" s="8"/>
      <x:c r="M136" s="8"/>
    </x:row>
    <x:row r="137">
      <x:c r="A137" s="8" t="str">
        <x:v>host object</x:v>
      </x:c>
      <x:c r="B137" s="8" t="str">
        <x:v>iOS</x:v>
      </x:c>
      <x:c r="C137" s="8" t="str">
        <x:v>scroll offset resets</x:v>
      </x:c>
      <x:c r="D137" s="8" t="str">
        <x:v>open case 1125; repeat after reload.</x:v>
      </x:c>
      <x:c r="E137" s="8" t="str">
        <x:v>reproduce on clean profile</x:v>
      </x:c>
      <x:c r="F137" s="8" t="str">
        <x:v>Ben</x:v>
      </x:c>
      <x:c r="G137" s="8" t="str">
        <x:v>resolved</x:v>
      </x:c>
      <x:c r="H137" s="8" t="str">
        <x:v>P2</x:v>
      </x:c>
      <x:c r="I137" s="8" t="str">
        <x:v>2026-09-01</x:v>
      </x:c>
      <x:c r="J137" s="8" t="str">
        <x:v>2026-02-25</x:v>
      </x:c>
      <x:c r="K137" s="8"/>
      <x:c r="L137" s="8" t="str">
        <x:v>This sentence is long enough to exercise wrapping and downstream chunk boundaries in Markdown output.</x:v>
      </x:c>
      <x:c r="M137" s="8"/>
    </x:row>
    <x:row r="138">
      <x:c r="A138" s="8" t="str">
        <x:v>bridge</x:v>
      </x:c>
      <x:c r="B138" s="8" t="str">
        <x:v>Linux</x:v>
      </x:c>
      <x:c r="C138" s="8" t="str">
        <x:v>console event missing</x:v>
      </x:c>
      <x:c r="D138" s="8"/>
      <x:c r="E138" s="8" t="str">
        <x:v>none yet</x:v>
      </x:c>
      <x:c r="F138" s="8" t="str">
        <x:v>Mei</x:v>
      </x:c>
      <x:c r="G138" s="8" t="str">
        <x:v>needs reproduction</x:v>
      </x:c>
      <x:c r="H138" s="8" t="str">
        <x:v>P2</x:v>
      </x:c>
      <x:c r="I138" s="8" t="str">
        <x:v>2026-01-01</x:v>
      </x:c>
      <x:c r="J138" s="8" t="str">
        <x:v>2026-03-26</x:v>
      </x:c>
      <x:c r="K138" s="8"/>
      <x:c r="L138" s="8" t="str">
        <x:v>Verify behavior on a cold start and after the page reloads without destroying the native view.</x:v>
      </x:c>
      <x:c r="M138" s="8"/>
    </x:row>
    <x:row r="139">
      <x:c r="A139" s="8" t="str">
        <x:v>navigation</x:v>
      </x:c>
      <x:c r="B139" s="8" t="str">
        <x:v>Windows</x:v>
      </x:c>
      <x:c r="C139" s="8" t="str">
        <x:v>focus leaves native control</x:v>
      </x:c>
      <x:c r="D139" s="8" t="str">
        <x:v>open case 1127; repeat after reload.</x:v>
      </x:c>
      <x:c r="E139" s="8" t="str">
        <x:v>increase timeout</x:v>
      </x:c>
      <x:c r="F139" s="8" t="str">
        <x:v>Asha</x:v>
      </x:c>
      <x:c r="G139" s="8" t="str">
        <x:v>investigating</x:v>
      </x:c>
      <x:c r="H139" s="8" t="str">
        <x:v>P1</x:v>
      </x:c>
      <x:c r="I139" s="8" t="str">
        <x:v>2026-02-01</x:v>
      </x:c>
      <x:c r="J139" s="8" t="str">
        <x:v>2026-04-27</x:v>
      </x:c>
      <x:c r="K139" s="8" t="str">
        <x:v>https://developer.android.com/reference/android/webkit/WebView</x:v>
      </x:c>
      <x:c r="L139" s="8"/>
      <x:c r="M139" s="8"/>
    </x:row>
    <x:row r="140">
      <x:c r="A140" s="8" t="str">
        <x:v>navigation</x:v>
      </x:c>
      <x:c r="B140" s="8" t="str">
        <x:v>Windows</x:v>
      </x:c>
      <x:c r="C140" s="8" t="str">
        <x:v>resource blocked by policy</x:v>
      </x:c>
      <x:c r="D140" s="8"/>
      <x:c r="E140" s="8" t="str">
        <x:v>use a bridge queue</x:v>
      </x:c>
      <x:c r="F140" s="8" t="str">
        <x:v>Diego</x:v>
      </x:c>
      <x:c r="G140" s="8" t="str">
        <x:v>needs reproduction</x:v>
      </x:c>
      <x:c r="H140" s="8" t="str">
        <x:v>P3</x:v>
      </x:c>
      <x:c r="I140" s="8" t="str">
        <x:v>2026-03-01</x:v>
      </x:c>
      <x:c r="J140" s="8" t="str">
        <x:v>2026-05-20</x:v>
      </x:c>
      <x:c r="K140" s="8"/>
      <x:c r="L140" s="8" t="str">
        <x:v>Observed in a local test run: the content rendered, but the console warning appeared twice.</x:v>
      </x:c>
      <x:c r="M140" s="8"/>
    </x:row>
    <x:row r="141">
      <x:c r="A141" s="8" t="str">
        <x:v>storage</x:v>
      </x:c>
      <x:c r="B141" s="8" t="str">
        <x:v>Linux</x:v>
      </x:c>
      <x:c r="C141" s="8" t="str">
        <x:v>focus leaves native control</x:v>
      </x:c>
      <x:c r="D141" s="8" t="str">
        <x:v>open case 1129; repeat after reload.</x:v>
      </x:c>
      <x:c r="E141" s="8" t="str">
        <x:v>increase timeout</x:v>
      </x:c>
      <x:c r="F141" s="8" t="str">
        <x:v>Diego</x:v>
      </x:c>
      <x:c r="G141" s="8" t="str">
        <x:v>open</x:v>
      </x:c>
      <x:c r="H141" s="8" t="str">
        <x:v>P2</x:v>
      </x:c>
      <x:c r="I141" s="8" t="str">
        <x:v>2026-04-01</x:v>
      </x:c>
      <x:c r="J141" s="8" t="str">
        <x:v>2026-06-21</x:v>
      </x:c>
      <x:c r="K141" s="8" t="str">
        <x:v>https://github.com/react-native-webview/react-native-webview</x:v>
      </x:c>
      <x:c r="L141" s="8" t="str">
        <x:v>A blank cell here is intentional. The source workbook has notes placed away from the nearest table.</x:v>
      </x:c>
      <x:c r="M141" s="8"/>
    </x:row>
    <x:row r="142">
      <x:c r="A142" s="8" t="str">
        <x:v>lifecycle</x:v>
      </x:c>
      <x:c r="B142" s="8" t="str">
        <x:v>macOS</x:v>
      </x:c>
      <x:c r="C142" s="8" t="str">
        <x:v>focus leaves native control</x:v>
      </x:c>
      <x:c r="D142" s="8"/>
      <x:c r="E142" s="8" t="str">
        <x:v>set explicit user agent</x:v>
      </x:c>
      <x:c r="F142" s="8" t="str">
        <x:v>Carla</x:v>
      </x:c>
      <x:c r="G142" s="8" t="str">
        <x:v>resolved</x:v>
      </x:c>
      <x:c r="H142" s="8" t="str">
        <x:v>P1</x:v>
      </x:c>
      <x:c r="I142" s="8" t="str">
        <x:v>2026-05-01</x:v>
      </x:c>
      <x:c r="J142" s="8" t="str">
        <x:v>2026-07-22</x:v>
      </x:c>
      <x:c r="K142" s="8" t="str">
        <x:v>https://developer.microsoft.com/en-us/microsoft-edge/webview2/</x:v>
      </x:c>
      <x:c r="L142" s="8" t="str">
        <x:v>This sentence is long enough to exercise wrapping and downstream chunk boundaries in Markdown output.</x:v>
      </x:c>
      <x:c r="M142" s="8"/>
    </x:row>
    <x:row r="143">
      <x:c r="A143" s="8" t="str">
        <x:v>host object</x:v>
      </x:c>
      <x:c r="B143" s="8" t="str">
        <x:v>Windows</x:v>
      </x:c>
      <x:c r="C143" s="8" t="str">
        <x:v>scroll offset resets</x:v>
      </x:c>
      <x:c r="D143" s="8" t="str">
        <x:v>open case 1131; repeat after cold start.</x:v>
      </x:c>
      <x:c r="E143" s="8" t="str">
        <x:v>use a bridge queue</x:v>
      </x:c>
      <x:c r="F143" s="8" t="str">
        <x:v>Carla</x:v>
      </x:c>
      <x:c r="G143" s="8" t="str">
        <x:v>open</x:v>
      </x:c>
      <x:c r="H143" s="8" t="str">
        <x:v>P3</x:v>
      </x:c>
      <x:c r="I143" s="8" t="str">
        <x:v>2026-06-01</x:v>
      </x:c>
      <x:c r="J143" s="8" t="str">
        <x:v>2026-08-23</x:v>
      </x:c>
      <x:c r="K143" s="8" t="str">
        <x:v>https://github.com/react-native-webview/react-native-webview</x:v>
      </x:c>
      <x:c r="L143" s="8"/>
      <x:c r="M143" s="8"/>
    </x:row>
    <x:row r="144">
      <x:c r="A144" s="8" t="str">
        <x:v>host object</x:v>
      </x:c>
      <x:c r="B144" s="8" t="str">
        <x:v>iOS</x:v>
      </x:c>
      <x:c r="C144" s="8" t="str">
        <x:v>resource blocked by policy</x:v>
      </x:c>
      <x:c r="D144" s="8" t="str">
        <x:v>open case 1132; repeat after reload.</x:v>
      </x:c>
      <x:c r="E144" s="8" t="str">
        <x:v>retry after NavigationCompleted</x:v>
      </x:c>
      <x:c r="F144" s="8" t="str">
        <x:v>Asha</x:v>
      </x:c>
      <x:c r="G144" s="8" t="str">
        <x:v>resolved</x:v>
      </x:c>
      <x:c r="H144" s="8" t="str">
        <x:v>P1</x:v>
      </x:c>
      <x:c r="I144" s="8" t="str">
        <x:v>2026-07-01</x:v>
      </x:c>
      <x:c r="J144" s="8" t="str">
        <x:v>2026-09-24</x:v>
      </x:c>
      <x:c r="K144" s="8" t="str">
        <x:v>https://developer.microsoft.com/en-us/microsoft-edge/webview2/</x:v>
      </x:c>
      <x:c r="L144" s="8"/>
      <x:c r="M144" s="8"/>
    </x:row>
    <x:row r="145">
      <x:c r="A145" s="8" t="str">
        <x:v>navigation</x:v>
      </x:c>
      <x:c r="B145" s="8" t="str">
        <x:v>Android</x:v>
      </x:c>
      <x:c r="C145" s="8" t="str">
        <x:v>console event missing</x:v>
      </x:c>
      <x:c r="D145" s="8"/>
      <x:c r="E145" s="8" t="str">
        <x:v>reproduce on clean profile</x:v>
      </x:c>
      <x:c r="F145" s="8" t="str">
        <x:v>No owner</x:v>
      </x:c>
      <x:c r="G145" s="8" t="str">
        <x:v>open</x:v>
      </x:c>
      <x:c r="H145" s="8" t="str">
        <x:v>P0</x:v>
      </x:c>
      <x:c r="I145" s="8" t="str">
        <x:v>2026-08-01</x:v>
      </x:c>
      <x:c r="J145" s="8" t="str">
        <x:v>2026-01-25</x:v>
      </x:c>
      <x:c r="K145" s="8" t="str">
        <x:v>https://learn.microsoft.com/en-us/microsoft-edge/webview2/concepts/security</x:v>
      </x:c>
      <x:c r="L145" s="8" t="str">
        <x:v>A blank cell here is intentional. The source workbook has notes placed away from the nearest table.</x:v>
      </x:c>
      <x:c r="M145" s="8"/>
    </x:row>
    <x:row r="146">
      <x:c r="A146" s="8" t="str">
        <x:v>host object</x:v>
      </x:c>
      <x:c r="B146" s="8" t="str">
        <x:v>macOS</x:v>
      </x:c>
      <x:c r="C146" s="8" t="str">
        <x:v>console event missing</x:v>
      </x:c>
      <x:c r="D146" s="8" t="str">
        <x:v>open case 1134; repeat after cold start.</x:v>
      </x:c>
      <x:c r="E146" s="8" t="str">
        <x:v>reproduce on clean profile</x:v>
      </x:c>
      <x:c r="F146" s="8" t="str">
        <x:v>Diego</x:v>
      </x:c>
      <x:c r="G146" s="8" t="str">
        <x:v>investigating</x:v>
      </x:c>
      <x:c r="H146" s="8" t="str">
        <x:v>P0</x:v>
      </x:c>
      <x:c r="I146" s="8" t="str">
        <x:v>2026-09-01</x:v>
      </x:c>
      <x:c r="J146" s="8" t="str">
        <x:v>2026-02-26</x:v>
      </x:c>
      <x:c r="K146" s="8"/>
      <x:c r="L146" s="8" t="str">
        <x:v>This sentence is long enough to exercise wrapping and downstream chunk boundaries in Markdown output.</x:v>
      </x:c>
      <x:c r="M146" s="8"/>
    </x:row>
    <x:row r="147">
      <x:c r="A147" s="8" t="str">
        <x:v>navigation</x:v>
      </x:c>
      <x:c r="B147" s="8" t="str">
        <x:v>Android</x:v>
      </x:c>
      <x:c r="C147" s="8" t="str">
        <x:v>large response times out</x:v>
      </x:c>
      <x:c r="D147" s="8" t="str">
        <x:v>open case 1135; repeat after sleep.</x:v>
      </x:c>
      <x:c r="E147" s="8" t="str">
        <x:v>use a bridge queue</x:v>
      </x:c>
      <x:c r="F147" s="8" t="str">
        <x:v>Mei</x:v>
      </x:c>
      <x:c r="G147" s="8" t="str">
        <x:v>investigating</x:v>
      </x:c>
      <x:c r="H147" s="8" t="str">
        <x:v>P3</x:v>
      </x:c>
      <x:c r="I147" s="8" t="str">
        <x:v>2026-01-01</x:v>
      </x:c>
      <x:c r="J147" s="8" t="str">
        <x:v>2026-03-27</x:v>
      </x:c>
      <x:c r="K147" s="8" t="str">
        <x:v>https://learn.microsoft.com/en-us/microsoft-edge/webview2/concepts/security</x:v>
      </x:c>
      <x:c r="L147" s="8" t="str">
        <x:v>The owner field was not captured in the original notes, so classification should remain conservative.</x:v>
      </x:c>
      <x:c r="M147" s="8"/>
    </x:row>
    <x:row r="148">
      <x:c r="A148" s="8" t="str">
        <x:v>bridge</x:v>
      </x:c>
      <x:c r="B148" s="8" t="str">
        <x:v>iOS</x:v>
      </x:c>
      <x:c r="C148" s="8" t="str">
        <x:v>console event missing</x:v>
      </x:c>
      <x:c r="D148" s="8"/>
      <x:c r="E148" s="8" t="str">
        <x:v>none yet</x:v>
      </x:c>
      <x:c r="F148" s="8" t="str">
        <x:v>No owner</x:v>
      </x:c>
      <x:c r="G148" s="8" t="str">
        <x:v>resolved</x:v>
      </x:c>
      <x:c r="H148" s="8" t="str">
        <x:v>P2</x:v>
      </x:c>
      <x:c r="I148" s="8" t="str">
        <x:v>2026-02-01</x:v>
      </x:c>
      <x:c r="J148" s="8" t="str">
        <x:v>2026-04-20</x:v>
      </x:c>
      <x:c r="K148" s="8" t="str">
        <x:v>https://developer.microsoft.com/en-us/microsoft-edge/webview2/</x:v>
      </x:c>
      <x:c r="L148" s="8" t="str">
        <x:v>A blank cell here is intentional. The source workbook has notes placed away from the nearest table.</x:v>
      </x:c>
      <x:c r="M148" s="8"/>
    </x:row>
    <x:row r="149">
      <x:c r="A149" s="8" t="str">
        <x:v>host object</x:v>
      </x:c>
      <x:c r="B149" s="8" t="str">
        <x:v>macOS</x:v>
      </x:c>
      <x:c r="C149" s="8" t="str">
        <x:v>blank page after reload</x:v>
      </x:c>
      <x:c r="D149" s="8"/>
      <x:c r="E149" s="8" t="str">
        <x:v>use a bridge queue</x:v>
      </x:c>
      <x:c r="F149" s="8" t="str">
        <x:v>Asha</x:v>
      </x:c>
      <x:c r="G149" s="8" t="str">
        <x:v>blocked</x:v>
      </x:c>
      <x:c r="H149" s="8" t="str">
        <x:v>P2</x:v>
      </x:c>
      <x:c r="I149" s="8" t="str">
        <x:v>2026-03-01</x:v>
      </x:c>
      <x:c r="J149" s="8" t="str">
        <x:v>2026-05-21</x:v>
      </x:c>
      <x:c r="K149" s="8"/>
      <x:c r="L149" s="8"/>
      <x:c r="M149" s="8"/>
    </x:row>
    <x:row r="150">
      <x:c r="A150" s="8" t="str">
        <x:v>host object</x:v>
      </x:c>
      <x:c r="B150" s="8" t="str">
        <x:v>macOS</x:v>
      </x:c>
      <x:c r="C150" s="8" t="str">
        <x:v>large response times out</x:v>
      </x:c>
      <x:c r="D150" s="8" t="str">
        <x:v>open case 1138; repeat after cold start.</x:v>
      </x:c>
      <x:c r="E150" s="8" t="str">
        <x:v>use a bridge queue</x:v>
      </x:c>
      <x:c r="F150" s="8" t="str">
        <x:v>No owner</x:v>
      </x:c>
      <x:c r="G150" s="8" t="str">
        <x:v>investigating</x:v>
      </x:c>
      <x:c r="H150" s="8" t="str">
        <x:v>P1</x:v>
      </x:c>
      <x:c r="I150" s="8" t="str">
        <x:v>2026-04-01</x:v>
      </x:c>
      <x:c r="J150" s="8" t="str">
        <x:v>2026-06-22</x:v>
      </x:c>
      <x:c r="K150" s="8"/>
      <x:c r="L150" s="8"/>
      <x:c r="M150" s="8"/>
    </x:row>
    <x:row r="151">
      <x:c r="A151" s="8" t="str">
        <x:v>security</x:v>
      </x:c>
      <x:c r="B151" s="8" t="str">
        <x:v>Windows</x:v>
      </x:c>
      <x:c r="C151" s="8" t="str">
        <x:v>large response times out</x:v>
      </x:c>
      <x:c r="D151" s="8"/>
      <x:c r="E151" s="8" t="str">
        <x:v>reproduce on clean profile</x:v>
      </x:c>
      <x:c r="F151" s="8" t="str">
        <x:v>Mei</x:v>
      </x:c>
      <x:c r="G151" s="8" t="str">
        <x:v>resolved</x:v>
      </x:c>
      <x:c r="H151" s="8" t="str">
        <x:v>P3</x:v>
      </x:c>
      <x:c r="I151" s="8" t="str">
        <x:v>2026-05-01</x:v>
      </x:c>
      <x:c r="J151" s="8" t="str">
        <x:v>2026-07-23</x:v>
      </x:c>
      <x:c r="K151" s="8" t="str">
        <x:v>https://developer.microsoft.com/en-us/microsoft-edge/webview2/</x:v>
      </x:c>
      <x:c r="L151" s="8" t="str">
        <x:v>This sentence is long enough to exercise wrapping and downstream chunk boundaries in Markdown output.</x:v>
      </x:c>
      <x:c r="M151" s="8"/>
    </x:row>
    <x:row r="152">
      <x:c r="A152" s="8" t="str">
        <x:v>bridge</x:v>
      </x:c>
      <x:c r="B152" s="8" t="str">
        <x:v>Windows</x:v>
      </x:c>
      <x:c r="C152" s="8" t="str">
        <x:v>scroll offset resets</x:v>
      </x:c>
      <x:c r="D152" s="8" t="str">
        <x:v>open case 1140; repeat after offline toggle.</x:v>
      </x:c>
      <x:c r="E152" s="8" t="str">
        <x:v>set explicit user agent</x:v>
      </x:c>
      <x:c r="F152" s="8" t="str">
        <x:v>Mei</x:v>
      </x:c>
      <x:c r="G152" s="8" t="str">
        <x:v>needs reproduction</x:v>
      </x:c>
      <x:c r="H152" s="8" t="str">
        <x:v>P1</x:v>
      </x:c>
      <x:c r="I152" s="8" t="str">
        <x:v>2026-06-01</x:v>
      </x:c>
      <x:c r="J152" s="8" t="str">
        <x:v>2026-08-24</x:v>
      </x:c>
      <x:c r="K152" s="8" t="str">
        <x:v>https://learn.microsoft.com/en-us/microsoft-edge/webview2/concepts/security</x:v>
      </x:c>
      <x:c r="L152" s="8" t="str">
        <x:v>Follow-up: compare the result when the network security policy is relaxed versus when it is enforced.</x:v>
      </x:c>
      <x:c r="M152" s="8"/>
    </x:row>
    <x:row r="153">
      <x:c r="A153" s="8" t="str">
        <x:v>Category</x:v>
      </x:c>
      <x:c r="B153" s="8" t="str">
        <x:v>Platform</x:v>
      </x:c>
      <x:c r="C153" s="8" t="str">
        <x:v>Symptom</x:v>
      </x:c>
      <x:c r="D153" s="8" t="str">
        <x:v>Reproduction</x:v>
      </x:c>
      <x:c r="E153" s="8" t="str">
        <x:v>Workaround</x:v>
      </x:c>
      <x:c r="F153" s="8" t="str">
        <x:v>Owner</x:v>
      </x:c>
      <x:c r="G153" s="8" t="str">
        <x:v>Status</x:v>
      </x:c>
      <x:c r="H153" s="8" t="str">
        <x:v>Severity</x:v>
      </x:c>
      <x:c r="I153" s="8" t="str">
        <x:v>First seen</x:v>
      </x:c>
      <x:c r="J153" s="8" t="str">
        <x:v>Last seen</x:v>
      </x:c>
      <x:c r="K153" s="8" t="str">
        <x:v>Reference</x:v>
      </x:c>
      <x:c r="L153" s="8" t="str">
        <x:v>Free note</x:v>
      </x:c>
      <x:c r="M153" s="8" t="str">
        <x:v>repeated header</x:v>
      </x:c>
    </x:row>
    <x:row r="154">
      <x:c r="A154" s="8" t="str">
        <x:v>lifecycle</x:v>
      </x:c>
      <x:c r="B154" s="8" t="str">
        <x:v>Linux</x:v>
      </x:c>
      <x:c r="C154" s="8" t="str">
        <x:v>large response times out</x:v>
      </x:c>
      <x:c r="D154" s="8" t="str">
        <x:v>open case 1141; repeat after offline toggle.</x:v>
      </x:c>
      <x:c r="E154" s="8" t="str">
        <x:v>use a bridge queue</x:v>
      </x:c>
      <x:c r="F154" s="8" t="str">
        <x:v>Diego</x:v>
      </x:c>
      <x:c r="G154" s="8" t="str">
        <x:v>investigating</x:v>
      </x:c>
      <x:c r="H154" s="8" t="str">
        <x:v>P3</x:v>
      </x:c>
      <x:c r="I154" s="8" t="str">
        <x:v>2026-07-01</x:v>
      </x:c>
      <x:c r="J154" s="8" t="str">
        <x:v>2026-09-25</x:v>
      </x:c>
      <x:c r="K154" s="8"/>
      <x:c r="L154" s="8" t="str">
        <x:v>Verify behavior on a cold start and after the page reloads without destroying the native view.</x:v>
      </x:c>
      <x:c r="M154" s="8"/>
    </x:row>
    <x:row r="155">
      <x:c r="A155" s="8" t="str">
        <x:v>security</x:v>
      </x:c>
      <x:c r="B155" s="8" t="str">
        <x:v>iOS</x:v>
      </x:c>
      <x:c r="C155" s="8" t="str">
        <x:v>blank page after reload</x:v>
      </x:c>
      <x:c r="D155" s="8"/>
      <x:c r="E155" s="8" t="str">
        <x:v>increase timeout</x:v>
      </x:c>
      <x:c r="F155" s="8" t="str">
        <x:v>Ben</x:v>
      </x:c>
      <x:c r="G155" s="8" t="str">
        <x:v>blocked</x:v>
      </x:c>
      <x:c r="H155" s="8" t="str">
        <x:v>P2</x:v>
      </x:c>
      <x:c r="I155" s="8" t="str">
        <x:v>2026-08-01</x:v>
      </x:c>
      <x:c r="J155" s="8" t="str">
        <x:v>2026-01-26</x:v>
      </x:c>
      <x:c r="K155" s="8" t="str">
        <x:v>https://learn.microsoft.com/en-us/microsoft-edge/webview2/concepts/security</x:v>
      </x:c>
      <x:c r="L155" s="8"/>
      <x:c r="M155" s="8"/>
    </x:row>
    <x:row r="156">
      <x:c r="A156" s="8" t="str">
        <x:v>lifecycle</x:v>
      </x:c>
      <x:c r="B156" s="8" t="str">
        <x:v>Android</x:v>
      </x:c>
      <x:c r="C156" s="8" t="str">
        <x:v>blank page after reload</x:v>
      </x:c>
      <x:c r="D156" s="8"/>
      <x:c r="E156" s="8" t="str">
        <x:v>reproduce on clean profile</x:v>
      </x:c>
      <x:c r="F156" s="8" t="str">
        <x:v>Diego</x:v>
      </x:c>
      <x:c r="G156" s="8" t="str">
        <x:v>resolved</x:v>
      </x:c>
      <x:c r="H156" s="8" t="str">
        <x:v>P1</x:v>
      </x:c>
      <x:c r="I156" s="8" t="str">
        <x:v>2026-09-01</x:v>
      </x:c>
      <x:c r="J156" s="8" t="str">
        <x:v>2026-02-27</x:v>
      </x:c>
      <x:c r="K156" s="8"/>
      <x:c r="L156" s="8"/>
      <x:c r="M156" s="8"/>
    </x:row>
    <x:row r="157">
      <x:c r="A157" s="8" t="str">
        <x:v>lifecycle</x:v>
      </x:c>
      <x:c r="B157" s="8" t="str">
        <x:v>Windows</x:v>
      </x:c>
      <x:c r="C157" s="8" t="str">
        <x:v>focus leaves native control</x:v>
      </x:c>
      <x:c r="D157" s="8"/>
      <x:c r="E157" s="8" t="str">
        <x:v>use a bridge queue</x:v>
      </x:c>
      <x:c r="F157" s="8" t="str">
        <x:v>Diego</x:v>
      </x:c>
      <x:c r="G157" s="8" t="str">
        <x:v>blocked</x:v>
      </x:c>
      <x:c r="H157" s="8" t="str">
        <x:v>P2</x:v>
      </x:c>
      <x:c r="I157" s="8" t="str">
        <x:v>2026-01-01</x:v>
      </x:c>
      <x:c r="J157" s="8" t="str">
        <x:v>2026-03-20</x:v>
      </x:c>
      <x:c r="K157" s="8" t="str">
        <x:v>https://developer.microsoft.com/en-us/microsoft-edge/webview2/</x:v>
      </x:c>
      <x:c r="L157" s="8" t="str">
        <x:v>A blank cell here is intentional. The source workbook has notes placed away from the nearest table.</x:v>
      </x:c>
      <x:c r="M157" s="8"/>
    </x:row>
    <x:row r="158">
      <x:c r="A158" s="8" t="str">
        <x:v>host object</x:v>
      </x:c>
      <x:c r="B158" s="8" t="str">
        <x:v>macOS</x:v>
      </x:c>
      <x:c r="C158" s="8" t="str">
        <x:v>scroll offset resets</x:v>
      </x:c>
      <x:c r="D158" s="8" t="str">
        <x:v>open case 1145; repeat after sleep.</x:v>
      </x:c>
      <x:c r="E158" s="8" t="str">
        <x:v>none yet</x:v>
      </x:c>
      <x:c r="F158" s="8" t="str">
        <x:v>Diego</x:v>
      </x:c>
      <x:c r="G158" s="8" t="str">
        <x:v>blocked</x:v>
      </x:c>
      <x:c r="H158" s="8" t="str">
        <x:v>P0</x:v>
      </x:c>
      <x:c r="I158" s="8" t="str">
        <x:v>2026-02-01</x:v>
      </x:c>
      <x:c r="J158" s="8" t="str">
        <x:v>2026-04-21</x:v>
      </x:c>
      <x:c r="K158" s="8" t="str">
        <x:v>https://developer.microsoft.com/en-us/microsoft-edge/webview2/</x:v>
      </x:c>
      <x:c r="L158" s="8"/>
      <x:c r="M158" s="8"/>
    </x:row>
    <x:row r="159">
      <x:c r="A159" s="8" t="str">
        <x:v>bridge</x:v>
      </x:c>
      <x:c r="B159" s="8" t="str">
        <x:v>Linux</x:v>
      </x:c>
      <x:c r="C159" s="8" t="str">
        <x:v>scroll offset resets</x:v>
      </x:c>
      <x:c r="D159" s="8" t="str">
        <x:v>open case 1146; repeat after reload.</x:v>
      </x:c>
      <x:c r="E159" s="8" t="str">
        <x:v>set explicit user agent</x:v>
      </x:c>
      <x:c r="F159" s="8" t="str">
        <x:v>Mei</x:v>
      </x:c>
      <x:c r="G159" s="8" t="str">
        <x:v>investigating</x:v>
      </x:c>
      <x:c r="H159" s="8" t="str">
        <x:v>P2</x:v>
      </x:c>
      <x:c r="I159" s="8" t="str">
        <x:v>2026-03-01</x:v>
      </x:c>
      <x:c r="J159" s="8" t="str">
        <x:v>2026-05-22</x:v>
      </x:c>
      <x:c r="K159" s="8" t="str">
        <x:v>https://github.com/react-native-webview/react-native-webview</x:v>
      </x:c>
      <x:c r="L159" s="8"/>
      <x:c r="M159" s="8"/>
    </x:row>
    <x:row r="160">
      <x:c r="A160" s="8" t="str">
        <x:v>storage</x:v>
      </x:c>
      <x:c r="B160" s="8" t="str">
        <x:v>Linux</x:v>
      </x:c>
      <x:c r="C160" s="8" t="str">
        <x:v>focus leaves native control</x:v>
      </x:c>
      <x:c r="D160" s="8" t="str">
        <x:v>open case 1147; repeat after reload.</x:v>
      </x:c>
      <x:c r="E160" s="8" t="str">
        <x:v>set explicit user agent</x:v>
      </x:c>
      <x:c r="F160" s="8" t="str">
        <x:v>Mei</x:v>
      </x:c>
      <x:c r="G160" s="8" t="str">
        <x:v>resolved</x:v>
      </x:c>
      <x:c r="H160" s="8" t="str">
        <x:v>P3</x:v>
      </x:c>
      <x:c r="I160" s="8" t="str">
        <x:v>2026-04-01</x:v>
      </x:c>
      <x:c r="J160" s="8" t="str">
        <x:v>2026-06-23</x:v>
      </x:c>
      <x:c r="K160" s="8" t="str">
        <x:v>https://learn.microsoft.com/en-us/microsoft-edge/webview2/concepts/security</x:v>
      </x:c>
      <x:c r="L160" s="8"/>
      <x:c r="M160" s="8"/>
    </x:row>
    <x:row r="161">
      <x:c r="A161" s="8" t="str">
        <x:v>host object</x:v>
      </x:c>
      <x:c r="B161" s="8" t="str">
        <x:v>macOS</x:v>
      </x:c>
      <x:c r="C161" s="8" t="str">
        <x:v>console event missing</x:v>
      </x:c>
      <x:c r="D161" s="8" t="str">
        <x:v>open case 1148; repeat after reload.</x:v>
      </x:c>
      <x:c r="E161" s="8" t="str">
        <x:v>none yet</x:v>
      </x:c>
      <x:c r="F161" s="8" t="str">
        <x:v>Carla</x:v>
      </x:c>
      <x:c r="G161" s="8" t="str">
        <x:v>resolved</x:v>
      </x:c>
      <x:c r="H161" s="8" t="str">
        <x:v>P2</x:v>
      </x:c>
      <x:c r="I161" s="8" t="str">
        <x:v>2026-05-01</x:v>
      </x:c>
      <x:c r="J161" s="8" t="str">
        <x:v>2026-07-24</x:v>
      </x:c>
      <x:c r="K161" s="8"/>
      <x:c r="L161" s="8" t="str">
        <x:v>The owner field was not captured in the original notes, so classification should remain conservative.</x:v>
      </x:c>
      <x:c r="M161" s="8"/>
    </x:row>
    <x:row r="162">
      <x:c r="A162" s="8" t="str">
        <x:v>host object</x:v>
      </x:c>
      <x:c r="B162" s="8" t="str">
        <x:v>Android</x:v>
      </x:c>
      <x:c r="C162" s="8" t="str">
        <x:v>blank page after reload</x:v>
      </x:c>
      <x:c r="D162" s="8"/>
      <x:c r="E162" s="8" t="str">
        <x:v>retry after NavigationCompleted</x:v>
      </x:c>
      <x:c r="F162" s="8" t="str">
        <x:v>Diego</x:v>
      </x:c>
      <x:c r="G162" s="8" t="str">
        <x:v>resolved</x:v>
      </x:c>
      <x:c r="H162" s="8" t="str">
        <x:v>P3</x:v>
      </x:c>
      <x:c r="I162" s="8" t="str">
        <x:v>2026-06-01</x:v>
      </x:c>
      <x:c r="J162" s="8" t="str">
        <x:v>2026-08-25</x:v>
      </x:c>
      <x:c r="K162" s="8"/>
      <x:c r="L162" s="8"/>
      <x:c r="M162" s="8"/>
    </x:row>
    <x:row r="163">
      <x:c r="A163" s="8" t="str">
        <x:v>lifecycle</x:v>
      </x:c>
      <x:c r="B163" s="8" t="str">
        <x:v>Android</x:v>
      </x:c>
      <x:c r="C163" s="8" t="str">
        <x:v>resource blocked by policy</x:v>
      </x:c>
      <x:c r="D163" s="8" t="str">
        <x:v>open case 1150; repeat after sleep.</x:v>
      </x:c>
      <x:c r="E163" s="8" t="str">
        <x:v>retry after NavigationCompleted</x:v>
      </x:c>
      <x:c r="F163" s="8" t="str">
        <x:v>Mei</x:v>
      </x:c>
      <x:c r="G163" s="8" t="str">
        <x:v>resolved</x:v>
      </x:c>
      <x:c r="H163" s="8" t="str">
        <x:v>P0</x:v>
      </x:c>
      <x:c r="I163" s="8" t="str">
        <x:v>2026-07-01</x:v>
      </x:c>
      <x:c r="J163" s="8" t="str">
        <x:v>2026-09-26</x:v>
      </x:c>
      <x:c r="K163" s="8"/>
      <x:c r="L163" s="8"/>
      <x:c r="M163" s="8"/>
    </x:row>
    <x:row r="164">
      <x:c r="A164" s="8" t="str">
        <x:v>security</x:v>
      </x:c>
      <x:c r="B164" s="8" t="str">
        <x:v>Android</x:v>
      </x:c>
      <x:c r="C164" s="8" t="str">
        <x:v>scroll offset resets</x:v>
      </x:c>
      <x:c r="D164" s="8"/>
      <x:c r="E164" s="8" t="str">
        <x:v>use a bridge queue</x:v>
      </x:c>
      <x:c r="F164" s="8" t="str">
        <x:v>Carla</x:v>
      </x:c>
      <x:c r="G164" s="8" t="str">
        <x:v>investigating</x:v>
      </x:c>
      <x:c r="H164" s="8" t="str">
        <x:v>P2</x:v>
      </x:c>
      <x:c r="I164" s="8" t="str">
        <x:v>2026-08-01</x:v>
      </x:c>
      <x:c r="J164" s="8" t="str">
        <x:v>2026-01-27</x:v>
      </x:c>
      <x:c r="K164" s="8"/>
      <x:c r="L164" s="8" t="str">
        <x:v>Verify behavior on a cold start and after the page reloads without destroying the native view.</x:v>
      </x:c>
      <x:c r="M164" s="8"/>
    </x:row>
    <x:row r="165">
      <x:c r="A165" s="8" t="str">
        <x:v>navigation</x:v>
      </x:c>
      <x:c r="B165" s="8" t="str">
        <x:v>Android</x:v>
      </x:c>
      <x:c r="C165" s="8" t="str">
        <x:v>resource blocked by policy</x:v>
      </x:c>
      <x:c r="D165" s="8"/>
      <x:c r="E165" s="8" t="str">
        <x:v>increase timeout</x:v>
      </x:c>
      <x:c r="F165" s="8" t="str">
        <x:v>Carla</x:v>
      </x:c>
      <x:c r="G165" s="8" t="str">
        <x:v>open</x:v>
      </x:c>
      <x:c r="H165" s="8" t="str">
        <x:v>P1</x:v>
      </x:c>
      <x:c r="I165" s="8" t="str">
        <x:v>2026-09-01</x:v>
      </x:c>
      <x:c r="J165" s="8" t="str">
        <x:v>2026-02-20</x:v>
      </x:c>
      <x:c r="K165" s="8" t="str">
        <x:v>https://github.com/react-native-webview/react-native-webview</x:v>
      </x:c>
      <x:c r="L165" s="8"/>
      <x:c r="M165" s="8"/>
    </x:row>
    <x:row r="166">
      <x:c r="A166" s="8" t="str">
        <x:v>lifecycle</x:v>
      </x:c>
      <x:c r="B166" s="8" t="str">
        <x:v>iOS</x:v>
      </x:c>
      <x:c r="C166" s="8" t="str">
        <x:v>focus leaves native control</x:v>
      </x:c>
      <x:c r="D166" s="8" t="str">
        <x:v>open case 1153; repeat after cold start.</x:v>
      </x:c>
      <x:c r="E166" s="8" t="str">
        <x:v>set explicit user agent</x:v>
      </x:c>
      <x:c r="F166" s="8" t="str">
        <x:v>Carla</x:v>
      </x:c>
      <x:c r="G166" s="8" t="str">
        <x:v>needs reproduction</x:v>
      </x:c>
      <x:c r="H166" s="8" t="str">
        <x:v>P1</x:v>
      </x:c>
      <x:c r="I166" s="8" t="str">
        <x:v>2026-01-01</x:v>
      </x:c>
      <x:c r="J166" s="8" t="str">
        <x:v>2026-03-21</x:v>
      </x:c>
      <x:c r="K166" s="8" t="str">
        <x:v>https://developer.android.com/reference/android/webkit/WebView</x:v>
      </x:c>
      <x:c r="L166" s="8"/>
      <x:c r="M166" s="8"/>
    </x:row>
    <x:row r="167">
      <x:c r="A167" s="8" t="str">
        <x:v>navigation</x:v>
      </x:c>
      <x:c r="B167" s="8" t="str">
        <x:v>iOS</x:v>
      </x:c>
      <x:c r="C167" s="8" t="str">
        <x:v>resource blocked by policy</x:v>
      </x:c>
      <x:c r="D167" s="8" t="str">
        <x:v>open case 1154; repeat after sleep.</x:v>
      </x:c>
      <x:c r="E167" s="8" t="str">
        <x:v>use a bridge queue</x:v>
      </x:c>
      <x:c r="F167" s="8" t="str">
        <x:v>Asha</x:v>
      </x:c>
      <x:c r="G167" s="8" t="str">
        <x:v>investigating</x:v>
      </x:c>
      <x:c r="H167" s="8" t="str">
        <x:v>P1</x:v>
      </x:c>
      <x:c r="I167" s="8" t="str">
        <x:v>2026-02-01</x:v>
      </x:c>
      <x:c r="J167" s="8" t="str">
        <x:v>2026-04-22</x:v>
      </x:c>
      <x:c r="K167" s="8" t="str">
        <x:v>https://github.com/react-native-webview/react-native-webview</x:v>
      </x:c>
      <x:c r="L167" s="8"/>
      <x:c r="M167" s="8"/>
    </x:row>
    <x:row r="168">
      <x:c r="A168" s="8"/>
      <x:c r="B168" s="8"/>
      <x:c r="C168" s="8"/>
      <x:c r="D168" s="8"/>
      <x:c r="E168" s="8"/>
      <x:c r="F168" s="8"/>
      <x:c r="G168" s="8"/>
      <x:c r="H168" s="8"/>
      <x:c r="I168" s="8"/>
      <x:c r="J168" s="8"/>
      <x:c r="K168" s="8"/>
      <x:c r="L168" s="8"/>
      <x:c r="M168" s="8"/>
    </x:row>
    <x:row r="169">
      <x:c r="A169" s="8" t="str">
        <x:v>navigation</x:v>
      </x:c>
      <x:c r="B169" s="8" t="str">
        <x:v>Android</x:v>
      </x:c>
      <x:c r="C169" s="8" t="str">
        <x:v>resource blocked by policy</x:v>
      </x:c>
      <x:c r="D169" s="8" t="str">
        <x:v>open case 1155; repeat after reload.</x:v>
      </x:c>
      <x:c r="E169" s="8" t="str">
        <x:v>retry after NavigationCompleted</x:v>
      </x:c>
      <x:c r="F169" s="8" t="str">
        <x:v>Ben</x:v>
      </x:c>
      <x:c r="G169" s="8" t="str">
        <x:v>resolved</x:v>
      </x:c>
      <x:c r="H169" s="8" t="str">
        <x:v>P0</x:v>
      </x:c>
      <x:c r="I169" s="8" t="str">
        <x:v>2026-03-01</x:v>
      </x:c>
      <x:c r="J169" s="8" t="str">
        <x:v>2026-05-23</x:v>
      </x:c>
      <x:c r="K169" s="8" t="str">
        <x:v>https://learn.microsoft.com/en-us/microsoft-edge/webview2/concepts/security</x:v>
      </x:c>
      <x:c r="L169" s="8" t="str">
        <x:v>This sentence is long enough to exercise wrapping and downstream chunk boundaries in Markdown output.</x:v>
      </x:c>
      <x:c r="M169" s="8"/>
    </x:row>
    <x:row r="170">
      <x:c r="A170" s="8" t="str">
        <x:v>host object</x:v>
      </x:c>
      <x:c r="B170" s="8" t="str">
        <x:v>macOS</x:v>
      </x:c>
      <x:c r="C170" s="8" t="str">
        <x:v>scroll offset resets</x:v>
      </x:c>
      <x:c r="D170" s="8" t="str">
        <x:v>open case 1156; repeat after cold start.</x:v>
      </x:c>
      <x:c r="E170" s="8" t="str">
        <x:v>use a bridge queue</x:v>
      </x:c>
      <x:c r="F170" s="8" t="str">
        <x:v>Carla</x:v>
      </x:c>
      <x:c r="G170" s="8" t="str">
        <x:v>resolved</x:v>
      </x:c>
      <x:c r="H170" s="8" t="str">
        <x:v>P0</x:v>
      </x:c>
      <x:c r="I170" s="8" t="str">
        <x:v>2026-04-01</x:v>
      </x:c>
      <x:c r="J170" s="8" t="str">
        <x:v>2026-06-24</x:v>
      </x:c>
      <x:c r="K170" s="8" t="str">
        <x:v>https://developer.apple.com/documentation/webkit/wkwebview</x:v>
      </x:c>
      <x:c r="L170" s="8"/>
      <x:c r="M170" s="8"/>
    </x:row>
    <x:row r="171">
      <x:c r="A171" s="8" t="str">
        <x:v>security</x:v>
      </x:c>
      <x:c r="B171" s="8" t="str">
        <x:v>Android</x:v>
      </x:c>
      <x:c r="C171" s="8" t="str">
        <x:v>blank page after reload</x:v>
      </x:c>
      <x:c r="D171" s="8" t="str">
        <x:v>open case 1157; repeat after reload.</x:v>
      </x:c>
      <x:c r="E171" s="8" t="str">
        <x:v>reproduce on clean profile</x:v>
      </x:c>
      <x:c r="F171" s="8" t="str">
        <x:v>Ben</x:v>
      </x:c>
      <x:c r="G171" s="8" t="str">
        <x:v>blocked</x:v>
      </x:c>
      <x:c r="H171" s="8" t="str">
        <x:v>P0</x:v>
      </x:c>
      <x:c r="I171" s="8" t="str">
        <x:v>2026-05-01</x:v>
      </x:c>
      <x:c r="J171" s="8" t="str">
        <x:v>2026-07-25</x:v>
      </x:c>
      <x:c r="K171" s="8" t="str">
        <x:v>https://developer.microsoft.com/en-us/microsoft-edge/webview2/</x:v>
      </x:c>
      <x:c r="L171" s="8"/>
      <x:c r="M171" s="8"/>
    </x:row>
    <x:row r="172">
      <x:c r="A172" s="8" t="str">
        <x:v>navigation</x:v>
      </x:c>
      <x:c r="B172" s="8" t="str">
        <x:v>Linux</x:v>
      </x:c>
      <x:c r="C172" s="8" t="str">
        <x:v>scroll offset resets</x:v>
      </x:c>
      <x:c r="D172" s="8" t="str">
        <x:v>open case 1158; repeat after sleep.</x:v>
      </x:c>
      <x:c r="E172" s="8" t="str">
        <x:v>none yet</x:v>
      </x:c>
      <x:c r="F172" s="8" t="str">
        <x:v>Mei</x:v>
      </x:c>
      <x:c r="G172" s="8" t="str">
        <x:v>investigating</x:v>
      </x:c>
      <x:c r="H172" s="8" t="str">
        <x:v>P1</x:v>
      </x:c>
      <x:c r="I172" s="8" t="str">
        <x:v>2026-06-01</x:v>
      </x:c>
      <x:c r="J172" s="8" t="str">
        <x:v>2026-08-26</x:v>
      </x:c>
      <x:c r="K172" s="8" t="str">
        <x:v>https://github.com/react-native-webview/react-native-webview</x:v>
      </x:c>
      <x:c r="L172" s="8"/>
      <x:c r="M172" s="8"/>
    </x:row>
    <x:row r="173">
      <x:c r="A173" s="8" t="str">
        <x:v>bridge</x:v>
      </x:c>
      <x:c r="B173" s="8" t="str">
        <x:v>Linux</x:v>
      </x:c>
      <x:c r="C173" s="8" t="str">
        <x:v>blank page after reload</x:v>
      </x:c>
      <x:c r="D173" s="8"/>
      <x:c r="E173" s="8" t="str">
        <x:v>reproduce on clean profile</x:v>
      </x:c>
      <x:c r="F173" s="8" t="str">
        <x:v>Carla</x:v>
      </x:c>
      <x:c r="G173" s="8" t="str">
        <x:v>needs reproduction</x:v>
      </x:c>
      <x:c r="H173" s="8" t="str">
        <x:v>P1</x:v>
      </x:c>
      <x:c r="I173" s="8" t="str">
        <x:v>2026-07-01</x:v>
      </x:c>
      <x:c r="J173" s="8" t="str">
        <x:v>2026-09-27</x:v>
      </x:c>
      <x:c r="K173" s="8"/>
      <x:c r="L173" s="8"/>
      <x:c r="M173" s="8"/>
    </x:row>
    <x:row r="174">
      <x:c r="A174" s="8" t="str">
        <x:v>host object</x:v>
      </x:c>
      <x:c r="B174" s="8" t="str">
        <x:v>iOS</x:v>
      </x:c>
      <x:c r="C174" s="8" t="str">
        <x:v>scroll offset resets</x:v>
      </x:c>
      <x:c r="D174" s="8" t="str">
        <x:v>open case 1160; repeat after reload.</x:v>
      </x:c>
      <x:c r="E174" s="8" t="str">
        <x:v>retry after NavigationCompleted</x:v>
      </x:c>
      <x:c r="F174" s="8" t="str">
        <x:v>Mei</x:v>
      </x:c>
      <x:c r="G174" s="8" t="str">
        <x:v>investigating</x:v>
      </x:c>
      <x:c r="H174" s="8" t="str">
        <x:v>P2</x:v>
      </x:c>
      <x:c r="I174" s="8" t="str">
        <x:v>2026-08-01</x:v>
      </x:c>
      <x:c r="J174" s="8" t="str">
        <x:v>2026-01-20</x:v>
      </x:c>
      <x:c r="K174" s="8" t="str">
        <x:v>https://github.com/react-native-webview/react-native-webview</x:v>
      </x:c>
      <x:c r="L174" s="8" t="str">
        <x:v>This sentence is long enough to exercise wrapping and downstream chunk boundaries in Markdown output.</x:v>
      </x:c>
      <x:c r="M174" s="8"/>
    </x:row>
    <x:row r="175">
      <x:c r="A175" s="8" t="str">
        <x:v>bridge</x:v>
      </x:c>
      <x:c r="B175" s="8" t="str">
        <x:v>macOS</x:v>
      </x:c>
      <x:c r="C175" s="8" t="str">
        <x:v>resource blocked by policy</x:v>
      </x:c>
      <x:c r="D175" s="8" t="str">
        <x:v>open case 1161; repeat after sleep.</x:v>
      </x:c>
      <x:c r="E175" s="8" t="str">
        <x:v>reproduce on clean profile</x:v>
      </x:c>
      <x:c r="F175" s="8" t="str">
        <x:v>Asha</x:v>
      </x:c>
      <x:c r="G175" s="8" t="str">
        <x:v>resolved</x:v>
      </x:c>
      <x:c r="H175" s="8" t="str">
        <x:v>P2</x:v>
      </x:c>
      <x:c r="I175" s="8" t="str">
        <x:v>2026-09-01</x:v>
      </x:c>
      <x:c r="J175" s="8" t="str">
        <x:v>2026-02-21</x:v>
      </x:c>
      <x:c r="K175" s="8" t="str">
        <x:v>https://developer.apple.com/documentation/webkit/wkwebview</x:v>
      </x:c>
      <x:c r="L175" s="8"/>
      <x:c r="M175" s="8"/>
    </x:row>
    <x:row r="176">
      <x:c r="A176" s="8" t="str">
        <x:v>host object</x:v>
      </x:c>
      <x:c r="B176" s="8" t="str">
        <x:v>Windows</x:v>
      </x:c>
      <x:c r="C176" s="8" t="str">
        <x:v>scroll offset resets</x:v>
      </x:c>
      <x:c r="D176" s="8"/>
      <x:c r="E176" s="8" t="str">
        <x:v>use a bridge queue</x:v>
      </x:c>
      <x:c r="F176" s="8" t="str">
        <x:v>No owner</x:v>
      </x:c>
      <x:c r="G176" s="8" t="str">
        <x:v>blocked</x:v>
      </x:c>
      <x:c r="H176" s="8" t="str">
        <x:v>P0</x:v>
      </x:c>
      <x:c r="I176" s="8" t="str">
        <x:v>2026-01-01</x:v>
      </x:c>
      <x:c r="J176" s="8" t="str">
        <x:v>2026-03-22</x:v>
      </x:c>
      <x:c r="K176" s="8" t="str">
        <x:v>https://developer.android.com/reference/android/webkit/WebView</x:v>
      </x:c>
      <x:c r="L176" s="8"/>
      <x:c r="M176" s="8"/>
    </x:row>
    <x:row r="177">
      <x:c r="A177" s="8" t="str">
        <x:v>bridge</x:v>
      </x:c>
      <x:c r="B177" s="8" t="str">
        <x:v>iOS</x:v>
      </x:c>
      <x:c r="C177" s="8" t="str">
        <x:v>focus leaves native control</x:v>
      </x:c>
      <x:c r="D177" s="8" t="str">
        <x:v>open case 1163; repeat after cold start.</x:v>
      </x:c>
      <x:c r="E177" s="8" t="str">
        <x:v>retry after NavigationCompleted</x:v>
      </x:c>
      <x:c r="F177" s="8" t="str">
        <x:v>Ben</x:v>
      </x:c>
      <x:c r="G177" s="8" t="str">
        <x:v>resolved</x:v>
      </x:c>
      <x:c r="H177" s="8" t="str">
        <x:v>P0</x:v>
      </x:c>
      <x:c r="I177" s="8" t="str">
        <x:v>2026-02-01</x:v>
      </x:c>
      <x:c r="J177" s="8" t="str">
        <x:v>2026-04-23</x:v>
      </x:c>
      <x:c r="K177" s="8"/>
      <x:c r="L177" s="8"/>
      <x:c r="M177" s="8"/>
    </x:row>
    <x:row r="178">
      <x:c r="A178" s="8" t="str">
        <x:v>host object</x:v>
      </x:c>
      <x:c r="B178" s="8" t="str">
        <x:v>Windows</x:v>
      </x:c>
      <x:c r="C178" s="8" t="str">
        <x:v>focus leaves native control</x:v>
      </x:c>
      <x:c r="D178" s="8" t="str">
        <x:v>open case 1164; repeat after sleep.</x:v>
      </x:c>
      <x:c r="E178" s="8" t="str">
        <x:v>retry after NavigationCompleted</x:v>
      </x:c>
      <x:c r="F178" s="8" t="str">
        <x:v>Mei</x:v>
      </x:c>
      <x:c r="G178" s="8" t="str">
        <x:v>investigating</x:v>
      </x:c>
      <x:c r="H178" s="8" t="str">
        <x:v>P1</x:v>
      </x:c>
      <x:c r="I178" s="8" t="str">
        <x:v>2026-03-01</x:v>
      </x:c>
      <x:c r="J178" s="8" t="str">
        <x:v>2026-05-24</x:v>
      </x:c>
      <x:c r="K178" s="8" t="str">
        <x:v>https://learn.microsoft.com/en-us/microsoft-edge/webview2/concepts/security</x:v>
      </x:c>
      <x:c r="L178" s="8"/>
      <x:c r="M178" s="8"/>
    </x:row>
  </x:sheetData>
  <x:mergeCells>
    <x:mergeCell ref="A1:M1"/>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8" hidden="0" customWidth="1"/>
    <x:col min="2" max="2" width="16" hidden="0" customWidth="1"/>
    <x:col min="3" max="3" width="16" hidden="0" customWidth="1"/>
    <x:col min="4" max="4" width="16" hidden="0" customWidth="1"/>
    <x:col min="5" max="5" width="16" hidden="0" customWidth="1"/>
    <x:col min="6" max="6" width="50" hidden="0" customWidth="1"/>
    <x:col min="7" max="7" width="12" hidden="0" customWidth="1"/>
    <x:col min="8" max="8" width="40" hidden="0" customWidth="1"/>
    <x:col min="9" max="9" width="18" hidden="0" customWidth="1"/>
    <x:col min="10" max="10" width="18" hidden="0" customWidth="1"/>
    <x:col min="11" max="11" width="18" hidden="0" customWidth="1"/>
    <x:col min="12" max="12" width="16" hidden="0" customWidth="1"/>
    <x:col min="13" max="13" width="16" hidden="0" customWidth="1"/>
    <x:col min="14" max="14" width="16" hidden="0" customWidth="1"/>
    <x:col min="15" max="15" width="16" hidden="0" customWidth="1"/>
  </x:cols>
  <x:sheetData>
    <x:row r="1">
      <x:c r="A1" s="8"/>
      <x:c r="B1" s="7" t="str">
        <x:v>Browser comparison matrix</x:v>
      </x:c>
      <x:c r="C1" s="7"/>
      <x:c r="D1" s="7"/>
      <x:c r="E1" s="7"/>
      <x:c r="F1" s="7"/>
      <x:c r="G1" s="7"/>
      <x:c r="H1" s="7"/>
      <x:c r="I1" s="7"/>
      <x:c r="J1" s="7"/>
      <x:c r="K1" s="7"/>
      <x:c r="L1" s="7"/>
      <x:c r="M1" s="7"/>
      <x:c r="N1" s="7"/>
      <x:c r="O1" s="7"/>
      <x:c r="P1" s="1"/>
    </x:row>
    <x:row r="2">
      <x:c r="A2" s="8"/>
      <x:c r="B2" s="8"/>
      <x:c r="C2" s="8"/>
      <x:c r="D2" s="8"/>
      <x:c r="E2" s="8"/>
      <x:c r="F2" s="8"/>
      <x:c r="G2" s="8"/>
      <x:c r="H2" s="8"/>
      <x:c r="I2" s="8"/>
      <x:c r="J2" s="8"/>
      <x:c r="K2" s="8"/>
      <x:c r="L2" s="8"/>
      <x:c r="M2" s="8"/>
      <x:c r="N2" s="8"/>
      <x:c r="O2" s="8"/>
      <x:c r="P2" s="1"/>
    </x:row>
    <x:row r="3">
      <x:c r="A3" s="4" t="str">
        <x:v>Area</x:v>
      </x:c>
      <x:c r="B3" s="4" t="str">
        <x:v>RN iOS</x:v>
      </x:c>
      <x:c r="C3" s="4" t="str">
        <x:v>RN Android</x:v>
      </x:c>
      <x:c r="D3" s="4" t="str">
        <x:v>WPF WebView2</x:v>
      </x:c>
      <x:c r="E3" s="4" t="str">
        <x:v>Electron</x:v>
      </x:c>
      <x:c r="F3" s="4" t="str">
        <x:v>Notes</x:v>
      </x:c>
      <x:c r="G3" s="4" t="str">
        <x:v>Confidence</x:v>
      </x:c>
      <x:c r="H3" s="4" t="str">
        <x:v>Source</x:v>
      </x:c>
      <x:c r="I3" s="4" t="str">
        <x:v>Observed</x:v>
      </x:c>
      <x:c r="J3" s="4" t="str">
        <x:v>Expected</x:v>
      </x:c>
      <x:c r="K3" s="4" t="str">
        <x:v>Gap</x:v>
      </x:c>
      <x:c r="L3" s="4"/>
      <x:c r="M3" s="4"/>
      <x:c r="N3" s="4"/>
      <x:c r="O3" s="4"/>
      <x:c r="P3" s="1"/>
    </x:row>
    <x:row r="4">
      <x:c r="A4" s="8"/>
      <x:c r="B4" s="8"/>
      <x:c r="C4" s="8"/>
      <x:c r="D4" s="8"/>
      <x:c r="E4" s="8"/>
      <x:c r="F4" s="8"/>
      <x:c r="G4" s="8"/>
      <x:c r="H4" s="8"/>
      <x:c r="I4" s="8"/>
      <x:c r="J4" s="8"/>
      <x:c r="K4" s="8"/>
      <x:c r="L4" s="8"/>
      <x:c r="M4" s="8"/>
      <x:c r="N4" s="8"/>
      <x:c r="O4" s="8"/>
      <x:c r="P4" s="1"/>
    </x:row>
    <x:row r="5">
      <x:c r="A5" s="8" t="str">
        <x:v>storage</x:v>
      </x:c>
      <x:c r="B5" s="8" t="str">
        <x:v>no</x:v>
      </x:c>
      <x:c r="C5" s="8" t="str">
        <x:v>unknown</x:v>
      </x:c>
      <x:c r="D5" s="8" t="str">
        <x:v>unknown</x:v>
      </x:c>
      <x:c r="E5" s="8" t="str">
        <x:v>no</x:v>
      </x:c>
      <x:c r="F5" s="8" t="str">
        <x:v>Follow-up: compare the result when the network security policy is relaxed versus when it is enforced.</x:v>
      </x:c>
      <x:c r="G5" s="8" t="n">
        <x:v>0.85</x:v>
      </x:c>
      <x:c r="H5" s="8"/>
      <x:c r="I5" s="8" t="str">
        <x:v>observed</x:v>
      </x:c>
      <x:c r="J5" s="8" t="str">
        <x:v>depends on policy</x:v>
      </x:c>
      <x:c r="K5" s="8" t="str">
        <x:v>documentation</x:v>
      </x:c>
      <x:c r="L5" s="8"/>
      <x:c r="M5" s="8"/>
      <x:c r="N5" s="8"/>
      <x:c r="O5" s="8"/>
      <x:c r="P5" s="1"/>
    </x:row>
    <x:row r="6">
      <x:c r="A6" s="8" t="str">
        <x:v>TLS</x:v>
      </x:c>
      <x:c r="B6" s="8" t="str">
        <x:v>unknown</x:v>
      </x:c>
      <x:c r="C6" s="8" t="str">
        <x:v>unknown</x:v>
      </x:c>
      <x:c r="D6" s="8" t="str">
        <x:v>yes</x:v>
      </x:c>
      <x:c r="E6" s="8" t="str">
        <x:v>partial</x:v>
      </x:c>
      <x:c r="F6" s="8"/>
      <x:c r="G6" s="8" t="n">
        <x:v>0.28</x:v>
      </x:c>
      <x:c r="H6" s="8" t="str">
        <x:v>https://developer.microsoft.com/en-us/microsoft-edge/webview2/</x:v>
      </x:c>
      <x:c r="I6" s="8" t="str">
        <x:v>intermittent</x:v>
      </x:c>
      <x:c r="J6" s="8" t="str">
        <x:v>expected</x:v>
      </x:c>
      <x:c r="K6" s="8" t="str">
        <x:v>investigate</x:v>
      </x:c>
      <x:c r="L6" s="8"/>
      <x:c r="M6" s="8"/>
      <x:c r="N6" s="8"/>
      <x:c r="O6" s="8"/>
      <x:c r="P6" s="1"/>
    </x:row>
    <x:row r="7">
      <x:c r="A7" s="8" t="str">
        <x:v>proxy</x:v>
      </x:c>
      <x:c r="B7" s="8" t="str">
        <x:v>yes</x:v>
      </x:c>
      <x:c r="C7" s="8" t="str">
        <x:v>unknown</x:v>
      </x:c>
      <x:c r="D7" s="8" t="str">
        <x:v>partial</x:v>
      </x:c>
      <x:c r="E7" s="8" t="str">
        <x:v>unknown</x:v>
      </x:c>
      <x:c r="F7" s="8"/>
      <x:c r="G7" s="8" t="n">
        <x:v>0.76</x:v>
      </x:c>
      <x:c r="H7" s="8"/>
      <x:c r="I7" s="8" t="str">
        <x:v>intermittent</x:v>
      </x:c>
      <x:c r="J7" s="8" t="str">
        <x:v>depends on policy</x:v>
      </x:c>
      <x:c r="K7" s="8" t="str">
        <x:v>documentation</x:v>
      </x:c>
      <x:c r="L7" s="8"/>
      <x:c r="M7" s="8"/>
      <x:c r="N7" s="8"/>
      <x:c r="O7" s="8"/>
      <x:c r="P7" s="1"/>
    </x:row>
    <x:row r="8">
      <x:c r="A8" s="8" t="str">
        <x:v>deep links</x:v>
      </x:c>
      <x:c r="B8" s="8" t="str">
        <x:v>yes</x:v>
      </x:c>
      <x:c r="C8" s="8" t="str">
        <x:v>unknown</x:v>
      </x:c>
      <x:c r="D8" s="8" t="str">
        <x:v>yes</x:v>
      </x:c>
      <x:c r="E8" s="8" t="str">
        <x:v>partial</x:v>
      </x:c>
      <x:c r="F8" s="8" t="str">
        <x:v>Potential duplicate: this paragraph is repeated in another section to test deduplication and chunk metadata.</x:v>
      </x:c>
      <x:c r="G8" s="8" t="n">
        <x:v>0.89</x:v>
      </x:c>
      <x:c r="H8" s="8"/>
      <x:c r="I8" s="8" t="str">
        <x:v>intermittent</x:v>
      </x:c>
      <x:c r="J8" s="8" t="str">
        <x:v>not specified</x:v>
      </x:c>
      <x:c r="K8" s="8" t="str">
        <x:v>code change</x:v>
      </x:c>
      <x:c r="L8" s="8"/>
      <x:c r="M8" s="8"/>
      <x:c r="N8" s="8"/>
      <x:c r="O8" s="8"/>
      <x:c r="P8" s="1"/>
    </x:row>
    <x:row r="9">
      <x:c r="A9" s="8" t="str">
        <x:v>storage</x:v>
      </x:c>
      <x:c r="B9" s="8" t="str">
        <x:v>partial</x:v>
      </x:c>
      <x:c r="C9" s="8" t="str">
        <x:v>no</x:v>
      </x:c>
      <x:c r="D9" s="8" t="str">
        <x:v>yes</x:v>
      </x:c>
      <x:c r="E9" s="8" t="str">
        <x:v>yes</x:v>
      </x:c>
      <x:c r="F9" s="8" t="str">
        <x:v>Verify behavior on a cold start and after the page reloads without destroying the native view.</x:v>
      </x:c>
      <x:c r="G9" s="8" t="n">
        <x:v>0.83</x:v>
      </x:c>
      <x:c r="H9" s="8" t="str">
        <x:v>https://developer.apple.com/documentation/webkit/wkwebview</x:v>
      </x:c>
      <x:c r="I9" s="8" t="str">
        <x:v>not observed</x:v>
      </x:c>
      <x:c r="J9" s="8" t="str">
        <x:v>depends on policy</x:v>
      </x:c>
      <x:c r="K9" s="8" t="str">
        <x:v>none</x:v>
      </x:c>
      <x:c r="L9" s="8"/>
      <x:c r="M9" s="8"/>
      <x:c r="N9" s="8"/>
      <x:c r="O9" s="8"/>
      <x:c r="P9" s="1"/>
    </x:row>
    <x:row r="10">
      <x:c r="A10" s="8" t="str">
        <x:v>headers</x:v>
      </x:c>
      <x:c r="B10" s="8" t="str">
        <x:v>unknown</x:v>
      </x:c>
      <x:c r="C10" s="8" t="str">
        <x:v>no</x:v>
      </x:c>
      <x:c r="D10" s="8" t="str">
        <x:v>yes</x:v>
      </x:c>
      <x:c r="E10" s="8" t="str">
        <x:v>unknown</x:v>
      </x:c>
      <x:c r="F10" s="8" t="str">
        <x:v>Observed in a local test run: the content rendered, but the console warning appeared twice.</x:v>
      </x:c>
      <x:c r="G10" s="8" t="n">
        <x:v>0.37</x:v>
      </x:c>
      <x:c r="H10" s="8"/>
      <x:c r="I10" s="8" t="str">
        <x:v>not observed</x:v>
      </x:c>
      <x:c r="J10" s="8" t="str">
        <x:v>expected</x:v>
      </x:c>
      <x:c r="K10" s="8" t="str">
        <x:v>none</x:v>
      </x:c>
      <x:c r="L10" s="8"/>
      <x:c r="M10" s="8"/>
      <x:c r="N10" s="8"/>
      <x:c r="O10" s="8"/>
      <x:c r="P10" s="1"/>
    </x:row>
    <x:row r="11">
      <x:c r="A11" s="8" t="str">
        <x:v>TLS</x:v>
      </x:c>
      <x:c r="B11" s="8" t="str">
        <x:v>yes</x:v>
      </x:c>
      <x:c r="C11" s="8" t="str">
        <x:v>partial</x:v>
      </x:c>
      <x:c r="D11" s="8" t="str">
        <x:v>yes</x:v>
      </x:c>
      <x:c r="E11" s="8" t="str">
        <x:v>unknown</x:v>
      </x:c>
      <x:c r="F11" s="8" t="str">
        <x:v>A blank cell here is intentional. The source workbook has notes placed away from the nearest table.</x:v>
      </x:c>
      <x:c r="G11" s="8" t="n">
        <x:v>0.7</x:v>
      </x:c>
      <x:c r="H11" s="8" t="str">
        <x:v>https://developer.android.com/reference/android/webkit/WebView</x:v>
      </x:c>
      <x:c r="I11" s="8" t="str">
        <x:v>intermittent</x:v>
      </x:c>
      <x:c r="J11" s="8" t="str">
        <x:v>expected</x:v>
      </x:c>
      <x:c r="K11" s="8" t="str">
        <x:v>investigate</x:v>
      </x:c>
      <x:c r="L11" s="8"/>
      <x:c r="M11" s="8"/>
      <x:c r="N11" s="8"/>
      <x:c r="O11" s="8"/>
      <x:c r="P11" s="1"/>
    </x:row>
    <x:row r="12">
      <x:c r="A12" s="8" t="str">
        <x:v>proxy</x:v>
      </x:c>
      <x:c r="B12" s="8" t="str">
        <x:v>partial</x:v>
      </x:c>
      <x:c r="C12" s="8" t="str">
        <x:v>partial</x:v>
      </x:c>
      <x:c r="D12" s="8" t="str">
        <x:v>unknown</x:v>
      </x:c>
      <x:c r="E12" s="8" t="str">
        <x:v>yes</x:v>
      </x:c>
      <x:c r="F12" s="8" t="str">
        <x:v>A blank cell here is intentional. The source workbook has notes placed away from the nearest table.</x:v>
      </x:c>
      <x:c r="G12" s="8" t="n">
        <x:v>0.64</x:v>
      </x:c>
      <x:c r="H12" s="8"/>
      <x:c r="I12" s="8" t="str">
        <x:v>not tested</x:v>
      </x:c>
      <x:c r="J12" s="8" t="str">
        <x:v>not specified</x:v>
      </x:c>
      <x:c r="K12" s="8" t="str">
        <x:v>documentation</x:v>
      </x:c>
      <x:c r="L12" s="8"/>
      <x:c r="M12" s="8"/>
      <x:c r="N12" s="8"/>
      <x:c r="O12" s="8"/>
      <x:c r="P12" s="1"/>
    </x:row>
    <x:row r="13">
      <x:c r="A13" s="8" t="str">
        <x:v>media</x:v>
      </x:c>
      <x:c r="B13" s="8" t="str">
        <x:v>yes</x:v>
      </x:c>
      <x:c r="C13" s="8" t="str">
        <x:v>unknown</x:v>
      </x:c>
      <x:c r="D13" s="8" t="str">
        <x:v>unknown</x:v>
      </x:c>
      <x:c r="E13" s="8" t="str">
        <x:v>yes</x:v>
      </x:c>
      <x:c r="F13" s="8"/>
      <x:c r="G13" s="8" t="n">
        <x:v>0.47</x:v>
      </x:c>
      <x:c r="H13" s="8" t="str">
        <x:v>https://developer.microsoft.com/en-us/microsoft-edge/webview2/</x:v>
      </x:c>
      <x:c r="I13" s="8" t="str">
        <x:v>not tested</x:v>
      </x:c>
      <x:c r="J13" s="8" t="str">
        <x:v>not specified</x:v>
      </x:c>
      <x:c r="K13" s="8" t="str">
        <x:v>investigate</x:v>
      </x:c>
      <x:c r="L13" s="8"/>
      <x:c r="M13" s="8"/>
      <x:c r="N13" s="8"/>
      <x:c r="O13" s="8"/>
      <x:c r="P13" s="1"/>
    </x:row>
    <x:row r="14">
      <x:c r="A14" s="8" t="str">
        <x:v>TLS</x:v>
      </x:c>
      <x:c r="B14" s="8" t="str">
        <x:v>yes</x:v>
      </x:c>
      <x:c r="C14" s="8" t="str">
        <x:v>yes</x:v>
      </x:c>
      <x:c r="D14" s="8" t="str">
        <x:v>no</x:v>
      </x:c>
      <x:c r="E14" s="8" t="str">
        <x:v>partial</x:v>
      </x:c>
      <x:c r="F14" s="8"/>
      <x:c r="G14" s="8" t="n">
        <x:v>0.52</x:v>
      </x:c>
      <x:c r="H14" s="8" t="str">
        <x:v>https://github.com/react-native-webview/react-native-webview</x:v>
      </x:c>
      <x:c r="I14" s="8" t="str">
        <x:v>intermittent</x:v>
      </x:c>
      <x:c r="J14" s="8" t="str">
        <x:v>not specified</x:v>
      </x:c>
      <x:c r="K14" s="8" t="str">
        <x:v>code change</x:v>
      </x:c>
      <x:c r="L14" s="8"/>
      <x:c r="M14" s="8"/>
      <x:c r="N14" s="8"/>
      <x:c r="O14" s="8"/>
      <x:c r="P14" s="1"/>
    </x:row>
    <x:row r="15">
      <x:c r="A15" s="8" t="str">
        <x:v>headers</x:v>
      </x:c>
      <x:c r="B15" s="8" t="str">
        <x:v>unknown</x:v>
      </x:c>
      <x:c r="C15" s="8" t="str">
        <x:v>unknown</x:v>
      </x:c>
      <x:c r="D15" s="8" t="str">
        <x:v>partial</x:v>
      </x:c>
      <x:c r="E15" s="8" t="str">
        <x:v>unknown</x:v>
      </x:c>
      <x:c r="F15" s="8" t="str">
        <x:v>The owner field was not captured in the original notes, so classification should remain conservative.</x:v>
      </x:c>
      <x:c r="G15" s="8" t="n">
        <x:v>0.28</x:v>
      </x:c>
      <x:c r="H15" s="8" t="str">
        <x:v>https://github.com/react-native-webview/react-native-webview</x:v>
      </x:c>
      <x:c r="I15" s="8" t="str">
        <x:v>not observed</x:v>
      </x:c>
      <x:c r="J15" s="8" t="str">
        <x:v>not specified</x:v>
      </x:c>
      <x:c r="K15" s="8" t="str">
        <x:v>investigate</x:v>
      </x:c>
      <x:c r="L15" s="8"/>
      <x:c r="M15" s="8"/>
      <x:c r="N15" s="8"/>
      <x:c r="O15" s="8"/>
      <x:c r="P15" s="1"/>
    </x:row>
    <x:row r="16">
      <x:c r="A16" s="8" t="str">
        <x:v>storage</x:v>
      </x:c>
      <x:c r="B16" s="8" t="str">
        <x:v>no</x:v>
      </x:c>
      <x:c r="C16" s="8" t="str">
        <x:v>yes</x:v>
      </x:c>
      <x:c r="D16" s="8" t="str">
        <x:v>yes</x:v>
      </x:c>
      <x:c r="E16" s="8" t="str">
        <x:v>yes</x:v>
      </x:c>
      <x:c r="F16" s="8"/>
      <x:c r="G16" s="8" t="n">
        <x:v>0.76</x:v>
      </x:c>
      <x:c r="H16" s="8" t="str">
        <x:v>https://learn.microsoft.com/en-us/microsoft-edge/webview2/concepts/security</x:v>
      </x:c>
      <x:c r="I16" s="8" t="str">
        <x:v>not observed</x:v>
      </x:c>
      <x:c r="J16" s="8" t="str">
        <x:v>not specified</x:v>
      </x:c>
      <x:c r="K16" s="8" t="str">
        <x:v>documentation</x:v>
      </x:c>
      <x:c r="L16" s="8"/>
      <x:c r="M16" s="8"/>
      <x:c r="N16" s="8"/>
      <x:c r="O16" s="8"/>
      <x:c r="P16" s="1"/>
    </x:row>
    <x:row r="17">
      <x:c r="A17" s="8" t="str">
        <x:v>storage</x:v>
      </x:c>
      <x:c r="B17" s="8" t="str">
        <x:v>partial</x:v>
      </x:c>
      <x:c r="C17" s="8" t="str">
        <x:v>yes</x:v>
      </x:c>
      <x:c r="D17" s="8" t="str">
        <x:v>no</x:v>
      </x:c>
      <x:c r="E17" s="8" t="str">
        <x:v>yes</x:v>
      </x:c>
      <x:c r="F17" s="8" t="str">
        <x:v>Follow-up: compare the result when the network security policy is relaxed versus when it is enforced.</x:v>
      </x:c>
      <x:c r="G17" s="8" t="n">
        <x:v>0.43</x:v>
      </x:c>
      <x:c r="H17" s="8" t="str">
        <x:v>https://developer.microsoft.com/en-us/microsoft-edge/webview2/</x:v>
      </x:c>
      <x:c r="I17" s="8" t="str">
        <x:v>not tested</x:v>
      </x:c>
      <x:c r="J17" s="8" t="str">
        <x:v>depends on policy</x:v>
      </x:c>
      <x:c r="K17" s="8" t="str">
        <x:v>investigate</x:v>
      </x:c>
      <x:c r="L17" s="8"/>
      <x:c r="M17" s="8"/>
      <x:c r="N17" s="8"/>
      <x:c r="O17" s="8"/>
      <x:c r="P17" s="1"/>
    </x:row>
    <x:row r="18">
      <x:c r="A18" s="8" t="str">
        <x:v>proxy</x:v>
      </x:c>
      <x:c r="B18" s="8" t="str">
        <x:v>partial</x:v>
      </x:c>
      <x:c r="C18" s="8" t="str">
        <x:v>no</x:v>
      </x:c>
      <x:c r="D18" s="8" t="str">
        <x:v>unknown</x:v>
      </x:c>
      <x:c r="E18" s="8" t="str">
        <x:v>yes</x:v>
      </x:c>
      <x:c r="F18" s="8" t="str">
        <x:v>Follow-up: compare the result when the network security policy is relaxed versus when it is enforced.</x:v>
      </x:c>
      <x:c r="G18" s="8" t="n">
        <x:v>0.5</x:v>
      </x:c>
      <x:c r="H18" s="8"/>
      <x:c r="I18" s="8" t="str">
        <x:v>intermittent</x:v>
      </x:c>
      <x:c r="J18" s="8" t="str">
        <x:v>expected</x:v>
      </x:c>
      <x:c r="K18" s="8" t="str">
        <x:v>investigate</x:v>
      </x:c>
      <x:c r="L18" s="8"/>
      <x:c r="M18" s="8"/>
      <x:c r="N18" s="8"/>
      <x:c r="O18" s="8"/>
      <x:c r="P18" s="1"/>
    </x:row>
    <x:row r="19">
      <x:c r="A19" s="8" t="str">
        <x:v>headers</x:v>
      </x:c>
      <x:c r="B19" s="8" t="str">
        <x:v>yes</x:v>
      </x:c>
      <x:c r="C19" s="8" t="str">
        <x:v>yes</x:v>
      </x:c>
      <x:c r="D19" s="8" t="str">
        <x:v>yes</x:v>
      </x:c>
      <x:c r="E19" s="8" t="str">
        <x:v>partial</x:v>
      </x:c>
      <x:c r="F19" s="8"/>
      <x:c r="G19" s="8" t="n">
        <x:v>0.34</x:v>
      </x:c>
      <x:c r="H19" s="8"/>
      <x:c r="I19" s="8" t="str">
        <x:v>observed</x:v>
      </x:c>
      <x:c r="J19" s="8" t="str">
        <x:v>depends on policy</x:v>
      </x:c>
      <x:c r="K19" s="8" t="str">
        <x:v>code change</x:v>
      </x:c>
      <x:c r="L19" s="8"/>
      <x:c r="M19" s="8"/>
      <x:c r="N19" s="8"/>
      <x:c r="O19" s="8"/>
      <x:c r="P19" s="1"/>
    </x:row>
    <x:row r="20">
      <x:c r="A20" s="8" t="str">
        <x:v>headers</x:v>
      </x:c>
      <x:c r="B20" s="8" t="str">
        <x:v>partial</x:v>
      </x:c>
      <x:c r="C20" s="8" t="str">
        <x:v>yes</x:v>
      </x:c>
      <x:c r="D20" s="8" t="str">
        <x:v>no</x:v>
      </x:c>
      <x:c r="E20" s="8" t="str">
        <x:v>unknown</x:v>
      </x:c>
      <x:c r="F20" s="8" t="str">
        <x:v>Follow-up: compare the result when the network security policy is relaxed versus when it is enforced.</x:v>
      </x:c>
      <x:c r="G20" s="8" t="n">
        <x:v>0.64</x:v>
      </x:c>
      <x:c r="H20" s="8" t="str">
        <x:v>https://learn.microsoft.com/en-us/microsoft-edge/webview2/concepts/security</x:v>
      </x:c>
      <x:c r="I20" s="8" t="str">
        <x:v>intermittent</x:v>
      </x:c>
      <x:c r="J20" s="8" t="str">
        <x:v>depends on policy</x:v>
      </x:c>
      <x:c r="K20" s="8" t="str">
        <x:v>documentation</x:v>
      </x:c>
      <x:c r="L20" s="8"/>
      <x:c r="M20" s="8"/>
      <x:c r="N20" s="8"/>
      <x:c r="O20" s="8"/>
      <x:c r="P20" s="1"/>
    </x:row>
    <x:row r="21">
      <x:c r="A21" s="8" t="str">
        <x:v>deep links</x:v>
      </x:c>
      <x:c r="B21" s="8" t="str">
        <x:v>yes</x:v>
      </x:c>
      <x:c r="C21" s="8" t="str">
        <x:v>partial</x:v>
      </x:c>
      <x:c r="D21" s="8" t="str">
        <x:v>yes</x:v>
      </x:c>
      <x:c r="E21" s="8" t="str">
        <x:v>partial</x:v>
      </x:c>
      <x:c r="F21" s="8" t="str">
        <x:v>This sentence is long enough to exercise wrapping and downstream chunk boundaries in Markdown output.</x:v>
      </x:c>
      <x:c r="G21" s="8" t="n">
        <x:v>0.64</x:v>
      </x:c>
      <x:c r="H21" s="8" t="str">
        <x:v>https://github.com/react-native-webview/react-native-webview</x:v>
      </x:c>
      <x:c r="I21" s="8" t="str">
        <x:v>observed</x:v>
      </x:c>
      <x:c r="J21" s="8" t="str">
        <x:v>depends on policy</x:v>
      </x:c>
      <x:c r="K21" s="8" t="str">
        <x:v>documentation</x:v>
      </x:c>
      <x:c r="L21" s="8"/>
      <x:c r="M21" s="8"/>
      <x:c r="N21" s="8"/>
      <x:c r="O21" s="8"/>
      <x:c r="P21" s="1"/>
    </x:row>
    <x:row r="22">
      <x:c r="A22" s="8"/>
      <x:c r="B22" s="8"/>
      <x:c r="C22" s="8"/>
      <x:c r="D22" s="8"/>
      <x:c r="E22" s="8"/>
      <x:c r="F22" s="8"/>
      <x:c r="G22" s="8"/>
      <x:c r="H22" s="8"/>
      <x:c r="I22" s="8"/>
      <x:c r="J22" s="8"/>
      <x:c r="K22" s="8"/>
      <x:c r="L22" s="8"/>
      <x:c r="M22" s="8"/>
      <x:c r="N22" s="8"/>
      <x:c r="O22" s="8"/>
      <x:c r="P22" s="1"/>
    </x:row>
    <x:row r="23">
      <x:c r="A23" s="8" t="str">
        <x:v>TLS</x:v>
      </x:c>
      <x:c r="B23" s="8" t="str">
        <x:v>no</x:v>
      </x:c>
      <x:c r="C23" s="8" t="str">
        <x:v>no</x:v>
      </x:c>
      <x:c r="D23" s="8" t="str">
        <x:v>yes</x:v>
      </x:c>
      <x:c r="E23" s="8" t="str">
        <x:v>yes</x:v>
      </x:c>
      <x:c r="F23" s="8"/>
      <x:c r="G23" s="8" t="n">
        <x:v>0.85</x:v>
      </x:c>
      <x:c r="H23" s="8"/>
      <x:c r="I23" s="8" t="str">
        <x:v>not observed</x:v>
      </x:c>
      <x:c r="J23" s="8" t="str">
        <x:v>not specified</x:v>
      </x:c>
      <x:c r="K23" s="8" t="str">
        <x:v>documentation</x:v>
      </x:c>
      <x:c r="L23" s="8"/>
      <x:c r="M23" s="8"/>
      <x:c r="N23" s="8"/>
      <x:c r="O23" s="8"/>
      <x:c r="P23" s="1"/>
    </x:row>
    <x:row r="24">
      <x:c r="A24" s="8" t="str">
        <x:v>storage</x:v>
      </x:c>
      <x:c r="B24" s="8" t="str">
        <x:v>yes</x:v>
      </x:c>
      <x:c r="C24" s="8" t="str">
        <x:v>partial</x:v>
      </x:c>
      <x:c r="D24" s="8" t="str">
        <x:v>no</x:v>
      </x:c>
      <x:c r="E24" s="8" t="str">
        <x:v>unknown</x:v>
      </x:c>
      <x:c r="F24" s="8"/>
      <x:c r="G24" s="8" t="n">
        <x:v>0.12</x:v>
      </x:c>
      <x:c r="H24" s="8" t="str">
        <x:v>https://developer.apple.com/documentation/webkit/wkwebview</x:v>
      </x:c>
      <x:c r="I24" s="8" t="str">
        <x:v>intermittent</x:v>
      </x:c>
      <x:c r="J24" s="8" t="str">
        <x:v>expected</x:v>
      </x:c>
      <x:c r="K24" s="8" t="str">
        <x:v>none</x:v>
      </x:c>
      <x:c r="L24" s="8"/>
      <x:c r="M24" s="8"/>
      <x:c r="N24" s="8"/>
      <x:c r="O24" s="8"/>
      <x:c r="P24" s="1"/>
    </x:row>
    <x:row r="25">
      <x:c r="A25" s="8" t="str">
        <x:v>deep links</x:v>
      </x:c>
      <x:c r="B25" s="8" t="str">
        <x:v>no</x:v>
      </x:c>
      <x:c r="C25" s="8" t="str">
        <x:v>unknown</x:v>
      </x:c>
      <x:c r="D25" s="8" t="str">
        <x:v>unknown</x:v>
      </x:c>
      <x:c r="E25" s="8" t="str">
        <x:v>yes</x:v>
      </x:c>
      <x:c r="F25" s="8"/>
      <x:c r="G25" s="8" t="n">
        <x:v>0.7</x:v>
      </x:c>
      <x:c r="H25" s="8"/>
      <x:c r="I25" s="8" t="str">
        <x:v>intermittent</x:v>
      </x:c>
      <x:c r="J25" s="8" t="str">
        <x:v>not specified</x:v>
      </x:c>
      <x:c r="K25" s="8" t="str">
        <x:v>code change</x:v>
      </x:c>
      <x:c r="L25" s="8"/>
      <x:c r="M25" s="8"/>
      <x:c r="N25" s="8"/>
      <x:c r="O25" s="8"/>
      <x:c r="P25" s="1"/>
    </x:row>
    <x:row r="26">
      <x:c r="A26" s="8" t="str">
        <x:v>storage</x:v>
      </x:c>
      <x:c r="B26" s="8" t="str">
        <x:v>no</x:v>
      </x:c>
      <x:c r="C26" s="8" t="str">
        <x:v>unknown</x:v>
      </x:c>
      <x:c r="D26" s="8" t="str">
        <x:v>partial</x:v>
      </x:c>
      <x:c r="E26" s="8" t="str">
        <x:v>partial</x:v>
      </x:c>
      <x:c r="F26" s="8" t="str">
        <x:v>Follow-up: compare the result when the network security policy is relaxed versus when it is enforced.</x:v>
      </x:c>
      <x:c r="G26" s="8" t="n">
        <x:v>0.96</x:v>
      </x:c>
      <x:c r="H26" s="8"/>
      <x:c r="I26" s="8" t="str">
        <x:v>intermittent</x:v>
      </x:c>
      <x:c r="J26" s="8" t="str">
        <x:v>expected</x:v>
      </x:c>
      <x:c r="K26" s="8" t="str">
        <x:v>investigate</x:v>
      </x:c>
      <x:c r="L26" s="8"/>
      <x:c r="M26" s="8"/>
      <x:c r="N26" s="8"/>
      <x:c r="O26" s="8"/>
      <x:c r="P26" s="1"/>
    </x:row>
    <x:row r="27">
      <x:c r="A27" s="8" t="str">
        <x:v>headers</x:v>
      </x:c>
      <x:c r="B27" s="8" t="str">
        <x:v>partial</x:v>
      </x:c>
      <x:c r="C27" s="8" t="str">
        <x:v>unknown</x:v>
      </x:c>
      <x:c r="D27" s="8" t="str">
        <x:v>unknown</x:v>
      </x:c>
      <x:c r="E27" s="8" t="str">
        <x:v>partial</x:v>
      </x:c>
      <x:c r="F27" s="8"/>
      <x:c r="G27" s="8" t="n">
        <x:v>0.9</x:v>
      </x:c>
      <x:c r="H27" s="8" t="str">
        <x:v>https://developer.apple.com/documentation/webkit/wkwebview</x:v>
      </x:c>
      <x:c r="I27" s="8" t="str">
        <x:v>observed</x:v>
      </x:c>
      <x:c r="J27" s="8" t="str">
        <x:v>expected</x:v>
      </x:c>
      <x:c r="K27" s="8" t="str">
        <x:v>code change</x:v>
      </x:c>
      <x:c r="L27" s="8"/>
      <x:c r="M27" s="8"/>
      <x:c r="N27" s="8"/>
      <x:c r="O27" s="8"/>
      <x:c r="P27" s="1"/>
    </x:row>
    <x:row r="28">
      <x:c r="A28" s="8" t="str">
        <x:v>TLS</x:v>
      </x:c>
      <x:c r="B28" s="8" t="str">
        <x:v>yes</x:v>
      </x:c>
      <x:c r="C28" s="8" t="str">
        <x:v>partial</x:v>
      </x:c>
      <x:c r="D28" s="8" t="str">
        <x:v>yes</x:v>
      </x:c>
      <x:c r="E28" s="8" t="str">
        <x:v>unknown</x:v>
      </x:c>
      <x:c r="F28" s="8"/>
      <x:c r="G28" s="8" t="n">
        <x:v>0.68</x:v>
      </x:c>
      <x:c r="H28" s="8"/>
      <x:c r="I28" s="8" t="str">
        <x:v>observed</x:v>
      </x:c>
      <x:c r="J28" s="8" t="str">
        <x:v>not specified</x:v>
      </x:c>
      <x:c r="K28" s="8" t="str">
        <x:v>code change</x:v>
      </x:c>
      <x:c r="L28" s="8"/>
      <x:c r="M28" s="8"/>
      <x:c r="N28" s="8"/>
      <x:c r="O28" s="8"/>
      <x:c r="P28" s="1"/>
    </x:row>
    <x:row r="29">
      <x:c r="A29" s="8" t="str">
        <x:v>proxy</x:v>
      </x:c>
      <x:c r="B29" s="8" t="str">
        <x:v>no</x:v>
      </x:c>
      <x:c r="C29" s="8" t="str">
        <x:v>yes</x:v>
      </x:c>
      <x:c r="D29" s="8" t="str">
        <x:v>unknown</x:v>
      </x:c>
      <x:c r="E29" s="8" t="str">
        <x:v>partial</x:v>
      </x:c>
      <x:c r="F29" s="8" t="str">
        <x:v>Potential duplicate: this paragraph is repeated in another section to test deduplication and chunk metadata.</x:v>
      </x:c>
      <x:c r="G29" s="8" t="n">
        <x:v>0.57</x:v>
      </x:c>
      <x:c r="H29" s="8" t="str">
        <x:v>https://developer.android.com/reference/android/webkit/WebView</x:v>
      </x:c>
      <x:c r="I29" s="8" t="str">
        <x:v>not tested</x:v>
      </x:c>
      <x:c r="J29" s="8" t="str">
        <x:v>not specified</x:v>
      </x:c>
      <x:c r="K29" s="8" t="str">
        <x:v>documentation</x:v>
      </x:c>
      <x:c r="L29" s="8"/>
      <x:c r="M29" s="8"/>
      <x:c r="N29" s="8"/>
      <x:c r="O29" s="8"/>
      <x:c r="P29" s="1"/>
    </x:row>
    <x:row r="30">
      <x:c r="A30" s="8" t="str">
        <x:v>media</x:v>
      </x:c>
      <x:c r="B30" s="8" t="str">
        <x:v>no</x:v>
      </x:c>
      <x:c r="C30" s="8" t="str">
        <x:v>partial</x:v>
      </x:c>
      <x:c r="D30" s="8" t="str">
        <x:v>no</x:v>
      </x:c>
      <x:c r="E30" s="8" t="str">
        <x:v>unknown</x:v>
      </x:c>
      <x:c r="F30" s="8"/>
      <x:c r="G30" s="8" t="n">
        <x:v>0.42</x:v>
      </x:c>
      <x:c r="H30" s="8"/>
      <x:c r="I30" s="8" t="str">
        <x:v>not tested</x:v>
      </x:c>
      <x:c r="J30" s="8" t="str">
        <x:v>expected</x:v>
      </x:c>
      <x:c r="K30" s="8" t="str">
        <x:v>documentation</x:v>
      </x:c>
      <x:c r="L30" s="8"/>
      <x:c r="M30" s="8"/>
      <x:c r="N30" s="8"/>
      <x:c r="O30" s="8"/>
      <x:c r="P30" s="1"/>
    </x:row>
    <x:row r="31">
      <x:c r="A31" s="8" t="str">
        <x:v>media</x:v>
      </x:c>
      <x:c r="B31" s="8" t="str">
        <x:v>no</x:v>
      </x:c>
      <x:c r="C31" s="8" t="str">
        <x:v>yes</x:v>
      </x:c>
      <x:c r="D31" s="8" t="str">
        <x:v>partial</x:v>
      </x:c>
      <x:c r="E31" s="8" t="str">
        <x:v>no</x:v>
      </x:c>
      <x:c r="F31" s="8"/>
      <x:c r="G31" s="8" t="n">
        <x:v>0.74</x:v>
      </x:c>
      <x:c r="H31" s="8" t="str">
        <x:v>https://developer.apple.com/documentation/webkit/wkwebview</x:v>
      </x:c>
      <x:c r="I31" s="8" t="str">
        <x:v>not tested</x:v>
      </x:c>
      <x:c r="J31" s="8" t="str">
        <x:v>depends on policy</x:v>
      </x:c>
      <x:c r="K31" s="8" t="str">
        <x:v>documentation</x:v>
      </x:c>
      <x:c r="L31" s="8"/>
      <x:c r="M31" s="8"/>
      <x:c r="N31" s="8"/>
      <x:c r="O31" s="8"/>
      <x:c r="P31" s="1"/>
    </x:row>
    <x:row r="32">
      <x:c r="A32" s="8" t="str">
        <x:v>deep links</x:v>
      </x:c>
      <x:c r="B32" s="8" t="str">
        <x:v>yes</x:v>
      </x:c>
      <x:c r="C32" s="8" t="str">
        <x:v>no</x:v>
      </x:c>
      <x:c r="D32" s="8" t="str">
        <x:v>partial</x:v>
      </x:c>
      <x:c r="E32" s="8" t="str">
        <x:v>unknown</x:v>
      </x:c>
      <x:c r="F32" s="8" t="str">
        <x:v>Observed in a local test run: the content rendered, but the console warning appeared twice.</x:v>
      </x:c>
      <x:c r="G32" s="8" t="n">
        <x:v>0.56</x:v>
      </x:c>
      <x:c r="H32" s="8"/>
      <x:c r="I32" s="8" t="str">
        <x:v>not tested</x:v>
      </x:c>
      <x:c r="J32" s="8" t="str">
        <x:v>expected</x:v>
      </x:c>
      <x:c r="K32" s="8" t="str">
        <x:v>none</x:v>
      </x:c>
      <x:c r="L32" s="8"/>
      <x:c r="M32" s="8"/>
      <x:c r="N32" s="8"/>
      <x:c r="O32" s="8"/>
      <x:c r="P32" s="1"/>
    </x:row>
    <x:row r="33">
      <x:c r="A33" s="8" t="str">
        <x:v>TLS</x:v>
      </x:c>
      <x:c r="B33" s="8" t="str">
        <x:v>partial</x:v>
      </x:c>
      <x:c r="C33" s="8" t="str">
        <x:v>partial</x:v>
      </x:c>
      <x:c r="D33" s="8" t="str">
        <x:v>unknown</x:v>
      </x:c>
      <x:c r="E33" s="8" t="str">
        <x:v>no</x:v>
      </x:c>
      <x:c r="F33" s="8" t="str">
        <x:v>The bridge callback is stable for small payloads, but large JSON messages show visible delay during navigation.</x:v>
      </x:c>
      <x:c r="G33" s="8" t="n">
        <x:v>0.07</x:v>
      </x:c>
      <x:c r="H33" s="8" t="str">
        <x:v>https://learn.microsoft.com/en-us/microsoft-edge/webview2/concepts/security</x:v>
      </x:c>
      <x:c r="I33" s="8" t="str">
        <x:v>observed</x:v>
      </x:c>
      <x:c r="J33" s="8" t="str">
        <x:v>depends on policy</x:v>
      </x:c>
      <x:c r="K33" s="8" t="str">
        <x:v>none</x:v>
      </x:c>
      <x:c r="L33" s="8"/>
      <x:c r="M33" s="8"/>
      <x:c r="N33" s="8"/>
      <x:c r="O33" s="8"/>
      <x:c r="P33" s="1"/>
    </x:row>
    <x:row r="34">
      <x:c r="A34" s="8" t="str">
        <x:v>media</x:v>
      </x:c>
      <x:c r="B34" s="8" t="str">
        <x:v>unknown</x:v>
      </x:c>
      <x:c r="C34" s="8" t="str">
        <x:v>unknown</x:v>
      </x:c>
      <x:c r="D34" s="8" t="str">
        <x:v>no</x:v>
      </x:c>
      <x:c r="E34" s="8" t="str">
        <x:v>no</x:v>
      </x:c>
      <x:c r="F34" s="8" t="str">
        <x:v>Verify behavior on a cold start and after the page reloads without destroying the native view.</x:v>
      </x:c>
      <x:c r="G34" s="8" t="n">
        <x:v>0.1</x:v>
      </x:c>
      <x:c r="H34" s="8"/>
      <x:c r="I34" s="8" t="str">
        <x:v>not tested</x:v>
      </x:c>
      <x:c r="J34" s="8" t="str">
        <x:v>not specified</x:v>
      </x:c>
      <x:c r="K34" s="8" t="str">
        <x:v>none</x:v>
      </x:c>
      <x:c r="L34" s="8"/>
      <x:c r="M34" s="8"/>
      <x:c r="N34" s="8"/>
      <x:c r="O34" s="8"/>
      <x:c r="P34" s="1"/>
    </x:row>
    <x:row r="35">
      <x:c r="A35" s="8" t="str">
        <x:v>history</x:v>
      </x:c>
      <x:c r="B35" s="8" t="str">
        <x:v>partial</x:v>
      </x:c>
      <x:c r="C35" s="8" t="str">
        <x:v>partial</x:v>
      </x:c>
      <x:c r="D35" s="8" t="str">
        <x:v>unknown</x:v>
      </x:c>
      <x:c r="E35" s="8" t="str">
        <x:v>partial</x:v>
      </x:c>
      <x:c r="F35" s="8"/>
      <x:c r="G35" s="8" t="n">
        <x:v>0.69</x:v>
      </x:c>
      <x:c r="H35" s="8"/>
      <x:c r="I35" s="8" t="str">
        <x:v>not tested</x:v>
      </x:c>
      <x:c r="J35" s="8" t="str">
        <x:v>depends on policy</x:v>
      </x:c>
      <x:c r="K35" s="8" t="str">
        <x:v>none</x:v>
      </x:c>
      <x:c r="L35" s="8"/>
      <x:c r="M35" s="8"/>
      <x:c r="N35" s="8"/>
      <x:c r="O35" s="8"/>
      <x:c r="P35" s="1"/>
    </x:row>
    <x:row r="36">
      <x:c r="A36" s="8" t="str">
        <x:v>downloads</x:v>
      </x:c>
      <x:c r="B36" s="8" t="str">
        <x:v>yes</x:v>
      </x:c>
      <x:c r="C36" s="8" t="str">
        <x:v>no</x:v>
      </x:c>
      <x:c r="D36" s="8" t="str">
        <x:v>unknown</x:v>
      </x:c>
      <x:c r="E36" s="8" t="str">
        <x:v>no</x:v>
      </x:c>
      <x:c r="F36" s="8" t="str">
        <x:v>Potential duplicate: this paragraph is repeated in another section to test deduplication and chunk metadata.</x:v>
      </x:c>
      <x:c r="G36" s="8" t="n">
        <x:v>0.86</x:v>
      </x:c>
      <x:c r="H36" s="8" t="str">
        <x:v>https://learn.microsoft.com/en-us/microsoft-edge/webview2/concepts/security</x:v>
      </x:c>
      <x:c r="I36" s="8" t="str">
        <x:v>not tested</x:v>
      </x:c>
      <x:c r="J36" s="8" t="str">
        <x:v>expected</x:v>
      </x:c>
      <x:c r="K36" s="8" t="str">
        <x:v>documentation</x:v>
      </x:c>
      <x:c r="L36" s="8"/>
      <x:c r="M36" s="8"/>
      <x:c r="N36" s="8"/>
      <x:c r="O36" s="8"/>
      <x:c r="P36" s="1"/>
    </x:row>
    <x:row r="37">
      <x:c r="A37" s="8" t="str">
        <x:v>proxy</x:v>
      </x:c>
      <x:c r="B37" s="8" t="str">
        <x:v>partial</x:v>
      </x:c>
      <x:c r="C37" s="8" t="str">
        <x:v>partial</x:v>
      </x:c>
      <x:c r="D37" s="8" t="str">
        <x:v>partial</x:v>
      </x:c>
      <x:c r="E37" s="8" t="str">
        <x:v>partial</x:v>
      </x:c>
      <x:c r="F37" s="8"/>
      <x:c r="G37" s="8" t="n">
        <x:v>0.09</x:v>
      </x:c>
      <x:c r="H37" s="8"/>
      <x:c r="I37" s="8" t="str">
        <x:v>not tested</x:v>
      </x:c>
      <x:c r="J37" s="8" t="str">
        <x:v>depends on policy</x:v>
      </x:c>
      <x:c r="K37" s="8" t="str">
        <x:v>none</x:v>
      </x:c>
      <x:c r="L37" s="8"/>
      <x:c r="M37" s="8"/>
      <x:c r="N37" s="8"/>
      <x:c r="O37" s="8"/>
      <x:c r="P37" s="1"/>
    </x:row>
    <x:row r="38">
      <x:c r="A38" s="8" t="str">
        <x:v>cookies</x:v>
      </x:c>
      <x:c r="B38" s="8" t="str">
        <x:v>partial</x:v>
      </x:c>
      <x:c r="C38" s="8" t="str">
        <x:v>no</x:v>
      </x:c>
      <x:c r="D38" s="8" t="str">
        <x:v>unknown</x:v>
      </x:c>
      <x:c r="E38" s="8" t="str">
        <x:v>no</x:v>
      </x:c>
      <x:c r="F38" s="8" t="str">
        <x:v>Observed in a local test run: the content rendered, but the console warning appeared twice.</x:v>
      </x:c>
      <x:c r="G38" s="8" t="n">
        <x:v>0.83</x:v>
      </x:c>
      <x:c r="H38" s="8"/>
      <x:c r="I38" s="8" t="str">
        <x:v>not tested</x:v>
      </x:c>
      <x:c r="J38" s="8" t="str">
        <x:v>expected</x:v>
      </x:c>
      <x:c r="K38" s="8" t="str">
        <x:v>documentation</x:v>
      </x:c>
      <x:c r="L38" s="8"/>
      <x:c r="M38" s="8"/>
      <x:c r="N38" s="8"/>
      <x:c r="O38" s="8"/>
      <x:c r="P38" s="1"/>
    </x:row>
    <x:row r="39">
      <x:c r="A39" s="8" t="str">
        <x:v>file input</x:v>
      </x:c>
      <x:c r="B39" s="8" t="str">
        <x:v>unknown</x:v>
      </x:c>
      <x:c r="C39" s="8" t="str">
        <x:v>yes</x:v>
      </x:c>
      <x:c r="D39" s="8" t="str">
        <x:v>unknown</x:v>
      </x:c>
      <x:c r="E39" s="8" t="str">
        <x:v>no</x:v>
      </x:c>
      <x:c r="F39" s="8" t="str">
        <x:v>Observed in a local test run: the content rendered, but the console warning appeared twice.</x:v>
      </x:c>
      <x:c r="G39" s="8" t="n">
        <x:v>0.7</x:v>
      </x:c>
      <x:c r="H39" s="8"/>
      <x:c r="I39" s="8" t="str">
        <x:v>not tested</x:v>
      </x:c>
      <x:c r="J39" s="8" t="str">
        <x:v>depends on policy</x:v>
      </x:c>
      <x:c r="K39" s="8" t="str">
        <x:v>none</x:v>
      </x:c>
      <x:c r="L39" s="8"/>
      <x:c r="M39" s="8"/>
      <x:c r="N39" s="8"/>
      <x:c r="O39" s="8"/>
      <x:c r="P39" s="1"/>
    </x:row>
    <x:row r="40">
      <x:c r="A40" s="8"/>
      <x:c r="B40" s="8"/>
      <x:c r="C40" s="8"/>
      <x:c r="D40" s="8"/>
      <x:c r="E40" s="8"/>
      <x:c r="F40" s="8"/>
      <x:c r="G40" s="8"/>
      <x:c r="H40" s="8"/>
      <x:c r="I40" s="8"/>
      <x:c r="J40" s="8"/>
      <x:c r="K40" s="8"/>
      <x:c r="L40" s="8"/>
      <x:c r="M40" s="8"/>
      <x:c r="N40" s="8"/>
      <x:c r="O40" s="8"/>
      <x:c r="P40" s="1"/>
    </x:row>
    <x:row r="41">
      <x:c r="A41" s="8" t="str">
        <x:v>media</x:v>
      </x:c>
      <x:c r="B41" s="8" t="str">
        <x:v>partial</x:v>
      </x:c>
      <x:c r="C41" s="8" t="str">
        <x:v>partial</x:v>
      </x:c>
      <x:c r="D41" s="8" t="str">
        <x:v>yes</x:v>
      </x:c>
      <x:c r="E41" s="8" t="str">
        <x:v>no</x:v>
      </x:c>
      <x:c r="F41" s="8"/>
      <x:c r="G41" s="8" t="n">
        <x:v>0.07</x:v>
      </x:c>
      <x:c r="H41" s="8" t="str">
        <x:v>https://github.com/react-native-webview/react-native-webview</x:v>
      </x:c>
      <x:c r="I41" s="8" t="str">
        <x:v>not observed</x:v>
      </x:c>
      <x:c r="J41" s="8" t="str">
        <x:v>not specified</x:v>
      </x:c>
      <x:c r="K41" s="8" t="str">
        <x:v>code change</x:v>
      </x:c>
      <x:c r="L41" s="8"/>
      <x:c r="M41" s="8"/>
      <x:c r="N41" s="8"/>
      <x:c r="O41" s="8"/>
      <x:c r="P41" s="1"/>
    </x:row>
    <x:row r="42">
      <x:c r="A42" s="8" t="str">
        <x:v>cookies</x:v>
      </x:c>
      <x:c r="B42" s="8" t="str">
        <x:v>yes</x:v>
      </x:c>
      <x:c r="C42" s="8" t="str">
        <x:v>unknown</x:v>
      </x:c>
      <x:c r="D42" s="8" t="str">
        <x:v>no</x:v>
      </x:c>
      <x:c r="E42" s="8" t="str">
        <x:v>partial</x:v>
      </x:c>
      <x:c r="F42" s="8"/>
      <x:c r="G42" s="8" t="n">
        <x:v>0.22</x:v>
      </x:c>
      <x:c r="H42" s="8" t="str">
        <x:v>https://developer.apple.com/documentation/webkit/wkwebview</x:v>
      </x:c>
      <x:c r="I42" s="8" t="str">
        <x:v>observed</x:v>
      </x:c>
      <x:c r="J42" s="8" t="str">
        <x:v>not specified</x:v>
      </x:c>
      <x:c r="K42" s="8" t="str">
        <x:v>code change</x:v>
      </x:c>
      <x:c r="L42" s="8"/>
      <x:c r="M42" s="8"/>
      <x:c r="N42" s="8"/>
      <x:c r="O42" s="8"/>
      <x:c r="P42" s="1"/>
    </x:row>
    <x:row r="43">
      <x:c r="A43" s="8" t="str">
        <x:v>history</x:v>
      </x:c>
      <x:c r="B43" s="8" t="str">
        <x:v>partial</x:v>
      </x:c>
      <x:c r="C43" s="8" t="str">
        <x:v>yes</x:v>
      </x:c>
      <x:c r="D43" s="8" t="str">
        <x:v>yes</x:v>
      </x:c>
      <x:c r="E43" s="8" t="str">
        <x:v>partial</x:v>
      </x:c>
      <x:c r="F43" s="8" t="str">
        <x:v>Potential duplicate: this paragraph is repeated in another section to test deduplication and chunk metadata.</x:v>
      </x:c>
      <x:c r="G43" s="8" t="n">
        <x:v>0.22</x:v>
      </x:c>
      <x:c r="H43" s="8" t="str">
        <x:v>https://developer.apple.com/documentation/webkit/wkwebview</x:v>
      </x:c>
      <x:c r="I43" s="8" t="str">
        <x:v>not tested</x:v>
      </x:c>
      <x:c r="J43" s="8" t="str">
        <x:v>not specified</x:v>
      </x:c>
      <x:c r="K43" s="8" t="str">
        <x:v>none</x:v>
      </x:c>
      <x:c r="L43" s="8"/>
      <x:c r="M43" s="8"/>
      <x:c r="N43" s="8"/>
      <x:c r="O43" s="8"/>
      <x:c r="P43" s="1"/>
    </x:row>
    <x:row r="44">
      <x:c r="A44" s="8" t="str">
        <x:v>downloads</x:v>
      </x:c>
      <x:c r="B44" s="8" t="str">
        <x:v>no</x:v>
      </x:c>
      <x:c r="C44" s="8" t="str">
        <x:v>yes</x:v>
      </x:c>
      <x:c r="D44" s="8" t="str">
        <x:v>yes</x:v>
      </x:c>
      <x:c r="E44" s="8" t="str">
        <x:v>unknown</x:v>
      </x:c>
      <x:c r="F44" s="8"/>
      <x:c r="G44" s="8" t="n">
        <x:v>0.44</x:v>
      </x:c>
      <x:c r="H44" s="8" t="str">
        <x:v>https://developer.apple.com/documentation/webkit/wkwebview</x:v>
      </x:c>
      <x:c r="I44" s="8" t="str">
        <x:v>not tested</x:v>
      </x:c>
      <x:c r="J44" s="8" t="str">
        <x:v>expected</x:v>
      </x:c>
      <x:c r="K44" s="8" t="str">
        <x:v>code change</x:v>
      </x:c>
      <x:c r="L44" s="8"/>
      <x:c r="M44" s="8"/>
      <x:c r="N44" s="8"/>
      <x:c r="O44" s="8"/>
      <x:c r="P44" s="1"/>
    </x:row>
    <x:row r="45">
      <x:c r="A45" s="8" t="str">
        <x:v>media</x:v>
      </x:c>
      <x:c r="B45" s="8" t="str">
        <x:v>no</x:v>
      </x:c>
      <x:c r="C45" s="8" t="str">
        <x:v>unknown</x:v>
      </x:c>
      <x:c r="D45" s="8" t="str">
        <x:v>no</x:v>
      </x:c>
      <x:c r="E45" s="8" t="str">
        <x:v>yes</x:v>
      </x:c>
      <x:c r="F45" s="8"/>
      <x:c r="G45" s="8" t="n">
        <x:v>0.29</x:v>
      </x:c>
      <x:c r="H45" s="8" t="str">
        <x:v>https://developer.android.com/reference/android/webkit/WebView</x:v>
      </x:c>
      <x:c r="I45" s="8" t="str">
        <x:v>not observed</x:v>
      </x:c>
      <x:c r="J45" s="8" t="str">
        <x:v>expected</x:v>
      </x:c>
      <x:c r="K45" s="8" t="str">
        <x:v>documentation</x:v>
      </x:c>
      <x:c r="L45" s="8"/>
      <x:c r="M45" s="8"/>
      <x:c r="N45" s="8"/>
      <x:c r="O45" s="8"/>
      <x:c r="P45" s="1"/>
    </x:row>
    <x:row r="46">
      <x:c r="A46" s="8" t="str">
        <x:v>cookies</x:v>
      </x:c>
      <x:c r="B46" s="8" t="str">
        <x:v>no</x:v>
      </x:c>
      <x:c r="C46" s="8" t="str">
        <x:v>yes</x:v>
      </x:c>
      <x:c r="D46" s="8" t="str">
        <x:v>no</x:v>
      </x:c>
      <x:c r="E46" s="8" t="str">
        <x:v>partial</x:v>
      </x:c>
      <x:c r="F46" s="8"/>
      <x:c r="G46" s="8" t="n">
        <x:v>0.18</x:v>
      </x:c>
      <x:c r="H46" s="8"/>
      <x:c r="I46" s="8" t="str">
        <x:v>not observed</x:v>
      </x:c>
      <x:c r="J46" s="8" t="str">
        <x:v>expected</x:v>
      </x:c>
      <x:c r="K46" s="8" t="str">
        <x:v>investigate</x:v>
      </x:c>
      <x:c r="L46" s="8"/>
      <x:c r="M46" s="8"/>
      <x:c r="N46" s="8"/>
      <x:c r="O46" s="8"/>
      <x:c r="P46" s="1"/>
    </x:row>
    <x:row r="47">
      <x:c r="A47" s="8" t="str">
        <x:v>downloads</x:v>
      </x:c>
      <x:c r="B47" s="8" t="str">
        <x:v>no</x:v>
      </x:c>
      <x:c r="C47" s="8" t="str">
        <x:v>unknown</x:v>
      </x:c>
      <x:c r="D47" s="8" t="str">
        <x:v>yes</x:v>
      </x:c>
      <x:c r="E47" s="8" t="str">
        <x:v>no</x:v>
      </x:c>
      <x:c r="F47" s="8" t="str">
        <x:v>Potential duplicate: this paragraph is repeated in another section to test deduplication and chunk metadata.</x:v>
      </x:c>
      <x:c r="G47" s="8" t="n">
        <x:v>0.29</x:v>
      </x:c>
      <x:c r="H47" s="8" t="str">
        <x:v>https://developer.android.com/reference/android/webkit/WebView</x:v>
      </x:c>
      <x:c r="I47" s="8" t="str">
        <x:v>observed</x:v>
      </x:c>
      <x:c r="J47" s="8" t="str">
        <x:v>expected</x:v>
      </x:c>
      <x:c r="K47" s="8" t="str">
        <x:v>investigate</x:v>
      </x:c>
      <x:c r="L47" s="8"/>
      <x:c r="M47" s="8"/>
      <x:c r="N47" s="8"/>
      <x:c r="O47" s="8"/>
      <x:c r="P47" s="1"/>
    </x:row>
    <x:row r="48">
      <x:c r="A48" s="8" t="str">
        <x:v>downloads</x:v>
      </x:c>
      <x:c r="B48" s="8" t="str">
        <x:v>no</x:v>
      </x:c>
      <x:c r="C48" s="8" t="str">
        <x:v>no</x:v>
      </x:c>
      <x:c r="D48" s="8" t="str">
        <x:v>no</x:v>
      </x:c>
      <x:c r="E48" s="8" t="str">
        <x:v>no</x:v>
      </x:c>
      <x:c r="F48" s="8"/>
      <x:c r="G48" s="8" t="n">
        <x:v>0.86</x:v>
      </x:c>
      <x:c r="H48" s="8"/>
      <x:c r="I48" s="8" t="str">
        <x:v>not tested</x:v>
      </x:c>
      <x:c r="J48" s="8" t="str">
        <x:v>expected</x:v>
      </x:c>
      <x:c r="K48" s="8" t="str">
        <x:v>investigate</x:v>
      </x:c>
      <x:c r="L48" s="8"/>
      <x:c r="M48" s="8"/>
      <x:c r="N48" s="8"/>
      <x:c r="O48" s="8"/>
      <x:c r="P48" s="1"/>
    </x:row>
    <x:row r="49">
      <x:c r="A49" s="8" t="str">
        <x:v>deep links</x:v>
      </x:c>
      <x:c r="B49" s="8" t="str">
        <x:v>yes</x:v>
      </x:c>
      <x:c r="C49" s="8" t="str">
        <x:v>partial</x:v>
      </x:c>
      <x:c r="D49" s="8" t="str">
        <x:v>no</x:v>
      </x:c>
      <x:c r="E49" s="8" t="str">
        <x:v>unknown</x:v>
      </x:c>
      <x:c r="F49" s="8" t="str">
        <x:v>Follow-up: compare the result when the network security policy is relaxed versus when it is enforced.</x:v>
      </x:c>
      <x:c r="G49" s="8" t="n">
        <x:v>0.04</x:v>
      </x:c>
      <x:c r="H49" s="8" t="str">
        <x:v>https://github.com/react-native-webview/react-native-webview</x:v>
      </x:c>
      <x:c r="I49" s="8" t="str">
        <x:v>observed</x:v>
      </x:c>
      <x:c r="J49" s="8" t="str">
        <x:v>not specified</x:v>
      </x:c>
      <x:c r="K49" s="8" t="str">
        <x:v>documentation</x:v>
      </x:c>
      <x:c r="L49" s="8"/>
      <x:c r="M49" s="8"/>
      <x:c r="N49" s="8"/>
      <x:c r="O49" s="8"/>
      <x:c r="P49" s="1"/>
    </x:row>
    <x:row r="50">
      <x:c r="A50" s="8" t="str">
        <x:v>cookies</x:v>
      </x:c>
      <x:c r="B50" s="8" t="str">
        <x:v>yes</x:v>
      </x:c>
      <x:c r="C50" s="8" t="str">
        <x:v>no</x:v>
      </x:c>
      <x:c r="D50" s="8" t="str">
        <x:v>yes</x:v>
      </x:c>
      <x:c r="E50" s="8" t="str">
        <x:v>unknown</x:v>
      </x:c>
      <x:c r="F50" s="8" t="str">
        <x:v>Verify behavior on a cold start and after the page reloads without destroying the native view.</x:v>
      </x:c>
      <x:c r="G50" s="8" t="n">
        <x:v>0.59</x:v>
      </x:c>
      <x:c r="H50" s="8"/>
      <x:c r="I50" s="8" t="str">
        <x:v>intermittent</x:v>
      </x:c>
      <x:c r="J50" s="8" t="str">
        <x:v>expected</x:v>
      </x:c>
      <x:c r="K50" s="8" t="str">
        <x:v>code change</x:v>
      </x:c>
      <x:c r="L50" s="8"/>
      <x:c r="M50" s="8"/>
      <x:c r="N50" s="8"/>
      <x:c r="O50" s="8"/>
      <x:c r="P50" s="1"/>
    </x:row>
    <x:row r="51">
      <x:c r="A51" s="8" t="str">
        <x:v>downloads</x:v>
      </x:c>
      <x:c r="B51" s="8" t="str">
        <x:v>yes</x:v>
      </x:c>
      <x:c r="C51" s="8" t="str">
        <x:v>partial</x:v>
      </x:c>
      <x:c r="D51" s="8" t="str">
        <x:v>no</x:v>
      </x:c>
      <x:c r="E51" s="8" t="str">
        <x:v>partial</x:v>
      </x:c>
      <x:c r="F51" s="8" t="str">
        <x:v>Observed in a local test run: the content rendered, but the console warning appeared twice.</x:v>
      </x:c>
      <x:c r="G51" s="8" t="n">
        <x:v>0.99</x:v>
      </x:c>
      <x:c r="H51" s="8"/>
      <x:c r="I51" s="8" t="str">
        <x:v>not observed</x:v>
      </x:c>
      <x:c r="J51" s="8" t="str">
        <x:v>depends on policy</x:v>
      </x:c>
      <x:c r="K51" s="8" t="str">
        <x:v>investigate</x:v>
      </x:c>
      <x:c r="L51" s="8"/>
      <x:c r="M51" s="8"/>
      <x:c r="N51" s="8"/>
      <x:c r="O51" s="8"/>
      <x:c r="P51" s="1"/>
    </x:row>
    <x:row r="52">
      <x:c r="A52" s="8" t="str">
        <x:v>TLS</x:v>
      </x:c>
      <x:c r="B52" s="8" t="str">
        <x:v>no</x:v>
      </x:c>
      <x:c r="C52" s="8" t="str">
        <x:v>yes</x:v>
      </x:c>
      <x:c r="D52" s="8" t="str">
        <x:v>yes</x:v>
      </x:c>
      <x:c r="E52" s="8" t="str">
        <x:v>yes</x:v>
      </x:c>
      <x:c r="F52" s="8" t="str">
        <x:v>This sentence is long enough to exercise wrapping and downstream chunk boundaries in Markdown output.</x:v>
      </x:c>
      <x:c r="G52" s="8" t="n">
        <x:v>0.2</x:v>
      </x:c>
      <x:c r="H52" s="8" t="str">
        <x:v>https://developer.android.com/reference/android/webkit/WebView</x:v>
      </x:c>
      <x:c r="I52" s="8" t="str">
        <x:v>not observed</x:v>
      </x:c>
      <x:c r="J52" s="8" t="str">
        <x:v>expected</x:v>
      </x:c>
      <x:c r="K52" s="8" t="str">
        <x:v>code change</x:v>
      </x:c>
      <x:c r="L52" s="8"/>
      <x:c r="M52" s="8"/>
      <x:c r="N52" s="8"/>
      <x:c r="O52" s="8"/>
      <x:c r="P52" s="1"/>
    </x:row>
    <x:row r="53">
      <x:c r="A53" s="8" t="str">
        <x:v>storage</x:v>
      </x:c>
      <x:c r="B53" s="8" t="str">
        <x:v>partial</x:v>
      </x:c>
      <x:c r="C53" s="8" t="str">
        <x:v>unknown</x:v>
      </x:c>
      <x:c r="D53" s="8" t="str">
        <x:v>yes</x:v>
      </x:c>
      <x:c r="E53" s="8" t="str">
        <x:v>partial</x:v>
      </x:c>
      <x:c r="F53" s="8" t="str">
        <x:v>A blank cell here is intentional. The source workbook has notes placed away from the nearest table.</x:v>
      </x:c>
      <x:c r="G53" s="8" t="n">
        <x:v>0.72</x:v>
      </x:c>
      <x:c r="H53" s="8" t="str">
        <x:v>https://developer.android.com/reference/android/webkit/WebView</x:v>
      </x:c>
      <x:c r="I53" s="8" t="str">
        <x:v>observed</x:v>
      </x:c>
      <x:c r="J53" s="8" t="str">
        <x:v>expected</x:v>
      </x:c>
      <x:c r="K53" s="8" t="str">
        <x:v>code change</x:v>
      </x:c>
      <x:c r="L53" s="8"/>
      <x:c r="M53" s="8"/>
      <x:c r="N53" s="8"/>
      <x:c r="O53" s="8"/>
      <x:c r="P53" s="1"/>
    </x:row>
    <x:row r="54">
      <x:c r="A54" s="8" t="str">
        <x:v>deep links</x:v>
      </x:c>
      <x:c r="B54" s="8" t="str">
        <x:v>no</x:v>
      </x:c>
      <x:c r="C54" s="8" t="str">
        <x:v>yes</x:v>
      </x:c>
      <x:c r="D54" s="8" t="str">
        <x:v>unknown</x:v>
      </x:c>
      <x:c r="E54" s="8" t="str">
        <x:v>yes</x:v>
      </x:c>
      <x:c r="F54" s="8" t="str">
        <x:v>Observed in a local test run: the content rendered, but the console warning appeared twice.</x:v>
      </x:c>
      <x:c r="G54" s="8" t="n">
        <x:v>0.95</x:v>
      </x:c>
      <x:c r="H54" s="8"/>
      <x:c r="I54" s="8" t="str">
        <x:v>intermittent</x:v>
      </x:c>
      <x:c r="J54" s="8" t="str">
        <x:v>not specified</x:v>
      </x:c>
      <x:c r="K54" s="8" t="str">
        <x:v>code change</x:v>
      </x:c>
      <x:c r="L54" s="8"/>
      <x:c r="M54" s="8"/>
      <x:c r="N54" s="8"/>
      <x:c r="O54" s="8"/>
      <x:c r="P54" s="1"/>
    </x:row>
    <x:row r="55">
      <x:c r="A55" s="8" t="str">
        <x:v>file input</x:v>
      </x:c>
      <x:c r="B55" s="8" t="str">
        <x:v>partial</x:v>
      </x:c>
      <x:c r="C55" s="8" t="str">
        <x:v>yes</x:v>
      </x:c>
      <x:c r="D55" s="8" t="str">
        <x:v>no</x:v>
      </x:c>
      <x:c r="E55" s="8" t="str">
        <x:v>partial</x:v>
      </x:c>
      <x:c r="F55" s="8"/>
      <x:c r="G55" s="8" t="n">
        <x:v>0.34</x:v>
      </x:c>
      <x:c r="H55" s="8" t="str">
        <x:v>https://developer.microsoft.com/en-us/microsoft-edge/webview2/</x:v>
      </x:c>
      <x:c r="I55" s="8" t="str">
        <x:v>observed</x:v>
      </x:c>
      <x:c r="J55" s="8" t="str">
        <x:v>not specified</x:v>
      </x:c>
      <x:c r="K55" s="8" t="str">
        <x:v>none</x:v>
      </x:c>
      <x:c r="L55" s="8"/>
      <x:c r="M55" s="8"/>
      <x:c r="N55" s="8"/>
      <x:c r="O55" s="8"/>
      <x:c r="P55" s="1"/>
    </x:row>
    <x:row r="56">
      <x:c r="A56" s="8" t="str">
        <x:v>cookies</x:v>
      </x:c>
      <x:c r="B56" s="8" t="str">
        <x:v>yes</x:v>
      </x:c>
      <x:c r="C56" s="8" t="str">
        <x:v>unknown</x:v>
      </x:c>
      <x:c r="D56" s="8" t="str">
        <x:v>no</x:v>
      </x:c>
      <x:c r="E56" s="8" t="str">
        <x:v>unknown</x:v>
      </x:c>
      <x:c r="F56" s="8" t="str">
        <x:v>The bridge callback is stable for small payloads, but large JSON messages show visible delay during navigation.</x:v>
      </x:c>
      <x:c r="G56" s="8" t="n">
        <x:v>0.09</x:v>
      </x:c>
      <x:c r="H56" s="8" t="str">
        <x:v>https://github.com/react-native-webview/react-native-webview</x:v>
      </x:c>
      <x:c r="I56" s="8" t="str">
        <x:v>intermittent</x:v>
      </x:c>
      <x:c r="J56" s="8" t="str">
        <x:v>expected</x:v>
      </x:c>
      <x:c r="K56" s="8" t="str">
        <x:v>none</x:v>
      </x:c>
      <x:c r="L56" s="8"/>
      <x:c r="M56" s="8"/>
      <x:c r="N56" s="8"/>
      <x:c r="O56" s="8"/>
      <x:c r="P56" s="1"/>
    </x:row>
    <x:row r="57">
      <x:c r="A57" s="8" t="str">
        <x:v>cookies</x:v>
      </x:c>
      <x:c r="B57" s="8" t="str">
        <x:v>partial</x:v>
      </x:c>
      <x:c r="C57" s="8" t="str">
        <x:v>yes</x:v>
      </x:c>
      <x:c r="D57" s="8" t="str">
        <x:v>yes</x:v>
      </x:c>
      <x:c r="E57" s="8" t="str">
        <x:v>unknown</x:v>
      </x:c>
      <x:c r="F57" s="8"/>
      <x:c r="G57" s="8" t="n">
        <x:v>0.74</x:v>
      </x:c>
      <x:c r="H57" s="8"/>
      <x:c r="I57" s="8" t="str">
        <x:v>not observed</x:v>
      </x:c>
      <x:c r="J57" s="8" t="str">
        <x:v>depends on policy</x:v>
      </x:c>
      <x:c r="K57" s="8" t="str">
        <x:v>code change</x:v>
      </x:c>
      <x:c r="L57" s="8"/>
      <x:c r="M57" s="8"/>
      <x:c r="N57" s="8"/>
      <x:c r="O57" s="8"/>
      <x:c r="P57" s="1"/>
    </x:row>
    <x:row r="58">
      <x:c r="A58" s="8"/>
      <x:c r="B58" s="8"/>
      <x:c r="C58" s="8"/>
      <x:c r="D58" s="8"/>
      <x:c r="E58" s="8"/>
      <x:c r="F58" s="8"/>
      <x:c r="G58" s="8"/>
      <x:c r="H58" s="8"/>
      <x:c r="I58" s="8"/>
      <x:c r="J58" s="8"/>
      <x:c r="K58" s="8"/>
      <x:c r="L58" s="8"/>
      <x:c r="M58" s="8"/>
      <x:c r="N58" s="8"/>
      <x:c r="O58" s="8"/>
      <x:c r="P58" s="1"/>
    </x:row>
    <x:row r="59">
      <x:c r="A59" s="8" t="str">
        <x:v>history</x:v>
      </x:c>
      <x:c r="B59" s="8" t="str">
        <x:v>no</x:v>
      </x:c>
      <x:c r="C59" s="8" t="str">
        <x:v>partial</x:v>
      </x:c>
      <x:c r="D59" s="8" t="str">
        <x:v>partial</x:v>
      </x:c>
      <x:c r="E59" s="8" t="str">
        <x:v>partial</x:v>
      </x:c>
      <x:c r="F59" s="8" t="str">
        <x:v>Potential duplicate: this paragraph is repeated in another section to test deduplication and chunk metadata.</x:v>
      </x:c>
      <x:c r="G59" s="8" t="n">
        <x:v>0.81</x:v>
      </x:c>
      <x:c r="H59" s="8"/>
      <x:c r="I59" s="8" t="str">
        <x:v>observed</x:v>
      </x:c>
      <x:c r="J59" s="8" t="str">
        <x:v>not specified</x:v>
      </x:c>
      <x:c r="K59" s="8" t="str">
        <x:v>documentation</x:v>
      </x:c>
      <x:c r="L59" s="8"/>
      <x:c r="M59" s="8"/>
      <x:c r="N59" s="8"/>
      <x:c r="O59" s="8"/>
      <x:c r="P59" s="1"/>
    </x:row>
    <x:row r="60">
      <x:c r="A60" s="8" t="str">
        <x:v>downloads</x:v>
      </x:c>
      <x:c r="B60" s="8" t="str">
        <x:v>partial</x:v>
      </x:c>
      <x:c r="C60" s="8" t="str">
        <x:v>yes</x:v>
      </x:c>
      <x:c r="D60" s="8" t="str">
        <x:v>yes</x:v>
      </x:c>
      <x:c r="E60" s="8" t="str">
        <x:v>unknown</x:v>
      </x:c>
      <x:c r="F60" s="8" t="str">
        <x:v>The bridge callback is stable for small payloads, but large JSON messages show visible delay during navigation.</x:v>
      </x:c>
      <x:c r="G60" s="8" t="n">
        <x:v>0.53</x:v>
      </x:c>
      <x:c r="H60" s="8"/>
      <x:c r="I60" s="8" t="str">
        <x:v>not observed</x:v>
      </x:c>
      <x:c r="J60" s="8" t="str">
        <x:v>depends on policy</x:v>
      </x:c>
      <x:c r="K60" s="8" t="str">
        <x:v>code change</x:v>
      </x:c>
      <x:c r="L60" s="8"/>
      <x:c r="M60" s="8"/>
      <x:c r="N60" s="8"/>
      <x:c r="O60" s="8"/>
      <x:c r="P60" s="1"/>
    </x:row>
    <x:row r="61">
      <x:c r="A61" s="8" t="str">
        <x:v>downloads</x:v>
      </x:c>
      <x:c r="B61" s="8" t="str">
        <x:v>partial</x:v>
      </x:c>
      <x:c r="C61" s="8" t="str">
        <x:v>partial</x:v>
      </x:c>
      <x:c r="D61" s="8" t="str">
        <x:v>yes</x:v>
      </x:c>
      <x:c r="E61" s="8" t="str">
        <x:v>no</x:v>
      </x:c>
      <x:c r="F61" s="8" t="str">
        <x:v>Verify behavior on a cold start and after the page reloads without destroying the native view.</x:v>
      </x:c>
      <x:c r="G61" s="8" t="n">
        <x:v>0.74</x:v>
      </x:c>
      <x:c r="H61" s="8" t="str">
        <x:v>https://developer.android.com/reference/android/webkit/WebView</x:v>
      </x:c>
      <x:c r="I61" s="8" t="str">
        <x:v>intermittent</x:v>
      </x:c>
      <x:c r="J61" s="8" t="str">
        <x:v>not specified</x:v>
      </x:c>
      <x:c r="K61" s="8" t="str">
        <x:v>code change</x:v>
      </x:c>
      <x:c r="L61" s="8"/>
      <x:c r="M61" s="8"/>
      <x:c r="N61" s="8"/>
      <x:c r="O61" s="8"/>
      <x:c r="P61" s="1"/>
    </x:row>
    <x:row r="62">
      <x:c r="A62" s="8" t="str">
        <x:v>file input</x:v>
      </x:c>
      <x:c r="B62" s="8" t="str">
        <x:v>partial</x:v>
      </x:c>
      <x:c r="C62" s="8" t="str">
        <x:v>yes</x:v>
      </x:c>
      <x:c r="D62" s="8" t="str">
        <x:v>unknown</x:v>
      </x:c>
      <x:c r="E62" s="8" t="str">
        <x:v>unknown</x:v>
      </x:c>
      <x:c r="F62" s="8" t="str">
        <x:v>A blank cell here is intentional. The source workbook has notes placed away from the nearest table.</x:v>
      </x:c>
      <x:c r="G62" s="8" t="n">
        <x:v>0.15</x:v>
      </x:c>
      <x:c r="H62" s="8"/>
      <x:c r="I62" s="8" t="str">
        <x:v>intermittent</x:v>
      </x:c>
      <x:c r="J62" s="8" t="str">
        <x:v>not specified</x:v>
      </x:c>
      <x:c r="K62" s="8" t="str">
        <x:v>none</x:v>
      </x:c>
      <x:c r="L62" s="8"/>
      <x:c r="M62" s="8"/>
      <x:c r="N62" s="8"/>
      <x:c r="O62" s="8"/>
      <x:c r="P62" s="1"/>
    </x:row>
    <x:row r="63">
      <x:c r="A63" s="8" t="str">
        <x:v>cookies</x:v>
      </x:c>
      <x:c r="B63" s="8" t="str">
        <x:v>yes</x:v>
      </x:c>
      <x:c r="C63" s="8" t="str">
        <x:v>yes</x:v>
      </x:c>
      <x:c r="D63" s="8" t="str">
        <x:v>partial</x:v>
      </x:c>
      <x:c r="E63" s="8" t="str">
        <x:v>unknown</x:v>
      </x:c>
      <x:c r="F63" s="8" t="str">
        <x:v>Potential duplicate: this paragraph is repeated in another section to test deduplication and chunk metadata.</x:v>
      </x:c>
      <x:c r="G63" s="8" t="n">
        <x:v>0.67</x:v>
      </x:c>
      <x:c r="H63" s="8" t="str">
        <x:v>https://developer.apple.com/documentation/webkit/wkwebview</x:v>
      </x:c>
      <x:c r="I63" s="8" t="str">
        <x:v>observed</x:v>
      </x:c>
      <x:c r="J63" s="8" t="str">
        <x:v>expected</x:v>
      </x:c>
      <x:c r="K63" s="8" t="str">
        <x:v>investigate</x:v>
      </x:c>
      <x:c r="L63" s="8"/>
      <x:c r="M63" s="8"/>
      <x:c r="N63" s="8"/>
      <x:c r="O63" s="8"/>
      <x:c r="P63" s="1"/>
    </x:row>
    <x:row r="64">
      <x:c r="A64" s="8" t="str">
        <x:v>deep links</x:v>
      </x:c>
      <x:c r="B64" s="8" t="str">
        <x:v>unknown</x:v>
      </x:c>
      <x:c r="C64" s="8" t="str">
        <x:v>no</x:v>
      </x:c>
      <x:c r="D64" s="8" t="str">
        <x:v>unknown</x:v>
      </x:c>
      <x:c r="E64" s="8" t="str">
        <x:v>unknown</x:v>
      </x:c>
      <x:c r="F64" s="8" t="str">
        <x:v>A blank cell here is intentional. The source workbook has notes placed away from the nearest table.</x:v>
      </x:c>
      <x:c r="G64" s="8" t="n">
        <x:v>0.7</x:v>
      </x:c>
      <x:c r="H64" s="8"/>
      <x:c r="I64" s="8" t="str">
        <x:v>intermittent</x:v>
      </x:c>
      <x:c r="J64" s="8" t="str">
        <x:v>depends on policy</x:v>
      </x:c>
      <x:c r="K64" s="8" t="str">
        <x:v>investigate</x:v>
      </x:c>
      <x:c r="L64" s="8"/>
      <x:c r="M64" s="8"/>
      <x:c r="N64" s="8"/>
      <x:c r="O64" s="8"/>
      <x:c r="P64" s="1"/>
    </x:row>
    <x:row r="65">
      <x:c r="A65" s="8" t="str">
        <x:v>storage</x:v>
      </x:c>
      <x:c r="B65" s="8" t="str">
        <x:v>yes</x:v>
      </x:c>
      <x:c r="C65" s="8" t="str">
        <x:v>no</x:v>
      </x:c>
      <x:c r="D65" s="8" t="str">
        <x:v>unknown</x:v>
      </x:c>
      <x:c r="E65" s="8" t="str">
        <x:v>unknown</x:v>
      </x:c>
      <x:c r="F65" s="8" t="str">
        <x:v>Observed in a local test run: the content rendered, but the console warning appeared twice.</x:v>
      </x:c>
      <x:c r="G65" s="8" t="n">
        <x:v>0.37</x:v>
      </x:c>
      <x:c r="H65" s="8"/>
      <x:c r="I65" s="8" t="str">
        <x:v>observed</x:v>
      </x:c>
      <x:c r="J65" s="8" t="str">
        <x:v>depends on policy</x:v>
      </x:c>
      <x:c r="K65" s="8" t="str">
        <x:v>investigate</x:v>
      </x:c>
      <x:c r="L65" s="8"/>
      <x:c r="M65" s="8"/>
      <x:c r="N65" s="8"/>
      <x:c r="O65" s="8"/>
      <x:c r="P65" s="1"/>
    </x:row>
    <x:row r="66">
      <x:c r="A66" s="8" t="str">
        <x:v>proxy</x:v>
      </x:c>
      <x:c r="B66" s="8" t="str">
        <x:v>unknown</x:v>
      </x:c>
      <x:c r="C66" s="8" t="str">
        <x:v>partial</x:v>
      </x:c>
      <x:c r="D66" s="8" t="str">
        <x:v>yes</x:v>
      </x:c>
      <x:c r="E66" s="8" t="str">
        <x:v>yes</x:v>
      </x:c>
      <x:c r="F66" s="8"/>
      <x:c r="G66" s="8" t="n">
        <x:v>0.35</x:v>
      </x:c>
      <x:c r="H66" s="8" t="str">
        <x:v>https://developer.apple.com/documentation/webkit/wkwebview</x:v>
      </x:c>
      <x:c r="I66" s="8" t="str">
        <x:v>observed</x:v>
      </x:c>
      <x:c r="J66" s="8" t="str">
        <x:v>depends on policy</x:v>
      </x:c>
      <x:c r="K66" s="8" t="str">
        <x:v>none</x:v>
      </x:c>
      <x:c r="L66" s="8"/>
      <x:c r="M66" s="8"/>
      <x:c r="N66" s="8"/>
      <x:c r="O66" s="8"/>
      <x:c r="P66" s="1"/>
    </x:row>
    <x:row r="67">
      <x:c r="A67" s="8" t="str">
        <x:v>downloads</x:v>
      </x:c>
      <x:c r="B67" s="8" t="str">
        <x:v>unknown</x:v>
      </x:c>
      <x:c r="C67" s="8" t="str">
        <x:v>yes</x:v>
      </x:c>
      <x:c r="D67" s="8" t="str">
        <x:v>partial</x:v>
      </x:c>
      <x:c r="E67" s="8" t="str">
        <x:v>unknown</x:v>
      </x:c>
      <x:c r="F67" s="8"/>
      <x:c r="G67" s="8" t="n">
        <x:v>0.9</x:v>
      </x:c>
      <x:c r="H67" s="8"/>
      <x:c r="I67" s="8" t="str">
        <x:v>not tested</x:v>
      </x:c>
      <x:c r="J67" s="8" t="str">
        <x:v>not specified</x:v>
      </x:c>
      <x:c r="K67" s="8" t="str">
        <x:v>investigate</x:v>
      </x:c>
      <x:c r="L67" s="8"/>
      <x:c r="M67" s="8"/>
      <x:c r="N67" s="8"/>
      <x:c r="O67" s="8"/>
      <x:c r="P67" s="1"/>
    </x:row>
    <x:row r="68">
      <x:c r="A68" s="8" t="str">
        <x:v>cookies</x:v>
      </x:c>
      <x:c r="B68" s="8" t="str">
        <x:v>yes</x:v>
      </x:c>
      <x:c r="C68" s="8" t="str">
        <x:v>unknown</x:v>
      </x:c>
      <x:c r="D68" s="8" t="str">
        <x:v>partial</x:v>
      </x:c>
      <x:c r="E68" s="8" t="str">
        <x:v>unknown</x:v>
      </x:c>
      <x:c r="F68" s="8" t="str">
        <x:v>The bridge callback is stable for small payloads, but large JSON messages show visible delay during navigation.</x:v>
      </x:c>
      <x:c r="G68" s="8" t="n">
        <x:v>0.89</x:v>
      </x:c>
      <x:c r="H68" s="8"/>
      <x:c r="I68" s="8" t="str">
        <x:v>observed</x:v>
      </x:c>
      <x:c r="J68" s="8" t="str">
        <x:v>expected</x:v>
      </x:c>
      <x:c r="K68" s="8" t="str">
        <x:v>documentation</x:v>
      </x:c>
      <x:c r="L68" s="8"/>
      <x:c r="M68" s="8"/>
      <x:c r="N68" s="8"/>
      <x:c r="O68" s="8"/>
      <x:c r="P68" s="1"/>
    </x:row>
    <x:row r="69">
      <x:c r="A69" s="8" t="str">
        <x:v>storage</x:v>
      </x:c>
      <x:c r="B69" s="8" t="str">
        <x:v>no</x:v>
      </x:c>
      <x:c r="C69" s="8" t="str">
        <x:v>partial</x:v>
      </x:c>
      <x:c r="D69" s="8" t="str">
        <x:v>partial</x:v>
      </x:c>
      <x:c r="E69" s="8" t="str">
        <x:v>yes</x:v>
      </x:c>
      <x:c r="F69" s="8" t="str">
        <x:v>Follow-up: compare the result when the network security policy is relaxed versus when it is enforced.</x:v>
      </x:c>
      <x:c r="G69" s="8" t="n">
        <x:v>0.17</x:v>
      </x:c>
      <x:c r="H69" s="8" t="str">
        <x:v>https://developer.android.com/reference/android/webkit/WebView</x:v>
      </x:c>
      <x:c r="I69" s="8" t="str">
        <x:v>not tested</x:v>
      </x:c>
      <x:c r="J69" s="8" t="str">
        <x:v>expected</x:v>
      </x:c>
      <x:c r="K69" s="8" t="str">
        <x:v>code change</x:v>
      </x:c>
      <x:c r="L69" s="8"/>
      <x:c r="M69" s="8"/>
      <x:c r="N69" s="8"/>
      <x:c r="O69" s="8"/>
      <x:c r="P69" s="1"/>
    </x:row>
    <x:row r="70">
      <x:c r="A70" s="8" t="str">
        <x:v>deep links</x:v>
      </x:c>
      <x:c r="B70" s="8" t="str">
        <x:v>no</x:v>
      </x:c>
      <x:c r="C70" s="8" t="str">
        <x:v>partial</x:v>
      </x:c>
      <x:c r="D70" s="8" t="str">
        <x:v>yes</x:v>
      </x:c>
      <x:c r="E70" s="8" t="str">
        <x:v>unknown</x:v>
      </x:c>
      <x:c r="F70" s="8" t="str">
        <x:v>Observed in a local test run: the content rendered, but the console warning appeared twice.</x:v>
      </x:c>
      <x:c r="G70" s="8" t="n">
        <x:v>0.86</x:v>
      </x:c>
      <x:c r="H70" s="8"/>
      <x:c r="I70" s="8" t="str">
        <x:v>not tested</x:v>
      </x:c>
      <x:c r="J70" s="8" t="str">
        <x:v>expected</x:v>
      </x:c>
      <x:c r="K70" s="8" t="str">
        <x:v>investigate</x:v>
      </x:c>
      <x:c r="L70" s="8"/>
      <x:c r="M70" s="8"/>
      <x:c r="N70" s="8"/>
      <x:c r="O70" s="8"/>
      <x:c r="P70" s="1"/>
    </x:row>
    <x:row r="71">
      <x:c r="A71" s="8" t="str">
        <x:v>headers</x:v>
      </x:c>
      <x:c r="B71" s="8" t="str">
        <x:v>yes</x:v>
      </x:c>
      <x:c r="C71" s="8" t="str">
        <x:v>no</x:v>
      </x:c>
      <x:c r="D71" s="8" t="str">
        <x:v>no</x:v>
      </x:c>
      <x:c r="E71" s="8" t="str">
        <x:v>yes</x:v>
      </x:c>
      <x:c r="F71" s="8"/>
      <x:c r="G71" s="8" t="n">
        <x:v>0.59</x:v>
      </x:c>
      <x:c r="H71" s="8"/>
      <x:c r="I71" s="8" t="str">
        <x:v>not observed</x:v>
      </x:c>
      <x:c r="J71" s="8" t="str">
        <x:v>not specified</x:v>
      </x:c>
      <x:c r="K71" s="8" t="str">
        <x:v>documentation</x:v>
      </x:c>
      <x:c r="L71" s="8"/>
      <x:c r="M71" s="8"/>
      <x:c r="N71" s="8"/>
      <x:c r="O71" s="8"/>
      <x:c r="P71" s="1"/>
    </x:row>
    <x:row r="72">
      <x:c r="A72" s="8" t="str">
        <x:v>cookies</x:v>
      </x:c>
      <x:c r="B72" s="8" t="str">
        <x:v>partial</x:v>
      </x:c>
      <x:c r="C72" s="8" t="str">
        <x:v>no</x:v>
      </x:c>
      <x:c r="D72" s="8" t="str">
        <x:v>no</x:v>
      </x:c>
      <x:c r="E72" s="8" t="str">
        <x:v>partial</x:v>
      </x:c>
      <x:c r="F72" s="8" t="str">
        <x:v>Observed in a local test run: the content rendered, but the console warning appeared twice.</x:v>
      </x:c>
      <x:c r="G72" s="8" t="n">
        <x:v>0.37</x:v>
      </x:c>
      <x:c r="H72" s="8" t="str">
        <x:v>https://learn.microsoft.com/en-us/microsoft-edge/webview2/concepts/security</x:v>
      </x:c>
      <x:c r="I72" s="8" t="str">
        <x:v>intermittent</x:v>
      </x:c>
      <x:c r="J72" s="8" t="str">
        <x:v>expected</x:v>
      </x:c>
      <x:c r="K72" s="8" t="str">
        <x:v>none</x:v>
      </x:c>
      <x:c r="L72" s="8"/>
      <x:c r="M72" s="8"/>
      <x:c r="N72" s="8"/>
      <x:c r="O72" s="8"/>
      <x:c r="P72" s="1"/>
    </x:row>
    <x:row r="73">
      <x:c r="A73" s="8" t="str">
        <x:v>cookies</x:v>
      </x:c>
      <x:c r="B73" s="8" t="str">
        <x:v>yes</x:v>
      </x:c>
      <x:c r="C73" s="8" t="str">
        <x:v>no</x:v>
      </x:c>
      <x:c r="D73" s="8" t="str">
        <x:v>yes</x:v>
      </x:c>
      <x:c r="E73" s="8" t="str">
        <x:v>partial</x:v>
      </x:c>
      <x:c r="F73" s="8" t="str">
        <x:v>The owner field was not captured in the original notes, so classification should remain conservative.</x:v>
      </x:c>
      <x:c r="G73" s="8" t="n">
        <x:v>0.1</x:v>
      </x:c>
      <x:c r="H73" s="8" t="str">
        <x:v>https://developer.microsoft.com/en-us/microsoft-edge/webview2/</x:v>
      </x:c>
      <x:c r="I73" s="8" t="str">
        <x:v>observed</x:v>
      </x:c>
      <x:c r="J73" s="8" t="str">
        <x:v>expected</x:v>
      </x:c>
      <x:c r="K73" s="8" t="str">
        <x:v>documentation</x:v>
      </x:c>
      <x:c r="L73" s="8"/>
      <x:c r="M73" s="8"/>
      <x:c r="N73" s="8"/>
      <x:c r="O73" s="8"/>
      <x:c r="P73" s="1"/>
    </x:row>
    <x:row r="74">
      <x:c r="A74" s="8" t="str">
        <x:v>history</x:v>
      </x:c>
      <x:c r="B74" s="8" t="str">
        <x:v>yes</x:v>
      </x:c>
      <x:c r="C74" s="8" t="str">
        <x:v>unknown</x:v>
      </x:c>
      <x:c r="D74" s="8" t="str">
        <x:v>partial</x:v>
      </x:c>
      <x:c r="E74" s="8" t="str">
        <x:v>unknown</x:v>
      </x:c>
      <x:c r="F74" s="8" t="str">
        <x:v>The bridge callback is stable for small payloads, but large JSON messages show visible delay during navigation.</x:v>
      </x:c>
      <x:c r="G74" s="8" t="n">
        <x:v>0.05</x:v>
      </x:c>
      <x:c r="H74" s="8" t="str">
        <x:v>https://developer.android.com/reference/android/webkit/WebView</x:v>
      </x:c>
      <x:c r="I74" s="8" t="str">
        <x:v>observed</x:v>
      </x:c>
      <x:c r="J74" s="8" t="str">
        <x:v>not specified</x:v>
      </x:c>
      <x:c r="K74" s="8" t="str">
        <x:v>investigate</x:v>
      </x:c>
      <x:c r="L74" s="8"/>
      <x:c r="M74" s="8"/>
      <x:c r="N74" s="8"/>
      <x:c r="O74" s="8"/>
      <x:c r="P74" s="1"/>
    </x:row>
    <x:row r="75">
      <x:c r="A75" s="8" t="str">
        <x:v>storage</x:v>
      </x:c>
      <x:c r="B75" s="8" t="str">
        <x:v>partial</x:v>
      </x:c>
      <x:c r="C75" s="8" t="str">
        <x:v>partial</x:v>
      </x:c>
      <x:c r="D75" s="8" t="str">
        <x:v>unknown</x:v>
      </x:c>
      <x:c r="E75" s="8" t="str">
        <x:v>unknown</x:v>
      </x:c>
      <x:c r="F75" s="8" t="str">
        <x:v>A blank cell here is intentional. The source workbook has notes placed away from the nearest table.</x:v>
      </x:c>
      <x:c r="G75" s="8" t="n">
        <x:v>0.85</x:v>
      </x:c>
      <x:c r="H75" s="8" t="str">
        <x:v>https://github.com/react-native-webview/react-native-webview</x:v>
      </x:c>
      <x:c r="I75" s="8" t="str">
        <x:v>not tested</x:v>
      </x:c>
      <x:c r="J75" s="8" t="str">
        <x:v>depends on policy</x:v>
      </x:c>
      <x:c r="K75" s="8" t="str">
        <x:v>investigate</x:v>
      </x:c>
      <x:c r="L75" s="8"/>
      <x:c r="M75" s="8"/>
      <x:c r="N75" s="8"/>
      <x:c r="O75" s="8"/>
      <x:c r="P75" s="1"/>
    </x:row>
    <x:row r="76">
      <x:c r="A76" s="8"/>
      <x:c r="B76" s="8"/>
      <x:c r="C76" s="8"/>
      <x:c r="D76" s="8"/>
      <x:c r="E76" s="8"/>
      <x:c r="F76" s="8"/>
      <x:c r="G76" s="8"/>
      <x:c r="H76" s="8"/>
      <x:c r="I76" s="8"/>
      <x:c r="J76" s="8"/>
      <x:c r="K76" s="8"/>
      <x:c r="L76" s="8"/>
      <x:c r="M76" s="8"/>
      <x:c r="N76" s="8"/>
      <x:c r="O76" s="8"/>
      <x:c r="P76" s="1"/>
    </x:row>
    <x:row r="77">
      <x:c r="A77" s="8" t="str">
        <x:v>file input</x:v>
      </x:c>
      <x:c r="B77" s="8" t="str">
        <x:v>no</x:v>
      </x:c>
      <x:c r="C77" s="8" t="str">
        <x:v>no</x:v>
      </x:c>
      <x:c r="D77" s="8" t="str">
        <x:v>unknown</x:v>
      </x:c>
      <x:c r="E77" s="8" t="str">
        <x:v>no</x:v>
      </x:c>
      <x:c r="F77" s="8" t="str">
        <x:v>A blank cell here is intentional. The source workbook has notes placed away from the nearest table.</x:v>
      </x:c>
      <x:c r="G77" s="8" t="n">
        <x:v>0.09</x:v>
      </x:c>
      <x:c r="H77" s="8"/>
      <x:c r="I77" s="8" t="str">
        <x:v>observed</x:v>
      </x:c>
      <x:c r="J77" s="8" t="str">
        <x:v>not specified</x:v>
      </x:c>
      <x:c r="K77" s="8" t="str">
        <x:v>code change</x:v>
      </x:c>
      <x:c r="L77" s="8"/>
      <x:c r="M77" s="8"/>
      <x:c r="N77" s="8"/>
      <x:c r="O77" s="8"/>
      <x:c r="P77" s="1"/>
    </x:row>
    <x:row r="78">
      <x:c r="A78" s="8" t="str">
        <x:v>downloads</x:v>
      </x:c>
      <x:c r="B78" s="8" t="str">
        <x:v>partial</x:v>
      </x:c>
      <x:c r="C78" s="8" t="str">
        <x:v>no</x:v>
      </x:c>
      <x:c r="D78" s="8" t="str">
        <x:v>yes</x:v>
      </x:c>
      <x:c r="E78" s="8" t="str">
        <x:v>yes</x:v>
      </x:c>
      <x:c r="F78" s="8"/>
      <x:c r="G78" s="8" t="n">
        <x:v>0.72</x:v>
      </x:c>
      <x:c r="H78" s="8"/>
      <x:c r="I78" s="8" t="str">
        <x:v>not observed</x:v>
      </x:c>
      <x:c r="J78" s="8" t="str">
        <x:v>not specified</x:v>
      </x:c>
      <x:c r="K78" s="8" t="str">
        <x:v>code change</x:v>
      </x:c>
      <x:c r="L78" s="8"/>
      <x:c r="M78" s="8"/>
      <x:c r="N78" s="8"/>
      <x:c r="O78" s="8"/>
      <x:c r="P78" s="1"/>
    </x:row>
    <x:row r="79">
      <x:c r="A79" s="8" t="str">
        <x:v>deep links</x:v>
      </x:c>
      <x:c r="B79" s="8" t="str">
        <x:v>unknown</x:v>
      </x:c>
      <x:c r="C79" s="8" t="str">
        <x:v>unknown</x:v>
      </x:c>
      <x:c r="D79" s="8" t="str">
        <x:v>no</x:v>
      </x:c>
      <x:c r="E79" s="8" t="str">
        <x:v>yes</x:v>
      </x:c>
      <x:c r="F79" s="8" t="str">
        <x:v>Observed in a local test run: the content rendered, but the console warning appeared twice.</x:v>
      </x:c>
      <x:c r="G79" s="8" t="n">
        <x:v>0.61</x:v>
      </x:c>
      <x:c r="H79" s="8" t="str">
        <x:v>https://developer.android.com/reference/android/webkit/WebView</x:v>
      </x:c>
      <x:c r="I79" s="8" t="str">
        <x:v>intermittent</x:v>
      </x:c>
      <x:c r="J79" s="8" t="str">
        <x:v>not specified</x:v>
      </x:c>
      <x:c r="K79" s="8" t="str">
        <x:v>none</x:v>
      </x:c>
      <x:c r="L79" s="8"/>
      <x:c r="M79" s="8"/>
      <x:c r="N79" s="8"/>
      <x:c r="O79" s="8"/>
      <x:c r="P79" s="1"/>
    </x:row>
    <x:row r="80">
      <x:c r="A80" s="8" t="str">
        <x:v>storage</x:v>
      </x:c>
      <x:c r="B80" s="8" t="str">
        <x:v>yes</x:v>
      </x:c>
      <x:c r="C80" s="8" t="str">
        <x:v>unknown</x:v>
      </x:c>
      <x:c r="D80" s="8" t="str">
        <x:v>no</x:v>
      </x:c>
      <x:c r="E80" s="8" t="str">
        <x:v>partial</x:v>
      </x:c>
      <x:c r="F80" s="8" t="str">
        <x:v>This sentence is long enough to exercise wrapping and downstream chunk boundaries in Markdown output.</x:v>
      </x:c>
      <x:c r="G80" s="8" t="n">
        <x:v>0.61</x:v>
      </x:c>
      <x:c r="H80" s="8"/>
      <x:c r="I80" s="8" t="str">
        <x:v>intermittent</x:v>
      </x:c>
      <x:c r="J80" s="8" t="str">
        <x:v>not specified</x:v>
      </x:c>
      <x:c r="K80" s="8" t="str">
        <x:v>investigate</x:v>
      </x:c>
      <x:c r="L80" s="8"/>
      <x:c r="M80" s="8"/>
      <x:c r="N80" s="8"/>
      <x:c r="O80" s="8"/>
      <x:c r="P80" s="1"/>
    </x:row>
    <x:row r="81">
      <x:c r="A81" s="8" t="str">
        <x:v>history</x:v>
      </x:c>
      <x:c r="B81" s="8" t="str">
        <x:v>no</x:v>
      </x:c>
      <x:c r="C81" s="8" t="str">
        <x:v>partial</x:v>
      </x:c>
      <x:c r="D81" s="8" t="str">
        <x:v>unknown</x:v>
      </x:c>
      <x:c r="E81" s="8" t="str">
        <x:v>yes</x:v>
      </x:c>
      <x:c r="F81" s="8"/>
      <x:c r="G81" s="8" t="n">
        <x:v>0.52</x:v>
      </x:c>
      <x:c r="H81" s="8" t="str">
        <x:v>https://learn.microsoft.com/en-us/microsoft-edge/webview2/concepts/security</x:v>
      </x:c>
      <x:c r="I81" s="8" t="str">
        <x:v>intermittent</x:v>
      </x:c>
      <x:c r="J81" s="8" t="str">
        <x:v>expected</x:v>
      </x:c>
      <x:c r="K81" s="8" t="str">
        <x:v>documentation</x:v>
      </x:c>
      <x:c r="L81" s="8"/>
      <x:c r="M81" s="8"/>
      <x:c r="N81" s="8"/>
      <x:c r="O81" s="8"/>
      <x:c r="P81" s="1"/>
    </x:row>
    <x:row r="82">
      <x:c r="A82" s="8" t="str">
        <x:v>file input</x:v>
      </x:c>
      <x:c r="B82" s="8" t="str">
        <x:v>unknown</x:v>
      </x:c>
      <x:c r="C82" s="8" t="str">
        <x:v>partial</x:v>
      </x:c>
      <x:c r="D82" s="8" t="str">
        <x:v>no</x:v>
      </x:c>
      <x:c r="E82" s="8" t="str">
        <x:v>partial</x:v>
      </x:c>
      <x:c r="F82" s="8" t="str">
        <x:v>Potential duplicate: this paragraph is repeated in another section to test deduplication and chunk metadata.</x:v>
      </x:c>
      <x:c r="G82" s="8" t="n">
        <x:v>0.62</x:v>
      </x:c>
      <x:c r="H82" s="8"/>
      <x:c r="I82" s="8" t="str">
        <x:v>not tested</x:v>
      </x:c>
      <x:c r="J82" s="8" t="str">
        <x:v>not specified</x:v>
      </x:c>
      <x:c r="K82" s="8" t="str">
        <x:v>code change</x:v>
      </x:c>
      <x:c r="L82" s="8"/>
      <x:c r="M82" s="8"/>
      <x:c r="N82" s="8"/>
      <x:c r="O82" s="8"/>
      <x:c r="P82" s="1"/>
    </x:row>
    <x:row r="83">
      <x:c r="A83" s="8" t="str">
        <x:v>file input</x:v>
      </x:c>
      <x:c r="B83" s="8" t="str">
        <x:v>no</x:v>
      </x:c>
      <x:c r="C83" s="8" t="str">
        <x:v>yes</x:v>
      </x:c>
      <x:c r="D83" s="8" t="str">
        <x:v>partial</x:v>
      </x:c>
      <x:c r="E83" s="8" t="str">
        <x:v>partial</x:v>
      </x:c>
      <x:c r="F83" s="8"/>
      <x:c r="G83" s="8" t="n">
        <x:v>0.96</x:v>
      </x:c>
      <x:c r="H83" s="8" t="str">
        <x:v>https://learn.microsoft.com/en-us/microsoft-edge/webview2/concepts/security</x:v>
      </x:c>
      <x:c r="I83" s="8" t="str">
        <x:v>observed</x:v>
      </x:c>
      <x:c r="J83" s="8" t="str">
        <x:v>not specified</x:v>
      </x:c>
      <x:c r="K83" s="8" t="str">
        <x:v>investigate</x:v>
      </x:c>
      <x:c r="L83" s="8"/>
      <x:c r="M83" s="8"/>
      <x:c r="N83" s="8"/>
      <x:c r="O83" s="8"/>
      <x:c r="P83" s="1"/>
    </x:row>
    <x:row r="84">
      <x:c r="A84" s="8" t="str">
        <x:v>cookies</x:v>
      </x:c>
      <x:c r="B84" s="8" t="str">
        <x:v>unknown</x:v>
      </x:c>
      <x:c r="C84" s="8" t="str">
        <x:v>partial</x:v>
      </x:c>
      <x:c r="D84" s="8" t="str">
        <x:v>unknown</x:v>
      </x:c>
      <x:c r="E84" s="8" t="str">
        <x:v>unknown</x:v>
      </x:c>
      <x:c r="F84" s="8"/>
      <x:c r="G84" s="8" t="n">
        <x:v>0.36</x:v>
      </x:c>
      <x:c r="H84" s="8"/>
      <x:c r="I84" s="8" t="str">
        <x:v>not tested</x:v>
      </x:c>
      <x:c r="J84" s="8" t="str">
        <x:v>depends on policy</x:v>
      </x:c>
      <x:c r="K84" s="8" t="str">
        <x:v>code change</x:v>
      </x:c>
      <x:c r="L84" s="8"/>
      <x:c r="M84" s="8"/>
      <x:c r="N84" s="8"/>
      <x:c r="O84" s="8"/>
      <x:c r="P84" s="1"/>
    </x:row>
    <x:row r="85">
      <x:c r="A85" s="8" t="str">
        <x:v>headers</x:v>
      </x:c>
      <x:c r="B85" s="8" t="str">
        <x:v>partial</x:v>
      </x:c>
      <x:c r="C85" s="8" t="str">
        <x:v>no</x:v>
      </x:c>
      <x:c r="D85" s="8" t="str">
        <x:v>no</x:v>
      </x:c>
      <x:c r="E85" s="8" t="str">
        <x:v>unknown</x:v>
      </x:c>
      <x:c r="F85" s="8" t="str">
        <x:v>A blank cell here is intentional. The source workbook has notes placed away from the nearest table.</x:v>
      </x:c>
      <x:c r="G85" s="8" t="n">
        <x:v>0.98</x:v>
      </x:c>
      <x:c r="H85" s="8"/>
      <x:c r="I85" s="8" t="str">
        <x:v>not tested</x:v>
      </x:c>
      <x:c r="J85" s="8" t="str">
        <x:v>expected</x:v>
      </x:c>
      <x:c r="K85" s="8" t="str">
        <x:v>investigate</x:v>
      </x:c>
      <x:c r="L85" s="8"/>
      <x:c r="M85" s="8"/>
      <x:c r="N85" s="8"/>
      <x:c r="O85" s="8"/>
      <x:c r="P85" s="1"/>
    </x:row>
    <x:row r="86">
      <x:c r="A86" s="8" t="str">
        <x:v>headers</x:v>
      </x:c>
      <x:c r="B86" s="8" t="str">
        <x:v>partial</x:v>
      </x:c>
      <x:c r="C86" s="8" t="str">
        <x:v>unknown</x:v>
      </x:c>
      <x:c r="D86" s="8" t="str">
        <x:v>no</x:v>
      </x:c>
      <x:c r="E86" s="8" t="str">
        <x:v>yes</x:v>
      </x:c>
      <x:c r="F86" s="8"/>
      <x:c r="G86" s="8" t="n">
        <x:v>0.39</x:v>
      </x:c>
      <x:c r="H86" s="8"/>
      <x:c r="I86" s="8" t="str">
        <x:v>not tested</x:v>
      </x:c>
      <x:c r="J86" s="8" t="str">
        <x:v>not specified</x:v>
      </x:c>
      <x:c r="K86" s="8" t="str">
        <x:v>documentation</x:v>
      </x:c>
      <x:c r="L86" s="8"/>
      <x:c r="M86" s="8"/>
      <x:c r="N86" s="8"/>
      <x:c r="O86" s="8"/>
      <x:c r="P86" s="1"/>
    </x:row>
    <x:row r="87">
      <x:c r="A87" s="8" t="str">
        <x:v>file input</x:v>
      </x:c>
      <x:c r="B87" s="8" t="str">
        <x:v>no</x:v>
      </x:c>
      <x:c r="C87" s="8" t="str">
        <x:v>no</x:v>
      </x:c>
      <x:c r="D87" s="8" t="str">
        <x:v>no</x:v>
      </x:c>
      <x:c r="E87" s="8" t="str">
        <x:v>partial</x:v>
      </x:c>
      <x:c r="F87" s="8" t="str">
        <x:v>This sentence is long enough to exercise wrapping and downstream chunk boundaries in Markdown output.</x:v>
      </x:c>
      <x:c r="G87" s="8" t="n">
        <x:v>0.67</x:v>
      </x:c>
      <x:c r="H87" s="8"/>
      <x:c r="I87" s="8" t="str">
        <x:v>observed</x:v>
      </x:c>
      <x:c r="J87" s="8" t="str">
        <x:v>not specified</x:v>
      </x:c>
      <x:c r="K87" s="8" t="str">
        <x:v>documentation</x:v>
      </x:c>
      <x:c r="L87" s="8"/>
      <x:c r="M87" s="8"/>
      <x:c r="N87" s="8"/>
      <x:c r="O87" s="8"/>
      <x:c r="P87" s="1"/>
    </x:row>
    <x:row r="88">
      <x:c r="A88" s="8" t="str">
        <x:v>history</x:v>
      </x:c>
      <x:c r="B88" s="8" t="str">
        <x:v>yes</x:v>
      </x:c>
      <x:c r="C88" s="8" t="str">
        <x:v>partial</x:v>
      </x:c>
      <x:c r="D88" s="8" t="str">
        <x:v>unknown</x:v>
      </x:c>
      <x:c r="E88" s="8" t="str">
        <x:v>unknown</x:v>
      </x:c>
      <x:c r="F88" s="8" t="str">
        <x:v>Verify behavior on a cold start and after the page reloads without destroying the native view.</x:v>
      </x:c>
      <x:c r="G88" s="8" t="n">
        <x:v>0.03</x:v>
      </x:c>
      <x:c r="H88" s="8" t="str">
        <x:v>https://developer.android.com/reference/android/webkit/WebView</x:v>
      </x:c>
      <x:c r="I88" s="8" t="str">
        <x:v>observed</x:v>
      </x:c>
      <x:c r="J88" s="8" t="str">
        <x:v>expected</x:v>
      </x:c>
      <x:c r="K88" s="8" t="str">
        <x:v>code change</x:v>
      </x:c>
      <x:c r="L88" s="8"/>
      <x:c r="M88" s="8"/>
      <x:c r="N88" s="8"/>
      <x:c r="O88" s="8"/>
      <x:c r="P88" s="1"/>
    </x:row>
    <x:row r="89">
      <x:c r="A89" s="8" t="str">
        <x:v>TLS</x:v>
      </x:c>
      <x:c r="B89" s="8" t="str">
        <x:v>partial</x:v>
      </x:c>
      <x:c r="C89" s="8" t="str">
        <x:v>unknown</x:v>
      </x:c>
      <x:c r="D89" s="8" t="str">
        <x:v>partial</x:v>
      </x:c>
      <x:c r="E89" s="8" t="str">
        <x:v>no</x:v>
      </x:c>
      <x:c r="F89" s="8" t="str">
        <x:v>A blank cell here is intentional. The source workbook has notes placed away from the nearest table.</x:v>
      </x:c>
      <x:c r="G89" s="8" t="n">
        <x:v>0.86</x:v>
      </x:c>
      <x:c r="H89" s="8"/>
      <x:c r="I89" s="8" t="str">
        <x:v>intermittent</x:v>
      </x:c>
      <x:c r="J89" s="8" t="str">
        <x:v>depends on policy</x:v>
      </x:c>
      <x:c r="K89" s="8" t="str">
        <x:v>documentation</x:v>
      </x:c>
      <x:c r="L89" s="8"/>
      <x:c r="M89" s="8"/>
      <x:c r="N89" s="8"/>
      <x:c r="O89" s="8"/>
      <x:c r="P89" s="1"/>
    </x:row>
    <x:row r="90">
      <x:c r="A90" s="8" t="str">
        <x:v>deep links</x:v>
      </x:c>
      <x:c r="B90" s="8" t="str">
        <x:v>unknown</x:v>
      </x:c>
      <x:c r="C90" s="8" t="str">
        <x:v>unknown</x:v>
      </x:c>
      <x:c r="D90" s="8" t="str">
        <x:v>unknown</x:v>
      </x:c>
      <x:c r="E90" s="8" t="str">
        <x:v>yes</x:v>
      </x:c>
      <x:c r="F90" s="8" t="str">
        <x:v>Follow-up: compare the result when the network security policy is relaxed versus when it is enforced.</x:v>
      </x:c>
      <x:c r="G90" s="8" t="n">
        <x:v>0.64</x:v>
      </x:c>
      <x:c r="H90" s="8"/>
      <x:c r="I90" s="8" t="str">
        <x:v>not observed</x:v>
      </x:c>
      <x:c r="J90" s="8" t="str">
        <x:v>expected</x:v>
      </x:c>
      <x:c r="K90" s="8" t="str">
        <x:v>code change</x:v>
      </x:c>
      <x:c r="L90" s="8"/>
      <x:c r="M90" s="8"/>
      <x:c r="N90" s="8"/>
      <x:c r="O90" s="8"/>
      <x:c r="P90" s="1"/>
    </x:row>
    <x:row r="91">
      <x:c r="A91" s="8" t="str">
        <x:v>cookies</x:v>
      </x:c>
      <x:c r="B91" s="8" t="str">
        <x:v>no</x:v>
      </x:c>
      <x:c r="C91" s="8" t="str">
        <x:v>yes</x:v>
      </x:c>
      <x:c r="D91" s="8" t="str">
        <x:v>partial</x:v>
      </x:c>
      <x:c r="E91" s="8" t="str">
        <x:v>partial</x:v>
      </x:c>
      <x:c r="F91" s="8" t="str">
        <x:v>The owner field was not captured in the original notes, so classification should remain conservative.</x:v>
      </x:c>
      <x:c r="G91" s="8" t="n">
        <x:v>0.51</x:v>
      </x:c>
      <x:c r="H91" s="8" t="str">
        <x:v>https://developer.apple.com/documentation/webkit/wkwebview</x:v>
      </x:c>
      <x:c r="I91" s="8" t="str">
        <x:v>intermittent</x:v>
      </x:c>
      <x:c r="J91" s="8" t="str">
        <x:v>depends on policy</x:v>
      </x:c>
      <x:c r="K91" s="8" t="str">
        <x:v>investigate</x:v>
      </x:c>
      <x:c r="L91" s="8"/>
      <x:c r="M91" s="8"/>
      <x:c r="N91" s="8"/>
      <x:c r="O91" s="8"/>
      <x:c r="P91" s="1"/>
    </x:row>
    <x:row r="92">
      <x:c r="A92" s="8" t="str">
        <x:v>headers</x:v>
      </x:c>
      <x:c r="B92" s="8" t="str">
        <x:v>yes</x:v>
      </x:c>
      <x:c r="C92" s="8" t="str">
        <x:v>unknown</x:v>
      </x:c>
      <x:c r="D92" s="8" t="str">
        <x:v>partial</x:v>
      </x:c>
      <x:c r="E92" s="8" t="str">
        <x:v>partial</x:v>
      </x:c>
      <x:c r="F92" s="8" t="str">
        <x:v>Verify behavior on a cold start and after the page reloads without destroying the native view.</x:v>
      </x:c>
      <x:c r="G92" s="8" t="n">
        <x:v>0.93</x:v>
      </x:c>
      <x:c r="H92" s="8"/>
      <x:c r="I92" s="8" t="str">
        <x:v>not observed</x:v>
      </x:c>
      <x:c r="J92" s="8" t="str">
        <x:v>not specified</x:v>
      </x:c>
      <x:c r="K92" s="8" t="str">
        <x:v>investigate</x:v>
      </x:c>
      <x:c r="L92" s="8"/>
      <x:c r="M92" s="8"/>
      <x:c r="N92" s="8"/>
      <x:c r="O92" s="8"/>
      <x:c r="P92" s="1"/>
    </x:row>
    <x:row r="93">
      <x:c r="A93" s="8" t="str">
        <x:v>file input</x:v>
      </x:c>
      <x:c r="B93" s="8" t="str">
        <x:v>unknown</x:v>
      </x:c>
      <x:c r="C93" s="8" t="str">
        <x:v>yes</x:v>
      </x:c>
      <x:c r="D93" s="8" t="str">
        <x:v>partial</x:v>
      </x:c>
      <x:c r="E93" s="8" t="str">
        <x:v>yes</x:v>
      </x:c>
      <x:c r="F93" s="8" t="str">
        <x:v>Potential duplicate: this paragraph is repeated in another section to test deduplication and chunk metadata.</x:v>
      </x:c>
      <x:c r="G93" s="8" t="n">
        <x:v>0.87</x:v>
      </x:c>
      <x:c r="H93" s="8" t="str">
        <x:v>https://developer.android.com/reference/android/webkit/WebView</x:v>
      </x:c>
      <x:c r="I93" s="8" t="str">
        <x:v>not observed</x:v>
      </x:c>
      <x:c r="J93" s="8" t="str">
        <x:v>expected</x:v>
      </x:c>
      <x:c r="K93" s="8" t="str">
        <x:v>code change</x:v>
      </x:c>
      <x:c r="L93" s="8"/>
      <x:c r="M93" s="8"/>
      <x:c r="N93" s="8"/>
      <x:c r="O93" s="8"/>
      <x:c r="P93" s="1"/>
    </x:row>
    <x:row r="94">
      <x:c r="A94" s="8"/>
      <x:c r="B94" s="8"/>
      <x:c r="C94" s="8"/>
      <x:c r="D94" s="8"/>
      <x:c r="E94" s="8"/>
      <x:c r="F94" s="8"/>
      <x:c r="G94" s="8"/>
      <x:c r="H94" s="8"/>
      <x:c r="I94" s="8"/>
      <x:c r="J94" s="8"/>
      <x:c r="K94" s="8"/>
      <x:c r="L94" s="8"/>
      <x:c r="M94" s="8"/>
      <x:c r="N94" s="8"/>
      <x:c r="O94" s="8"/>
      <x:c r="P94" s="1"/>
    </x:row>
    <x:row r="95">
      <x:c r="A95" s="8" t="str">
        <x:v>downloads</x:v>
      </x:c>
      <x:c r="B95" s="8" t="str">
        <x:v>yes</x:v>
      </x:c>
      <x:c r="C95" s="8" t="str">
        <x:v>partial</x:v>
      </x:c>
      <x:c r="D95" s="8" t="str">
        <x:v>partial</x:v>
      </x:c>
      <x:c r="E95" s="8" t="str">
        <x:v>unknown</x:v>
      </x:c>
      <x:c r="F95" s="8" t="str">
        <x:v>Potential duplicate: this paragraph is repeated in another section to test deduplication and chunk metadata.</x:v>
      </x:c>
      <x:c r="G95" s="8" t="n">
        <x:v>0.49</x:v>
      </x:c>
      <x:c r="H95" s="8" t="str">
        <x:v>https://learn.microsoft.com/en-us/microsoft-edge/webview2/concepts/security</x:v>
      </x:c>
      <x:c r="I95" s="8" t="str">
        <x:v>not observed</x:v>
      </x:c>
      <x:c r="J95" s="8" t="str">
        <x:v>expected</x:v>
      </x:c>
      <x:c r="K95" s="8" t="str">
        <x:v>code change</x:v>
      </x:c>
      <x:c r="L95" s="8"/>
      <x:c r="M95" s="8"/>
      <x:c r="N95" s="8"/>
      <x:c r="O95" s="8"/>
      <x:c r="P95" s="1"/>
    </x:row>
    <x:row r="96">
      <x:c r="A96" s="8" t="str">
        <x:v>proxy</x:v>
      </x:c>
      <x:c r="B96" s="8" t="str">
        <x:v>partial</x:v>
      </x:c>
      <x:c r="C96" s="8" t="str">
        <x:v>partial</x:v>
      </x:c>
      <x:c r="D96" s="8" t="str">
        <x:v>no</x:v>
      </x:c>
      <x:c r="E96" s="8" t="str">
        <x:v>partial</x:v>
      </x:c>
      <x:c r="F96" s="8" t="str">
        <x:v>The bridge callback is stable for small payloads, but large JSON messages show visible delay during navigation.</x:v>
      </x:c>
      <x:c r="G96" s="8" t="n">
        <x:v>0.6</x:v>
      </x:c>
      <x:c r="H96" s="8"/>
      <x:c r="I96" s="8" t="str">
        <x:v>not observed</x:v>
      </x:c>
      <x:c r="J96" s="8" t="str">
        <x:v>expected</x:v>
      </x:c>
      <x:c r="K96" s="8" t="str">
        <x:v>code change</x:v>
      </x:c>
      <x:c r="L96" s="8"/>
      <x:c r="M96" s="8"/>
      <x:c r="N96" s="8"/>
      <x:c r="O96" s="8"/>
      <x:c r="P96" s="1"/>
    </x:row>
    <x:row r="97">
      <x:c r="A97" s="8" t="str">
        <x:v>media</x:v>
      </x:c>
      <x:c r="B97" s="8" t="str">
        <x:v>no</x:v>
      </x:c>
      <x:c r="C97" s="8" t="str">
        <x:v>yes</x:v>
      </x:c>
      <x:c r="D97" s="8" t="str">
        <x:v>unknown</x:v>
      </x:c>
      <x:c r="E97" s="8" t="str">
        <x:v>partial</x:v>
      </x:c>
      <x:c r="F97" s="8" t="str">
        <x:v>Verify behavior on a cold start and after the page reloads without destroying the native view.</x:v>
      </x:c>
      <x:c r="G97" s="8" t="n">
        <x:v>0.78</x:v>
      </x:c>
      <x:c r="H97" s="8"/>
      <x:c r="I97" s="8" t="str">
        <x:v>observed</x:v>
      </x:c>
      <x:c r="J97" s="8" t="str">
        <x:v>depends on policy</x:v>
      </x:c>
      <x:c r="K97" s="8" t="str">
        <x:v>investigate</x:v>
      </x:c>
      <x:c r="L97" s="8"/>
      <x:c r="M97" s="8"/>
      <x:c r="N97" s="8"/>
      <x:c r="O97" s="8"/>
      <x:c r="P97" s="1"/>
    </x:row>
    <x:row r="98">
      <x:c r="A98" s="8" t="str">
        <x:v>proxy</x:v>
      </x:c>
      <x:c r="B98" s="8" t="str">
        <x:v>no</x:v>
      </x:c>
      <x:c r="C98" s="8" t="str">
        <x:v>yes</x:v>
      </x:c>
      <x:c r="D98" s="8" t="str">
        <x:v>no</x:v>
      </x:c>
      <x:c r="E98" s="8" t="str">
        <x:v>unknown</x:v>
      </x:c>
      <x:c r="F98" s="8"/>
      <x:c r="G98" s="8" t="n">
        <x:v>0.87</x:v>
      </x:c>
      <x:c r="H98" s="8" t="str">
        <x:v>https://developer.apple.com/documentation/webkit/wkwebview</x:v>
      </x:c>
      <x:c r="I98" s="8" t="str">
        <x:v>not observed</x:v>
      </x:c>
      <x:c r="J98" s="8" t="str">
        <x:v>depends on policy</x:v>
      </x:c>
      <x:c r="K98" s="8" t="str">
        <x:v>investigate</x:v>
      </x:c>
      <x:c r="L98" s="8"/>
      <x:c r="M98" s="8"/>
      <x:c r="N98" s="8"/>
      <x:c r="O98" s="8"/>
      <x:c r="P98" s="1"/>
    </x:row>
    <x:row r="99">
      <x:c r="A99" s="8" t="str">
        <x:v>cookies</x:v>
      </x:c>
      <x:c r="B99" s="8" t="str">
        <x:v>yes</x:v>
      </x:c>
      <x:c r="C99" s="8" t="str">
        <x:v>unknown</x:v>
      </x:c>
      <x:c r="D99" s="8" t="str">
        <x:v>yes</x:v>
      </x:c>
      <x:c r="E99" s="8" t="str">
        <x:v>no</x:v>
      </x:c>
      <x:c r="F99" s="8"/>
      <x:c r="G99" s="8" t="n">
        <x:v>0.03</x:v>
      </x:c>
      <x:c r="H99" s="8" t="str">
        <x:v>https://github.com/react-native-webview/react-native-webview</x:v>
      </x:c>
      <x:c r="I99" s="8" t="str">
        <x:v>intermittent</x:v>
      </x:c>
      <x:c r="J99" s="8" t="str">
        <x:v>depends on policy</x:v>
      </x:c>
      <x:c r="K99" s="8" t="str">
        <x:v>code change</x:v>
      </x:c>
      <x:c r="L99" s="8"/>
      <x:c r="M99" s="8"/>
      <x:c r="N99" s="8"/>
      <x:c r="O99" s="8"/>
      <x:c r="P99" s="1"/>
    </x:row>
    <x:row r="100">
      <x:c r="A100" s="8" t="str">
        <x:v>storage</x:v>
      </x:c>
      <x:c r="B100" s="8" t="str">
        <x:v>partial</x:v>
      </x:c>
      <x:c r="C100" s="8" t="str">
        <x:v>no</x:v>
      </x:c>
      <x:c r="D100" s="8" t="str">
        <x:v>unknown</x:v>
      </x:c>
      <x:c r="E100" s="8" t="str">
        <x:v>partial</x:v>
      </x:c>
      <x:c r="F100" s="8" t="str">
        <x:v>The owner field was not captured in the original notes, so classification should remain conservative.</x:v>
      </x:c>
      <x:c r="G100" s="8" t="n">
        <x:v>0.81</x:v>
      </x:c>
      <x:c r="H100" s="8"/>
      <x:c r="I100" s="8" t="str">
        <x:v>intermittent</x:v>
      </x:c>
      <x:c r="J100" s="8" t="str">
        <x:v>expected</x:v>
      </x:c>
      <x:c r="K100" s="8" t="str">
        <x:v>investigate</x:v>
      </x:c>
      <x:c r="L100" s="8"/>
      <x:c r="M100" s="8"/>
      <x:c r="N100" s="8"/>
      <x:c r="O100" s="8"/>
      <x:c r="P100" s="1"/>
    </x:row>
    <x:row r="101">
      <x:c r="A101" s="8" t="str">
        <x:v>TLS</x:v>
      </x:c>
      <x:c r="B101" s="8" t="str">
        <x:v>partial</x:v>
      </x:c>
      <x:c r="C101" s="8" t="str">
        <x:v>unknown</x:v>
      </x:c>
      <x:c r="D101" s="8" t="str">
        <x:v>no</x:v>
      </x:c>
      <x:c r="E101" s="8" t="str">
        <x:v>yes</x:v>
      </x:c>
      <x:c r="F101" s="8"/>
      <x:c r="G101" s="8" t="n">
        <x:v>0.87</x:v>
      </x:c>
      <x:c r="H101" s="8"/>
      <x:c r="I101" s="8" t="str">
        <x:v>not observed</x:v>
      </x:c>
      <x:c r="J101" s="8" t="str">
        <x:v>not specified</x:v>
      </x:c>
      <x:c r="K101" s="8" t="str">
        <x:v>documentation</x:v>
      </x:c>
      <x:c r="L101" s="8"/>
      <x:c r="M101" s="8"/>
      <x:c r="N101" s="8"/>
      <x:c r="O101" s="8"/>
      <x:c r="P101" s="1"/>
    </x:row>
    <x:row r="102">
      <x:c r="A102" s="8" t="str">
        <x:v>storage</x:v>
      </x:c>
      <x:c r="B102" s="8" t="str">
        <x:v>unknown</x:v>
      </x:c>
      <x:c r="C102" s="8" t="str">
        <x:v>unknown</x:v>
      </x:c>
      <x:c r="D102" s="8" t="str">
        <x:v>no</x:v>
      </x:c>
      <x:c r="E102" s="8" t="str">
        <x:v>unknown</x:v>
      </x:c>
      <x:c r="F102" s="8" t="str">
        <x:v>The owner field was not captured in the original notes, so classification should remain conservative.</x:v>
      </x:c>
      <x:c r="G102" s="8" t="n">
        <x:v>0.36</x:v>
      </x:c>
      <x:c r="H102" s="8" t="str">
        <x:v>https://github.com/react-native-webview/react-native-webview</x:v>
      </x:c>
      <x:c r="I102" s="8" t="str">
        <x:v>not observed</x:v>
      </x:c>
      <x:c r="J102" s="8" t="str">
        <x:v>not specified</x:v>
      </x:c>
      <x:c r="K102" s="8" t="str">
        <x:v>none</x:v>
      </x:c>
      <x:c r="L102" s="8"/>
      <x:c r="M102" s="8"/>
      <x:c r="N102" s="8"/>
      <x:c r="O102" s="8"/>
      <x:c r="P102" s="1"/>
    </x:row>
    <x:row r="103">
      <x:c r="A103" s="8" t="str">
        <x:v>deep links</x:v>
      </x:c>
      <x:c r="B103" s="8" t="str">
        <x:v>partial</x:v>
      </x:c>
      <x:c r="C103" s="8" t="str">
        <x:v>yes</x:v>
      </x:c>
      <x:c r="D103" s="8" t="str">
        <x:v>unknown</x:v>
      </x:c>
      <x:c r="E103" s="8" t="str">
        <x:v>unknown</x:v>
      </x:c>
      <x:c r="F103" s="8" t="str">
        <x:v>Verify behavior on a cold start and after the page reloads without destroying the native view.</x:v>
      </x:c>
      <x:c r="G103" s="8" t="n">
        <x:v>0.47</x:v>
      </x:c>
      <x:c r="H103" s="8"/>
      <x:c r="I103" s="8" t="str">
        <x:v>not observed</x:v>
      </x:c>
      <x:c r="J103" s="8" t="str">
        <x:v>not specified</x:v>
      </x:c>
      <x:c r="K103" s="8" t="str">
        <x:v>none</x:v>
      </x:c>
      <x:c r="L103" s="8"/>
      <x:c r="M103" s="8"/>
      <x:c r="N103" s="8"/>
      <x:c r="O103" s="8"/>
      <x:c r="P103" s="1"/>
    </x:row>
    <x:row r="104">
      <x:c r="A104" s="8" t="str">
        <x:v>TLS</x:v>
      </x:c>
      <x:c r="B104" s="8" t="str">
        <x:v>unknown</x:v>
      </x:c>
      <x:c r="C104" s="8" t="str">
        <x:v>no</x:v>
      </x:c>
      <x:c r="D104" s="8" t="str">
        <x:v>unknown</x:v>
      </x:c>
      <x:c r="E104" s="8" t="str">
        <x:v>partial</x:v>
      </x:c>
      <x:c r="F104" s="8"/>
      <x:c r="G104" s="8" t="n">
        <x:v>0.71</x:v>
      </x:c>
      <x:c r="H104" s="8" t="str">
        <x:v>https://github.com/react-native-webview/react-native-webview</x:v>
      </x:c>
      <x:c r="I104" s="8" t="str">
        <x:v>not observed</x:v>
      </x:c>
      <x:c r="J104" s="8" t="str">
        <x:v>expected</x:v>
      </x:c>
      <x:c r="K104" s="8" t="str">
        <x:v>investigate</x:v>
      </x:c>
      <x:c r="L104" s="8"/>
      <x:c r="M104" s="8"/>
      <x:c r="N104" s="8"/>
      <x:c r="O104" s="8"/>
      <x:c r="P104" s="1"/>
    </x:row>
    <x:row r="105">
      <x:c r="A105" s="8" t="str">
        <x:v>downloads</x:v>
      </x:c>
      <x:c r="B105" s="8" t="str">
        <x:v>no</x:v>
      </x:c>
      <x:c r="C105" s="8" t="str">
        <x:v>unknown</x:v>
      </x:c>
      <x:c r="D105" s="8" t="str">
        <x:v>unknown</x:v>
      </x:c>
      <x:c r="E105" s="8" t="str">
        <x:v>yes</x:v>
      </x:c>
      <x:c r="F105" s="8" t="str">
        <x:v>A blank cell here is intentional. The source workbook has notes placed away from the nearest table.</x:v>
      </x:c>
      <x:c r="G105" s="8" t="n">
        <x:v>0.07</x:v>
      </x:c>
      <x:c r="H105" s="8"/>
      <x:c r="I105" s="8" t="str">
        <x:v>not tested</x:v>
      </x:c>
      <x:c r="J105" s="8" t="str">
        <x:v>depends on policy</x:v>
      </x:c>
      <x:c r="K105" s="8" t="str">
        <x:v>investigate</x:v>
      </x:c>
      <x:c r="L105" s="8"/>
      <x:c r="M105" s="8"/>
      <x:c r="N105" s="8"/>
      <x:c r="O105" s="8"/>
      <x:c r="P105" s="1"/>
    </x:row>
    <x:row r="106">
      <x:c r="A106" s="8" t="str">
        <x:v>proxy</x:v>
      </x:c>
      <x:c r="B106" s="8" t="str">
        <x:v>yes</x:v>
      </x:c>
      <x:c r="C106" s="8" t="str">
        <x:v>unknown</x:v>
      </x:c>
      <x:c r="D106" s="8" t="str">
        <x:v>yes</x:v>
      </x:c>
      <x:c r="E106" s="8" t="str">
        <x:v>partial</x:v>
      </x:c>
      <x:c r="F106" s="8"/>
      <x:c r="G106" s="8" t="n">
        <x:v>0.34</x:v>
      </x:c>
      <x:c r="H106" s="8" t="str">
        <x:v>https://github.com/react-native-webview/react-native-webview</x:v>
      </x:c>
      <x:c r="I106" s="8" t="str">
        <x:v>intermittent</x:v>
      </x:c>
      <x:c r="J106" s="8" t="str">
        <x:v>not specified</x:v>
      </x:c>
      <x:c r="K106" s="8" t="str">
        <x:v>investigate</x:v>
      </x:c>
      <x:c r="L106" s="8"/>
      <x:c r="M106" s="8"/>
      <x:c r="N106" s="8"/>
      <x:c r="O106" s="8"/>
      <x:c r="P106" s="1"/>
    </x:row>
    <x:row r="107">
      <x:c r="A107" s="8" t="str">
        <x:v>history</x:v>
      </x:c>
      <x:c r="B107" s="8" t="str">
        <x:v>yes</x:v>
      </x:c>
      <x:c r="C107" s="8" t="str">
        <x:v>yes</x:v>
      </x:c>
      <x:c r="D107" s="8" t="str">
        <x:v>no</x:v>
      </x:c>
      <x:c r="E107" s="8" t="str">
        <x:v>no</x:v>
      </x:c>
      <x:c r="F107" s="8"/>
      <x:c r="G107" s="8" t="n">
        <x:v>0.89</x:v>
      </x:c>
      <x:c r="H107" s="8"/>
      <x:c r="I107" s="8" t="str">
        <x:v>intermittent</x:v>
      </x:c>
      <x:c r="J107" s="8" t="str">
        <x:v>expected</x:v>
      </x:c>
      <x:c r="K107" s="8" t="str">
        <x:v>investigate</x:v>
      </x:c>
      <x:c r="L107" s="8"/>
      <x:c r="M107" s="8"/>
      <x:c r="N107" s="8"/>
      <x:c r="O107" s="8"/>
      <x:c r="P107" s="1"/>
    </x:row>
    <x:row r="108">
      <x:c r="A108" s="8" t="str">
        <x:v>file input</x:v>
      </x:c>
      <x:c r="B108" s="8" t="str">
        <x:v>unknown</x:v>
      </x:c>
      <x:c r="C108" s="8" t="str">
        <x:v>no</x:v>
      </x:c>
      <x:c r="D108" s="8" t="str">
        <x:v>yes</x:v>
      </x:c>
      <x:c r="E108" s="8" t="str">
        <x:v>unknown</x:v>
      </x:c>
      <x:c r="F108" s="8" t="str">
        <x:v>Observed in a local test run: the content rendered, but the console warning appeared twice.</x:v>
      </x:c>
      <x:c r="G108" s="8" t="n">
        <x:v>0.51</x:v>
      </x:c>
      <x:c r="H108" s="8"/>
      <x:c r="I108" s="8" t="str">
        <x:v>not observed</x:v>
      </x:c>
      <x:c r="J108" s="8" t="str">
        <x:v>not specified</x:v>
      </x:c>
      <x:c r="K108" s="8" t="str">
        <x:v>none</x:v>
      </x:c>
      <x:c r="L108" s="8"/>
      <x:c r="M108" s="8"/>
      <x:c r="N108" s="8"/>
      <x:c r="O108" s="8"/>
      <x:c r="P108" s="1"/>
    </x:row>
    <x:row r="109">
      <x:c r="A109" s="8" t="str">
        <x:v>media</x:v>
      </x:c>
      <x:c r="B109" s="8" t="str">
        <x:v>yes</x:v>
      </x:c>
      <x:c r="C109" s="8" t="str">
        <x:v>no</x:v>
      </x:c>
      <x:c r="D109" s="8" t="str">
        <x:v>yes</x:v>
      </x:c>
      <x:c r="E109" s="8" t="str">
        <x:v>partial</x:v>
      </x:c>
      <x:c r="F109" s="8" t="str">
        <x:v>The bridge callback is stable for small payloads, but large JSON messages show visible delay during navigation.</x:v>
      </x:c>
      <x:c r="G109" s="8" t="n">
        <x:v>0.42</x:v>
      </x:c>
      <x:c r="H109" s="8"/>
      <x:c r="I109" s="8" t="str">
        <x:v>observed</x:v>
      </x:c>
      <x:c r="J109" s="8" t="str">
        <x:v>not specified</x:v>
      </x:c>
      <x:c r="K109" s="8" t="str">
        <x:v>code change</x:v>
      </x:c>
      <x:c r="L109" s="8"/>
      <x:c r="M109" s="8"/>
      <x:c r="N109" s="8"/>
      <x:c r="O109" s="8"/>
      <x:c r="P109" s="1"/>
    </x:row>
    <x:row r="110">
      <x:c r="A110" s="8" t="str">
        <x:v>history</x:v>
      </x:c>
      <x:c r="B110" s="8" t="str">
        <x:v>partial</x:v>
      </x:c>
      <x:c r="C110" s="8" t="str">
        <x:v>no</x:v>
      </x:c>
      <x:c r="D110" s="8" t="str">
        <x:v>no</x:v>
      </x:c>
      <x:c r="E110" s="8" t="str">
        <x:v>no</x:v>
      </x:c>
      <x:c r="F110" s="8"/>
      <x:c r="G110" s="8" t="n">
        <x:v>0.42</x:v>
      </x:c>
      <x:c r="H110" s="8" t="str">
        <x:v>https://developer.android.com/reference/android/webkit/WebView</x:v>
      </x:c>
      <x:c r="I110" s="8" t="str">
        <x:v>intermittent</x:v>
      </x:c>
      <x:c r="J110" s="8" t="str">
        <x:v>expected</x:v>
      </x:c>
      <x:c r="K110" s="8" t="str">
        <x:v>documentation</x:v>
      </x:c>
      <x:c r="L110" s="8"/>
      <x:c r="M110" s="8"/>
      <x:c r="N110" s="8"/>
      <x:c r="O110" s="8"/>
      <x:c r="P110" s="1"/>
    </x:row>
    <x:row r="111">
      <x:c r="A111" s="8" t="str">
        <x:v>TLS</x:v>
      </x:c>
      <x:c r="B111" s="8" t="str">
        <x:v>unknown</x:v>
      </x:c>
      <x:c r="C111" s="8" t="str">
        <x:v>yes</x:v>
      </x:c>
      <x:c r="D111" s="8" t="str">
        <x:v>no</x:v>
      </x:c>
      <x:c r="E111" s="8" t="str">
        <x:v>yes</x:v>
      </x:c>
      <x:c r="F111" s="8" t="str">
        <x:v>A blank cell here is intentional. The source workbook has notes placed away from the nearest table.</x:v>
      </x:c>
      <x:c r="G111" s="8" t="n">
        <x:v>0.75</x:v>
      </x:c>
      <x:c r="H111" s="8" t="str">
        <x:v>https://learn.microsoft.com/en-us/microsoft-edge/webview2/concepts/security</x:v>
      </x:c>
      <x:c r="I111" s="8" t="str">
        <x:v>intermittent</x:v>
      </x:c>
      <x:c r="J111" s="8" t="str">
        <x:v>expected</x:v>
      </x:c>
      <x:c r="K111" s="8" t="str">
        <x:v>code change</x:v>
      </x:c>
      <x:c r="L111" s="8"/>
      <x:c r="M111" s="8"/>
      <x:c r="N111" s="8"/>
      <x:c r="O111" s="8"/>
      <x:c r="P111" s="1"/>
    </x:row>
    <x:row r="112">
      <x:c r="A112" s="8"/>
      <x:c r="B112" s="8"/>
      <x:c r="C112" s="8"/>
      <x:c r="D112" s="8"/>
      <x:c r="E112" s="8"/>
      <x:c r="F112" s="8"/>
      <x:c r="G112" s="8"/>
      <x:c r="H112" s="8"/>
      <x:c r="I112" s="8"/>
      <x:c r="J112" s="8"/>
      <x:c r="K112" s="8"/>
      <x:c r="L112" s="8"/>
      <x:c r="M112" s="8"/>
      <x:c r="N112" s="8"/>
      <x:c r="O112" s="8"/>
      <x:c r="P112" s="1"/>
    </x:row>
    <x:row r="113">
      <x:c r="A113" s="8" t="str">
        <x:v>media</x:v>
      </x:c>
      <x:c r="B113" s="8" t="str">
        <x:v>no</x:v>
      </x:c>
      <x:c r="C113" s="8" t="str">
        <x:v>unknown</x:v>
      </x:c>
      <x:c r="D113" s="8" t="str">
        <x:v>yes</x:v>
      </x:c>
      <x:c r="E113" s="8" t="str">
        <x:v>unknown</x:v>
      </x:c>
      <x:c r="F113" s="8"/>
      <x:c r="G113" s="8" t="n">
        <x:v>0.47</x:v>
      </x:c>
      <x:c r="H113" s="8"/>
      <x:c r="I113" s="8" t="str">
        <x:v>not observed</x:v>
      </x:c>
      <x:c r="J113" s="8" t="str">
        <x:v>not specified</x:v>
      </x:c>
      <x:c r="K113" s="8" t="str">
        <x:v>documentation</x:v>
      </x:c>
      <x:c r="L113" s="8"/>
      <x:c r="M113" s="8"/>
      <x:c r="N113" s="8"/>
      <x:c r="O113" s="8"/>
      <x:c r="P113" s="1"/>
    </x:row>
    <x:row r="114">
      <x:c r="A114" s="8" t="str">
        <x:v>downloads</x:v>
      </x:c>
      <x:c r="B114" s="8" t="str">
        <x:v>unknown</x:v>
      </x:c>
      <x:c r="C114" s="8" t="str">
        <x:v>unknown</x:v>
      </x:c>
      <x:c r="D114" s="8" t="str">
        <x:v>partial</x:v>
      </x:c>
      <x:c r="E114" s="8" t="str">
        <x:v>partial</x:v>
      </x:c>
      <x:c r="F114" s="8" t="str">
        <x:v>Potential duplicate: this paragraph is repeated in another section to test deduplication and chunk metadata.</x:v>
      </x:c>
      <x:c r="G114" s="8" t="n">
        <x:v>0.9</x:v>
      </x:c>
      <x:c r="H114" s="8" t="str">
        <x:v>https://learn.microsoft.com/en-us/microsoft-edge/webview2/concepts/security</x:v>
      </x:c>
      <x:c r="I114" s="8" t="str">
        <x:v>not tested</x:v>
      </x:c>
      <x:c r="J114" s="8" t="str">
        <x:v>depends on policy</x:v>
      </x:c>
      <x:c r="K114" s="8" t="str">
        <x:v>none</x:v>
      </x:c>
      <x:c r="L114" s="8"/>
      <x:c r="M114" s="8"/>
      <x:c r="N114" s="8"/>
      <x:c r="O114" s="8"/>
      <x:c r="P114" s="1"/>
    </x:row>
    <x:row r="115">
      <x:c r="A115" s="8" t="str">
        <x:v>file input</x:v>
      </x:c>
      <x:c r="B115" s="8" t="str">
        <x:v>unknown</x:v>
      </x:c>
      <x:c r="C115" s="8" t="str">
        <x:v>yes</x:v>
      </x:c>
      <x:c r="D115" s="8" t="str">
        <x:v>partial</x:v>
      </x:c>
      <x:c r="E115" s="8" t="str">
        <x:v>no</x:v>
      </x:c>
      <x:c r="F115" s="8"/>
      <x:c r="G115" s="8" t="n">
        <x:v>0.87</x:v>
      </x:c>
      <x:c r="H115" s="8" t="str">
        <x:v>https://github.com/react-native-webview/react-native-webview</x:v>
      </x:c>
      <x:c r="I115" s="8" t="str">
        <x:v>intermittent</x:v>
      </x:c>
      <x:c r="J115" s="8" t="str">
        <x:v>expected</x:v>
      </x:c>
      <x:c r="K115" s="8" t="str">
        <x:v>none</x:v>
      </x:c>
      <x:c r="L115" s="8"/>
      <x:c r="M115" s="8"/>
      <x:c r="N115" s="8"/>
      <x:c r="O115" s="8"/>
      <x:c r="P115" s="1"/>
    </x:row>
    <x:row r="116">
      <x:c r="A116" s="8" t="str">
        <x:v>cookies</x:v>
      </x:c>
      <x:c r="B116" s="8" t="str">
        <x:v>partial</x:v>
      </x:c>
      <x:c r="C116" s="8" t="str">
        <x:v>no</x:v>
      </x:c>
      <x:c r="D116" s="8" t="str">
        <x:v>unknown</x:v>
      </x:c>
      <x:c r="E116" s="8" t="str">
        <x:v>unknown</x:v>
      </x:c>
      <x:c r="F116" s="8" t="str">
        <x:v>This sentence is long enough to exercise wrapping and downstream chunk boundaries in Markdown output.</x:v>
      </x:c>
      <x:c r="G116" s="8" t="n">
        <x:v>0.69</x:v>
      </x:c>
      <x:c r="H116" s="8" t="str">
        <x:v>https://developer.android.com/reference/android/webkit/WebView</x:v>
      </x:c>
      <x:c r="I116" s="8" t="str">
        <x:v>intermittent</x:v>
      </x:c>
      <x:c r="J116" s="8" t="str">
        <x:v>depends on policy</x:v>
      </x:c>
      <x:c r="K116" s="8" t="str">
        <x:v>documentation</x:v>
      </x:c>
      <x:c r="L116" s="8"/>
      <x:c r="M116" s="8"/>
      <x:c r="N116" s="8"/>
      <x:c r="O116" s="8"/>
      <x:c r="P116" s="1"/>
    </x:row>
    <x:row r="117">
      <x:c r="A117" s="8" t="str">
        <x:v>proxy</x:v>
      </x:c>
      <x:c r="B117" s="8" t="str">
        <x:v>yes</x:v>
      </x:c>
      <x:c r="C117" s="8" t="str">
        <x:v>yes</x:v>
      </x:c>
      <x:c r="D117" s="8" t="str">
        <x:v>yes</x:v>
      </x:c>
      <x:c r="E117" s="8" t="str">
        <x:v>no</x:v>
      </x:c>
      <x:c r="F117" s="8"/>
      <x:c r="G117" s="8" t="n">
        <x:v>0.14</x:v>
      </x:c>
      <x:c r="H117" s="8" t="str">
        <x:v>https://developer.microsoft.com/en-us/microsoft-edge/webview2/</x:v>
      </x:c>
      <x:c r="I117" s="8" t="str">
        <x:v>observed</x:v>
      </x:c>
      <x:c r="J117" s="8" t="str">
        <x:v>expected</x:v>
      </x:c>
      <x:c r="K117" s="8" t="str">
        <x:v>documentation</x:v>
      </x:c>
      <x:c r="L117" s="8"/>
      <x:c r="M117" s="8"/>
      <x:c r="N117" s="8"/>
      <x:c r="O117" s="8"/>
      <x:c r="P117" s="1"/>
    </x:row>
    <x:row r="118">
      <x:c r="A118" s="8" t="str">
        <x:v>storage</x:v>
      </x:c>
      <x:c r="B118" s="8" t="str">
        <x:v>partial</x:v>
      </x:c>
      <x:c r="C118" s="8" t="str">
        <x:v>unknown</x:v>
      </x:c>
      <x:c r="D118" s="8" t="str">
        <x:v>partial</x:v>
      </x:c>
      <x:c r="E118" s="8" t="str">
        <x:v>yes</x:v>
      </x:c>
      <x:c r="F118" s="8" t="str">
        <x:v>Observed in a local test run: the content rendered, but the console warning appeared twice.</x:v>
      </x:c>
      <x:c r="G118" s="8" t="n">
        <x:v>0.22</x:v>
      </x:c>
      <x:c r="H118" s="8" t="str">
        <x:v>https://learn.microsoft.com/en-us/microsoft-edge/webview2/concepts/security</x:v>
      </x:c>
      <x:c r="I118" s="8" t="str">
        <x:v>observed</x:v>
      </x:c>
      <x:c r="J118" s="8" t="str">
        <x:v>depends on policy</x:v>
      </x:c>
      <x:c r="K118" s="8" t="str">
        <x:v>code change</x:v>
      </x:c>
      <x:c r="L118" s="8"/>
      <x:c r="M118" s="8"/>
      <x:c r="N118" s="8"/>
      <x:c r="O118" s="8"/>
      <x:c r="P118" s="1"/>
    </x:row>
    <x:row r="119">
      <x:c r="A119" s="8" t="str">
        <x:v>deep links</x:v>
      </x:c>
      <x:c r="B119" s="8" t="str">
        <x:v>partial</x:v>
      </x:c>
      <x:c r="C119" s="8" t="str">
        <x:v>partial</x:v>
      </x:c>
      <x:c r="D119" s="8" t="str">
        <x:v>partial</x:v>
      </x:c>
      <x:c r="E119" s="8" t="str">
        <x:v>no</x:v>
      </x:c>
      <x:c r="F119" s="8" t="str">
        <x:v>A blank cell here is intentional. The source workbook has notes placed away from the nearest table.</x:v>
      </x:c>
      <x:c r="G119" s="8" t="n">
        <x:v>0.21</x:v>
      </x:c>
      <x:c r="H119" s="8"/>
      <x:c r="I119" s="8" t="str">
        <x:v>observed</x:v>
      </x:c>
      <x:c r="J119" s="8" t="str">
        <x:v>expected</x:v>
      </x:c>
      <x:c r="K119" s="8" t="str">
        <x:v>code change</x:v>
      </x:c>
      <x:c r="L119" s="8"/>
      <x:c r="M119" s="8"/>
      <x:c r="N119" s="8"/>
      <x:c r="O119" s="8"/>
      <x:c r="P119" s="1"/>
    </x:row>
    <x:row r="120">
      <x:c r="A120" s="8" t="str">
        <x:v>deep links</x:v>
      </x:c>
      <x:c r="B120" s="8" t="str">
        <x:v>partial</x:v>
      </x:c>
      <x:c r="C120" s="8" t="str">
        <x:v>partial</x:v>
      </x:c>
      <x:c r="D120" s="8" t="str">
        <x:v>no</x:v>
      </x:c>
      <x:c r="E120" s="8" t="str">
        <x:v>partial</x:v>
      </x:c>
      <x:c r="F120" s="8"/>
      <x:c r="G120" s="8" t="n">
        <x:v>0.76</x:v>
      </x:c>
      <x:c r="H120" s="8" t="str">
        <x:v>https://github.com/react-native-webview/react-native-webview</x:v>
      </x:c>
      <x:c r="I120" s="8" t="str">
        <x:v>not tested</x:v>
      </x:c>
      <x:c r="J120" s="8" t="str">
        <x:v>expected</x:v>
      </x:c>
      <x:c r="K120" s="8" t="str">
        <x:v>documentation</x:v>
      </x:c>
      <x:c r="L120" s="8"/>
      <x:c r="M120" s="8"/>
      <x:c r="N120" s="8"/>
      <x:c r="O120" s="8"/>
      <x:c r="P120" s="1"/>
    </x:row>
    <x:row r="121">
      <x:c r="A121" s="8" t="str">
        <x:v>downloads</x:v>
      </x:c>
      <x:c r="B121" s="8" t="str">
        <x:v>partial</x:v>
      </x:c>
      <x:c r="C121" s="8" t="str">
        <x:v>unknown</x:v>
      </x:c>
      <x:c r="D121" s="8" t="str">
        <x:v>yes</x:v>
      </x:c>
      <x:c r="E121" s="8" t="str">
        <x:v>no</x:v>
      </x:c>
      <x:c r="F121" s="8"/>
      <x:c r="G121" s="8" t="n">
        <x:v>0.3</x:v>
      </x:c>
      <x:c r="H121" s="8"/>
      <x:c r="I121" s="8" t="str">
        <x:v>intermittent</x:v>
      </x:c>
      <x:c r="J121" s="8" t="str">
        <x:v>not specified</x:v>
      </x:c>
      <x:c r="K121" s="8" t="str">
        <x:v>none</x:v>
      </x:c>
      <x:c r="L121" s="8"/>
      <x:c r="M121" s="8"/>
      <x:c r="N121" s="8"/>
      <x:c r="O121" s="8"/>
      <x:c r="P121" s="1"/>
    </x:row>
    <x:row r="122">
      <x:c r="A122" s="8" t="str">
        <x:v>storage</x:v>
      </x:c>
      <x:c r="B122" s="8" t="str">
        <x:v>yes</x:v>
      </x:c>
      <x:c r="C122" s="8" t="str">
        <x:v>yes</x:v>
      </x:c>
      <x:c r="D122" s="8" t="str">
        <x:v>partial</x:v>
      </x:c>
      <x:c r="E122" s="8" t="str">
        <x:v>no</x:v>
      </x:c>
      <x:c r="F122" s="8" t="str">
        <x:v>This sentence is long enough to exercise wrapping and downstream chunk boundaries in Markdown output.</x:v>
      </x:c>
      <x:c r="G122" s="8" t="n">
        <x:v>0.4</x:v>
      </x:c>
      <x:c r="H122" s="8"/>
      <x:c r="I122" s="8" t="str">
        <x:v>not tested</x:v>
      </x:c>
      <x:c r="J122" s="8" t="str">
        <x:v>depends on policy</x:v>
      </x:c>
      <x:c r="K122" s="8" t="str">
        <x:v>code change</x:v>
      </x:c>
      <x:c r="L122" s="8"/>
      <x:c r="M122" s="8"/>
      <x:c r="N122" s="8"/>
      <x:c r="O122" s="8"/>
      <x:c r="P122" s="1"/>
    </x:row>
    <x:row r="123">
      <x:c r="A123" s="8" t="str">
        <x:v>proxy</x:v>
      </x:c>
      <x:c r="B123" s="8" t="str">
        <x:v>unknown</x:v>
      </x:c>
      <x:c r="C123" s="8" t="str">
        <x:v>unknown</x:v>
      </x:c>
      <x:c r="D123" s="8" t="str">
        <x:v>unknown</x:v>
      </x:c>
      <x:c r="E123" s="8" t="str">
        <x:v>partial</x:v>
      </x:c>
      <x:c r="F123" s="8"/>
      <x:c r="G123" s="8" t="n">
        <x:v>0.12</x:v>
      </x:c>
      <x:c r="H123" s="8" t="str">
        <x:v>https://developer.microsoft.com/en-us/microsoft-edge/webview2/</x:v>
      </x:c>
      <x:c r="I123" s="8" t="str">
        <x:v>observed</x:v>
      </x:c>
      <x:c r="J123" s="8" t="str">
        <x:v>depends on policy</x:v>
      </x:c>
      <x:c r="K123" s="8" t="str">
        <x:v>none</x:v>
      </x:c>
      <x:c r="L123" s="8"/>
      <x:c r="M123" s="8"/>
      <x:c r="N123" s="8"/>
      <x:c r="O123" s="8"/>
      <x:c r="P123" s="1"/>
    </x:row>
    <x:row r="124">
      <x:c r="A124" s="8" t="str">
        <x:v>headers</x:v>
      </x:c>
      <x:c r="B124" s="8" t="str">
        <x:v>partial</x:v>
      </x:c>
      <x:c r="C124" s="8" t="str">
        <x:v>no</x:v>
      </x:c>
      <x:c r="D124" s="8" t="str">
        <x:v>partial</x:v>
      </x:c>
      <x:c r="E124" s="8" t="str">
        <x:v>no</x:v>
      </x:c>
      <x:c r="F124" s="8"/>
      <x:c r="G124" s="8" t="n">
        <x:v>0.84</x:v>
      </x:c>
      <x:c r="H124" s="8" t="str">
        <x:v>https://developer.microsoft.com/en-us/microsoft-edge/webview2/</x:v>
      </x:c>
      <x:c r="I124" s="8" t="str">
        <x:v>not tested</x:v>
      </x:c>
      <x:c r="J124" s="8" t="str">
        <x:v>depends on policy</x:v>
      </x:c>
      <x:c r="K124" s="8" t="str">
        <x:v>code change</x:v>
      </x:c>
      <x:c r="L124" s="8"/>
      <x:c r="M124" s="8"/>
      <x:c r="N124" s="8"/>
      <x:c r="O124" s="8"/>
      <x:c r="P124" s="1"/>
    </x:row>
    <x:row r="125">
      <x:c r="A125" s="8" t="str">
        <x:v>file input</x:v>
      </x:c>
      <x:c r="B125" s="8" t="str">
        <x:v>yes</x:v>
      </x:c>
      <x:c r="C125" s="8" t="str">
        <x:v>yes</x:v>
      </x:c>
      <x:c r="D125" s="8" t="str">
        <x:v>partial</x:v>
      </x:c>
      <x:c r="E125" s="8" t="str">
        <x:v>yes</x:v>
      </x:c>
      <x:c r="F125" s="8"/>
      <x:c r="G125" s="8" t="n">
        <x:v>0.9</x:v>
      </x:c>
      <x:c r="H125" s="8" t="str">
        <x:v>https://developer.android.com/reference/android/webkit/WebView</x:v>
      </x:c>
      <x:c r="I125" s="8" t="str">
        <x:v>not tested</x:v>
      </x:c>
      <x:c r="J125" s="8" t="str">
        <x:v>depends on policy</x:v>
      </x:c>
      <x:c r="K125" s="8" t="str">
        <x:v>code change</x:v>
      </x:c>
      <x:c r="L125" s="8"/>
      <x:c r="M125" s="8"/>
      <x:c r="N125" s="8"/>
      <x:c r="O125" s="8"/>
      <x:c r="P125" s="1"/>
    </x:row>
    <x:row r="126">
      <x:c r="A126" s="8" t="str">
        <x:v>TLS</x:v>
      </x:c>
      <x:c r="B126" s="8" t="str">
        <x:v>unknown</x:v>
      </x:c>
      <x:c r="C126" s="8" t="str">
        <x:v>partial</x:v>
      </x:c>
      <x:c r="D126" s="8" t="str">
        <x:v>unknown</x:v>
      </x:c>
      <x:c r="E126" s="8" t="str">
        <x:v>no</x:v>
      </x:c>
      <x:c r="F126" s="8" t="str">
        <x:v>This sentence is long enough to exercise wrapping and downstream chunk boundaries in Markdown output.</x:v>
      </x:c>
      <x:c r="G126" s="8" t="n">
        <x:v>0.57</x:v>
      </x:c>
      <x:c r="H126" s="8" t="str">
        <x:v>https://learn.microsoft.com/en-us/microsoft-edge/webview2/concepts/security</x:v>
      </x:c>
      <x:c r="I126" s="8" t="str">
        <x:v>not observed</x:v>
      </x:c>
      <x:c r="J126" s="8" t="str">
        <x:v>depends on policy</x:v>
      </x:c>
      <x:c r="K126" s="8" t="str">
        <x:v>none</x:v>
      </x:c>
      <x:c r="L126" s="8"/>
      <x:c r="M126" s="8"/>
      <x:c r="N126" s="8"/>
      <x:c r="O126" s="8"/>
      <x:c r="P126" s="1"/>
    </x:row>
    <x:row r="127">
      <x:c r="A127" s="8" t="str">
        <x:v>TLS</x:v>
      </x:c>
      <x:c r="B127" s="8" t="str">
        <x:v>partial</x:v>
      </x:c>
      <x:c r="C127" s="8" t="str">
        <x:v>unknown</x:v>
      </x:c>
      <x:c r="D127" s="8" t="str">
        <x:v>unknown</x:v>
      </x:c>
      <x:c r="E127" s="8" t="str">
        <x:v>partial</x:v>
      </x:c>
      <x:c r="F127" s="8" t="str">
        <x:v>Observed in a local test run: the content rendered, but the console warning appeared twice.</x:v>
      </x:c>
      <x:c r="G127" s="8" t="n">
        <x:v>0.71</x:v>
      </x:c>
      <x:c r="H127" s="8" t="str">
        <x:v>https://github.com/react-native-webview/react-native-webview</x:v>
      </x:c>
      <x:c r="I127" s="8" t="str">
        <x:v>not observed</x:v>
      </x:c>
      <x:c r="J127" s="8" t="str">
        <x:v>not specified</x:v>
      </x:c>
      <x:c r="K127" s="8" t="str">
        <x:v>none</x:v>
      </x:c>
      <x:c r="L127" s="8"/>
      <x:c r="M127" s="8"/>
      <x:c r="N127" s="8"/>
      <x:c r="O127" s="8"/>
      <x:c r="P127" s="1"/>
    </x:row>
    <x:row r="128">
      <x:c r="A128" s="8" t="str">
        <x:v>storage</x:v>
      </x:c>
      <x:c r="B128" s="8" t="str">
        <x:v>partial</x:v>
      </x:c>
      <x:c r="C128" s="8" t="str">
        <x:v>yes</x:v>
      </x:c>
      <x:c r="D128" s="8" t="str">
        <x:v>no</x:v>
      </x:c>
      <x:c r="E128" s="8" t="str">
        <x:v>partial</x:v>
      </x:c>
      <x:c r="F128" s="8" t="str">
        <x:v>Verify behavior on a cold start and after the page reloads without destroying the native view.</x:v>
      </x:c>
      <x:c r="G128" s="8" t="n">
        <x:v>0.46</x:v>
      </x:c>
      <x:c r="H128" s="8"/>
      <x:c r="I128" s="8" t="str">
        <x:v>not observed</x:v>
      </x:c>
      <x:c r="J128" s="8" t="str">
        <x:v>not specified</x:v>
      </x:c>
      <x:c r="K128" s="8" t="str">
        <x:v>investigate</x:v>
      </x:c>
      <x:c r="L128" s="8"/>
      <x:c r="M128" s="8"/>
      <x:c r="N128" s="8"/>
      <x:c r="O128" s="8"/>
      <x:c r="P128" s="1"/>
    </x:row>
    <x:row r="129">
      <x:c r="A129" s="8" t="str">
        <x:v>downloads</x:v>
      </x:c>
      <x:c r="B129" s="8" t="str">
        <x:v>no</x:v>
      </x:c>
      <x:c r="C129" s="8" t="str">
        <x:v>unknown</x:v>
      </x:c>
      <x:c r="D129" s="8" t="str">
        <x:v>no</x:v>
      </x:c>
      <x:c r="E129" s="8" t="str">
        <x:v>partial</x:v>
      </x:c>
      <x:c r="F129" s="8" t="str">
        <x:v>A blank cell here is intentional. The source workbook has notes placed away from the nearest table.</x:v>
      </x:c>
      <x:c r="G129" s="8" t="n">
        <x:v>0.58</x:v>
      </x:c>
      <x:c r="H129" s="8"/>
      <x:c r="I129" s="8" t="str">
        <x:v>not observed</x:v>
      </x:c>
      <x:c r="J129" s="8" t="str">
        <x:v>not specified</x:v>
      </x:c>
      <x:c r="K129" s="8" t="str">
        <x:v>documentation</x:v>
      </x:c>
      <x:c r="L129" s="8"/>
      <x:c r="M129" s="8"/>
      <x:c r="N129" s="8"/>
      <x:c r="O129" s="8"/>
      <x:c r="P129" s="1"/>
    </x:row>
    <x:row r="130">
      <x:c r="A130" s="8"/>
      <x:c r="B130" s="8"/>
      <x:c r="C130" s="8"/>
      <x:c r="D130" s="8"/>
      <x:c r="E130" s="8"/>
      <x:c r="F130" s="8"/>
      <x:c r="G130" s="8"/>
      <x:c r="H130" s="8"/>
      <x:c r="I130" s="8"/>
      <x:c r="J130" s="8"/>
      <x:c r="K130" s="8"/>
      <x:c r="L130" s="8"/>
      <x:c r="M130" s="8"/>
      <x:c r="N130" s="8"/>
      <x:c r="O130" s="8"/>
      <x:c r="P130" s="1"/>
    </x:row>
    <x:row r="131">
      <x:c r="A131" s="8" t="str">
        <x:v>headers</x:v>
      </x:c>
      <x:c r="B131" s="8" t="str">
        <x:v>unknown</x:v>
      </x:c>
      <x:c r="C131" s="8" t="str">
        <x:v>yes</x:v>
      </x:c>
      <x:c r="D131" s="8" t="str">
        <x:v>no</x:v>
      </x:c>
      <x:c r="E131" s="8" t="str">
        <x:v>no</x:v>
      </x:c>
      <x:c r="F131" s="8"/>
      <x:c r="G131" s="8" t="n">
        <x:v>0.38</x:v>
      </x:c>
      <x:c r="H131" s="8" t="str">
        <x:v>https://developer.apple.com/documentation/webkit/wkwebview</x:v>
      </x:c>
      <x:c r="I131" s="8" t="str">
        <x:v>intermittent</x:v>
      </x:c>
      <x:c r="J131" s="8" t="str">
        <x:v>expected</x:v>
      </x:c>
      <x:c r="K131" s="8" t="str">
        <x:v>none</x:v>
      </x:c>
      <x:c r="L131" s="8"/>
      <x:c r="M131" s="8"/>
      <x:c r="N131" s="8"/>
      <x:c r="O131" s="8"/>
      <x:c r="P131" s="1"/>
    </x:row>
    <x:row r="132">
      <x:c r="A132" s="8" t="str">
        <x:v>history</x:v>
      </x:c>
      <x:c r="B132" s="8" t="str">
        <x:v>unknown</x:v>
      </x:c>
      <x:c r="C132" s="8" t="str">
        <x:v>yes</x:v>
      </x:c>
      <x:c r="D132" s="8" t="str">
        <x:v>no</x:v>
      </x:c>
      <x:c r="E132" s="8" t="str">
        <x:v>yes</x:v>
      </x:c>
      <x:c r="F132" s="8"/>
      <x:c r="G132" s="8" t="n">
        <x:v>0.25</x:v>
      </x:c>
      <x:c r="H132" s="8"/>
      <x:c r="I132" s="8" t="str">
        <x:v>observed</x:v>
      </x:c>
      <x:c r="J132" s="8" t="str">
        <x:v>expected</x:v>
      </x:c>
      <x:c r="K132" s="8" t="str">
        <x:v>documentation</x:v>
      </x:c>
      <x:c r="L132" s="8"/>
      <x:c r="M132" s="8"/>
      <x:c r="N132" s="8"/>
      <x:c r="O132" s="8"/>
      <x:c r="P132" s="1"/>
    </x:row>
    <x:row r="133">
      <x:c r="A133" s="8" t="str">
        <x:v>proxy</x:v>
      </x:c>
      <x:c r="B133" s="8" t="str">
        <x:v>yes</x:v>
      </x:c>
      <x:c r="C133" s="8" t="str">
        <x:v>yes</x:v>
      </x:c>
      <x:c r="D133" s="8" t="str">
        <x:v>yes</x:v>
      </x:c>
      <x:c r="E133" s="8" t="str">
        <x:v>partial</x:v>
      </x:c>
      <x:c r="F133" s="8" t="str">
        <x:v>Follow-up: compare the result when the network security policy is relaxed versus when it is enforced.</x:v>
      </x:c>
      <x:c r="G133" s="8" t="n">
        <x:v>0.3</x:v>
      </x:c>
      <x:c r="H133" s="8"/>
      <x:c r="I133" s="8" t="str">
        <x:v>not observed</x:v>
      </x:c>
      <x:c r="J133" s="8" t="str">
        <x:v>depends on policy</x:v>
      </x:c>
      <x:c r="K133" s="8" t="str">
        <x:v>documentation</x:v>
      </x:c>
      <x:c r="L133" s="8"/>
      <x:c r="M133" s="8"/>
      <x:c r="N133" s="8"/>
      <x:c r="O133" s="8"/>
      <x:c r="P133" s="1"/>
    </x:row>
    <x:row r="134">
      <x:c r="A134" s="8" t="str">
        <x:v>proxy</x:v>
      </x:c>
      <x:c r="B134" s="8" t="str">
        <x:v>partial</x:v>
      </x:c>
      <x:c r="C134" s="8" t="str">
        <x:v>partial</x:v>
      </x:c>
      <x:c r="D134" s="8" t="str">
        <x:v>yes</x:v>
      </x:c>
      <x:c r="E134" s="8" t="str">
        <x:v>partial</x:v>
      </x:c>
      <x:c r="F134" s="8"/>
      <x:c r="G134" s="8" t="n">
        <x:v>0.15</x:v>
      </x:c>
      <x:c r="H134" s="8"/>
      <x:c r="I134" s="8" t="str">
        <x:v>intermittent</x:v>
      </x:c>
      <x:c r="J134" s="8" t="str">
        <x:v>depends on policy</x:v>
      </x:c>
      <x:c r="K134" s="8" t="str">
        <x:v>investigate</x:v>
      </x:c>
      <x:c r="L134" s="8"/>
      <x:c r="M134" s="8"/>
      <x:c r="N134" s="8"/>
      <x:c r="O134" s="8"/>
      <x:c r="P134" s="1"/>
    </x:row>
    <x:row r="135">
      <x:c r="A135" s="8" t="str">
        <x:v>deep links</x:v>
      </x:c>
      <x:c r="B135" s="8" t="str">
        <x:v>yes</x:v>
      </x:c>
      <x:c r="C135" s="8" t="str">
        <x:v>yes</x:v>
      </x:c>
      <x:c r="D135" s="8" t="str">
        <x:v>yes</x:v>
      </x:c>
      <x:c r="E135" s="8" t="str">
        <x:v>unknown</x:v>
      </x:c>
      <x:c r="F135" s="8" t="str">
        <x:v>The owner field was not captured in the original notes, so classification should remain conservative.</x:v>
      </x:c>
      <x:c r="G135" s="8" t="n">
        <x:v>0.61</x:v>
      </x:c>
      <x:c r="H135" s="8" t="str">
        <x:v>https://github.com/react-native-webview/react-native-webview</x:v>
      </x:c>
      <x:c r="I135" s="8" t="str">
        <x:v>not tested</x:v>
      </x:c>
      <x:c r="J135" s="8" t="str">
        <x:v>depends on policy</x:v>
      </x:c>
      <x:c r="K135" s="8" t="str">
        <x:v>investigate</x:v>
      </x:c>
      <x:c r="L135" s="8"/>
      <x:c r="M135" s="8"/>
      <x:c r="N135" s="8"/>
      <x:c r="O135" s="8"/>
      <x:c r="P135" s="1"/>
    </x:row>
    <x:row r="136">
      <x:c r="A136" s="8" t="str">
        <x:v>deep links</x:v>
      </x:c>
      <x:c r="B136" s="8" t="str">
        <x:v>yes</x:v>
      </x:c>
      <x:c r="C136" s="8" t="str">
        <x:v>no</x:v>
      </x:c>
      <x:c r="D136" s="8" t="str">
        <x:v>yes</x:v>
      </x:c>
      <x:c r="E136" s="8" t="str">
        <x:v>partial</x:v>
      </x:c>
      <x:c r="F136" s="8"/>
      <x:c r="G136" s="8" t="n">
        <x:v>0.66</x:v>
      </x:c>
      <x:c r="H136" s="8" t="str">
        <x:v>https://developer.apple.com/documentation/webkit/wkwebview</x:v>
      </x:c>
      <x:c r="I136" s="8" t="str">
        <x:v>not tested</x:v>
      </x:c>
      <x:c r="J136" s="8" t="str">
        <x:v>expected</x:v>
      </x:c>
      <x:c r="K136" s="8" t="str">
        <x:v>none</x:v>
      </x:c>
      <x:c r="L136" s="8"/>
      <x:c r="M136" s="8"/>
      <x:c r="N136" s="8"/>
      <x:c r="O136" s="8"/>
      <x:c r="P136" s="1"/>
    </x:row>
    <x:row r="137">
      <x:c r="A137" s="8" t="str">
        <x:v>media</x:v>
      </x:c>
      <x:c r="B137" s="8" t="str">
        <x:v>unknown</x:v>
      </x:c>
      <x:c r="C137" s="8" t="str">
        <x:v>unknown</x:v>
      </x:c>
      <x:c r="D137" s="8" t="str">
        <x:v>no</x:v>
      </x:c>
      <x:c r="E137" s="8" t="str">
        <x:v>no</x:v>
      </x:c>
      <x:c r="F137" s="8"/>
      <x:c r="G137" s="8" t="n">
        <x:v>0.6</x:v>
      </x:c>
      <x:c r="H137" s="8" t="str">
        <x:v>https://developer.android.com/reference/android/webkit/WebView</x:v>
      </x:c>
      <x:c r="I137" s="8" t="str">
        <x:v>observed</x:v>
      </x:c>
      <x:c r="J137" s="8" t="str">
        <x:v>depends on policy</x:v>
      </x:c>
      <x:c r="K137" s="8" t="str">
        <x:v>code change</x:v>
      </x:c>
      <x:c r="L137" s="8"/>
      <x:c r="M137" s="8"/>
      <x:c r="N137" s="8"/>
      <x:c r="O137" s="8"/>
      <x:c r="P137" s="1"/>
    </x:row>
    <x:row r="138">
      <x:c r="A138" s="8" t="str">
        <x:v>deep links</x:v>
      </x:c>
      <x:c r="B138" s="8" t="str">
        <x:v>unknown</x:v>
      </x:c>
      <x:c r="C138" s="8" t="str">
        <x:v>partial</x:v>
      </x:c>
      <x:c r="D138" s="8" t="str">
        <x:v>partial</x:v>
      </x:c>
      <x:c r="E138" s="8" t="str">
        <x:v>partial</x:v>
      </x:c>
      <x:c r="F138" s="8" t="str">
        <x:v>This sentence is long enough to exercise wrapping and downstream chunk boundaries in Markdown output.</x:v>
      </x:c>
      <x:c r="G138" s="8" t="n">
        <x:v>0.71</x:v>
      </x:c>
      <x:c r="H138" s="8" t="str">
        <x:v>https://developer.android.com/reference/android/webkit/WebView</x:v>
      </x:c>
      <x:c r="I138" s="8" t="str">
        <x:v>not tested</x:v>
      </x:c>
      <x:c r="J138" s="8" t="str">
        <x:v>depends on policy</x:v>
      </x:c>
      <x:c r="K138" s="8" t="str">
        <x:v>none</x:v>
      </x:c>
      <x:c r="L138" s="8"/>
      <x:c r="M138" s="8"/>
      <x:c r="N138" s="8"/>
      <x:c r="O138" s="8"/>
      <x:c r="P138" s="1"/>
    </x:row>
    <x:row r="139">
      <x:c r="A139" s="8" t="str">
        <x:v>file input</x:v>
      </x:c>
      <x:c r="B139" s="8" t="str">
        <x:v>no</x:v>
      </x:c>
      <x:c r="C139" s="8" t="str">
        <x:v>partial</x:v>
      </x:c>
      <x:c r="D139" s="8" t="str">
        <x:v>partial</x:v>
      </x:c>
      <x:c r="E139" s="8" t="str">
        <x:v>partial</x:v>
      </x:c>
      <x:c r="F139" s="8"/>
      <x:c r="G139" s="8" t="n">
        <x:v>0.08</x:v>
      </x:c>
      <x:c r="H139" s="8" t="str">
        <x:v>https://developer.android.com/reference/android/webkit/WebView</x:v>
      </x:c>
      <x:c r="I139" s="8" t="str">
        <x:v>intermittent</x:v>
      </x:c>
      <x:c r="J139" s="8" t="str">
        <x:v>expected</x:v>
      </x:c>
      <x:c r="K139" s="8" t="str">
        <x:v>none</x:v>
      </x:c>
      <x:c r="L139" s="8"/>
      <x:c r="M139" s="8"/>
      <x:c r="N139" s="8"/>
      <x:c r="O139" s="8"/>
      <x:c r="P139" s="1"/>
    </x:row>
    <x:row r="140">
      <x:c r="A140" s="8" t="str">
        <x:v>deep links</x:v>
      </x:c>
      <x:c r="B140" s="8" t="str">
        <x:v>no</x:v>
      </x:c>
      <x:c r="C140" s="8" t="str">
        <x:v>unknown</x:v>
      </x:c>
      <x:c r="D140" s="8" t="str">
        <x:v>unknown</x:v>
      </x:c>
      <x:c r="E140" s="8" t="str">
        <x:v>no</x:v>
      </x:c>
      <x:c r="F140" s="8" t="str">
        <x:v>Potential duplicate: this paragraph is repeated in another section to test deduplication and chunk metadata.</x:v>
      </x:c>
      <x:c r="G140" s="8" t="n">
        <x:v>0.75</x:v>
      </x:c>
      <x:c r="H140" s="8"/>
      <x:c r="I140" s="8" t="str">
        <x:v>not tested</x:v>
      </x:c>
      <x:c r="J140" s="8" t="str">
        <x:v>expected</x:v>
      </x:c>
      <x:c r="K140" s="8" t="str">
        <x:v>investigate</x:v>
      </x:c>
      <x:c r="L140" s="8"/>
      <x:c r="M140" s="8"/>
      <x:c r="N140" s="8"/>
      <x:c r="O140" s="8"/>
      <x:c r="P140" s="1"/>
    </x:row>
    <x:row r="141">
      <x:c r="A141" s="8" t="str">
        <x:v>history</x:v>
      </x:c>
      <x:c r="B141" s="8" t="str">
        <x:v>yes</x:v>
      </x:c>
      <x:c r="C141" s="8" t="str">
        <x:v>partial</x:v>
      </x:c>
      <x:c r="D141" s="8" t="str">
        <x:v>partial</x:v>
      </x:c>
      <x:c r="E141" s="8" t="str">
        <x:v>unknown</x:v>
      </x:c>
      <x:c r="F141" s="8"/>
      <x:c r="G141" s="8" t="n">
        <x:v>0.09</x:v>
      </x:c>
      <x:c r="H141" s="8" t="str">
        <x:v>https://learn.microsoft.com/en-us/microsoft-edge/webview2/concepts/security</x:v>
      </x:c>
      <x:c r="I141" s="8" t="str">
        <x:v>not tested</x:v>
      </x:c>
      <x:c r="J141" s="8" t="str">
        <x:v>expected</x:v>
      </x:c>
      <x:c r="K141" s="8" t="str">
        <x:v>code change</x:v>
      </x:c>
      <x:c r="L141" s="8"/>
      <x:c r="M141" s="8"/>
      <x:c r="N141" s="8"/>
      <x:c r="O141" s="8"/>
      <x:c r="P141" s="1"/>
    </x:row>
    <x:row r="142">
      <x:c r="A142" s="8" t="str">
        <x:v>TLS</x:v>
      </x:c>
      <x:c r="B142" s="8" t="str">
        <x:v>yes</x:v>
      </x:c>
      <x:c r="C142" s="8" t="str">
        <x:v>yes</x:v>
      </x:c>
      <x:c r="D142" s="8" t="str">
        <x:v>unknown</x:v>
      </x:c>
      <x:c r="E142" s="8" t="str">
        <x:v>unknown</x:v>
      </x:c>
      <x:c r="F142" s="8" t="str">
        <x:v>The bridge callback is stable for small payloads, but large JSON messages show visible delay during navigation.</x:v>
      </x:c>
      <x:c r="G142" s="8" t="n">
        <x:v>0.47</x:v>
      </x:c>
      <x:c r="H142" s="8" t="str">
        <x:v>https://developer.apple.com/documentation/webkit/wkwebview</x:v>
      </x:c>
      <x:c r="I142" s="8" t="str">
        <x:v>not tested</x:v>
      </x:c>
      <x:c r="J142" s="8" t="str">
        <x:v>depends on policy</x:v>
      </x:c>
      <x:c r="K142" s="8" t="str">
        <x:v>code change</x:v>
      </x:c>
      <x:c r="L142" s="8"/>
      <x:c r="M142" s="8"/>
      <x:c r="N142" s="8"/>
      <x:c r="O142" s="8"/>
      <x:c r="P142" s="1"/>
    </x:row>
    <x:row r="143">
      <x:c r="A143" s="8" t="str">
        <x:v>downloads</x:v>
      </x:c>
      <x:c r="B143" s="8" t="str">
        <x:v>no</x:v>
      </x:c>
      <x:c r="C143" s="8" t="str">
        <x:v>no</x:v>
      </x:c>
      <x:c r="D143" s="8" t="str">
        <x:v>yes</x:v>
      </x:c>
      <x:c r="E143" s="8" t="str">
        <x:v>yes</x:v>
      </x:c>
      <x:c r="F143" s="8" t="str">
        <x:v>The owner field was not captured in the original notes, so classification should remain conservative.</x:v>
      </x:c>
      <x:c r="G143" s="8" t="n">
        <x:v>0.81</x:v>
      </x:c>
      <x:c r="H143" s="8"/>
      <x:c r="I143" s="8" t="str">
        <x:v>intermittent</x:v>
      </x:c>
      <x:c r="J143" s="8" t="str">
        <x:v>depends on policy</x:v>
      </x:c>
      <x:c r="K143" s="8" t="str">
        <x:v>none</x:v>
      </x:c>
      <x:c r="L143" s="8"/>
      <x:c r="M143" s="8"/>
      <x:c r="N143" s="8"/>
      <x:c r="O143" s="8"/>
      <x:c r="P143" s="1"/>
    </x:row>
    <x:row r="144">
      <x:c r="A144" s="8" t="str">
        <x:v>cookies</x:v>
      </x:c>
      <x:c r="B144" s="8" t="str">
        <x:v>yes</x:v>
      </x:c>
      <x:c r="C144" s="8" t="str">
        <x:v>yes</x:v>
      </x:c>
      <x:c r="D144" s="8" t="str">
        <x:v>unknown</x:v>
      </x:c>
      <x:c r="E144" s="8" t="str">
        <x:v>yes</x:v>
      </x:c>
      <x:c r="F144" s="8" t="str">
        <x:v>Follow-up: compare the result when the network security policy is relaxed versus when it is enforced.</x:v>
      </x:c>
      <x:c r="G144" s="8" t="n">
        <x:v>0.68</x:v>
      </x:c>
      <x:c r="H144" s="8" t="str">
        <x:v>https://developer.apple.com/documentation/webkit/wkwebview</x:v>
      </x:c>
      <x:c r="I144" s="8" t="str">
        <x:v>observed</x:v>
      </x:c>
      <x:c r="J144" s="8" t="str">
        <x:v>not specified</x:v>
      </x:c>
      <x:c r="K144" s="8" t="str">
        <x:v>none</x:v>
      </x:c>
      <x:c r="L144" s="8"/>
      <x:c r="M144" s="8"/>
      <x:c r="N144" s="8"/>
      <x:c r="O144" s="8"/>
      <x:c r="P144" s="1"/>
    </x:row>
    <x:row r="145">
      <x:c r="A145" s="8" t="str">
        <x:v>media</x:v>
      </x:c>
      <x:c r="B145" s="8" t="str">
        <x:v>yes</x:v>
      </x:c>
      <x:c r="C145" s="8" t="str">
        <x:v>no</x:v>
      </x:c>
      <x:c r="D145" s="8" t="str">
        <x:v>no</x:v>
      </x:c>
      <x:c r="E145" s="8" t="str">
        <x:v>unknown</x:v>
      </x:c>
      <x:c r="F145" s="8" t="str">
        <x:v>Potential duplicate: this paragraph is repeated in another section to test deduplication and chunk metadata.</x:v>
      </x:c>
      <x:c r="G145" s="8" t="n">
        <x:v>0.75</x:v>
      </x:c>
      <x:c r="H145" s="8"/>
      <x:c r="I145" s="8" t="str">
        <x:v>observed</x:v>
      </x:c>
      <x:c r="J145" s="8" t="str">
        <x:v>not specified</x:v>
      </x:c>
      <x:c r="K145" s="8" t="str">
        <x:v>none</x:v>
      </x:c>
      <x:c r="L145" s="8"/>
      <x:c r="M145" s="8"/>
      <x:c r="N145" s="8"/>
      <x:c r="O145" s="8"/>
      <x:c r="P145" s="1"/>
    </x:row>
    <x:row r="146">
      <x:c r="A146" s="8" t="str">
        <x:v>media</x:v>
      </x:c>
      <x:c r="B146" s="8" t="str">
        <x:v>unknown</x:v>
      </x:c>
      <x:c r="C146" s="8" t="str">
        <x:v>yes</x:v>
      </x:c>
      <x:c r="D146" s="8" t="str">
        <x:v>no</x:v>
      </x:c>
      <x:c r="E146" s="8" t="str">
        <x:v>yes</x:v>
      </x:c>
      <x:c r="F146" s="8" t="str">
        <x:v>This sentence is long enough to exercise wrapping and downstream chunk boundaries in Markdown output.</x:v>
      </x:c>
      <x:c r="G146" s="8" t="n">
        <x:v>0.94</x:v>
      </x:c>
      <x:c r="H146" s="8" t="str">
        <x:v>https://developer.android.com/reference/android/webkit/WebView</x:v>
      </x:c>
      <x:c r="I146" s="8" t="str">
        <x:v>intermittent</x:v>
      </x:c>
      <x:c r="J146" s="8" t="str">
        <x:v>expected</x:v>
      </x:c>
      <x:c r="K146" s="8" t="str">
        <x:v>code change</x:v>
      </x:c>
      <x:c r="L146" s="8"/>
      <x:c r="M146" s="8"/>
      <x:c r="N146" s="8"/>
      <x:c r="O146" s="8"/>
      <x:c r="P146" s="1"/>
    </x:row>
    <x:row r="147">
      <x:c r="A147" s="8" t="str">
        <x:v>headers</x:v>
      </x:c>
      <x:c r="B147" s="8" t="str">
        <x:v>no</x:v>
      </x:c>
      <x:c r="C147" s="8" t="str">
        <x:v>unknown</x:v>
      </x:c>
      <x:c r="D147" s="8" t="str">
        <x:v>no</x:v>
      </x:c>
      <x:c r="E147" s="8" t="str">
        <x:v>yes</x:v>
      </x:c>
      <x:c r="F147" s="8" t="str">
        <x:v>The owner field was not captured in the original notes, so classification should remain conservative.</x:v>
      </x:c>
      <x:c r="G147" s="8" t="n">
        <x:v>0.84</x:v>
      </x:c>
      <x:c r="H147" s="8"/>
      <x:c r="I147" s="8" t="str">
        <x:v>observed</x:v>
      </x:c>
      <x:c r="J147" s="8" t="str">
        <x:v>depends on policy</x:v>
      </x:c>
      <x:c r="K147" s="8" t="str">
        <x:v>code change</x:v>
      </x:c>
      <x:c r="L147" s="8"/>
      <x:c r="M147" s="8"/>
      <x:c r="N147" s="8"/>
      <x:c r="O147" s="8"/>
      <x:c r="P147" s="1"/>
    </x:row>
    <x:row r="148">
      <x:c r="A148" s="8"/>
      <x:c r="B148" s="8"/>
      <x:c r="C148" s="8"/>
      <x:c r="D148" s="8"/>
      <x:c r="E148" s="8"/>
      <x:c r="F148" s="8"/>
      <x:c r="G148" s="8"/>
      <x:c r="H148" s="8"/>
      <x:c r="I148" s="8"/>
      <x:c r="J148" s="8"/>
      <x:c r="K148" s="8"/>
      <x:c r="L148" s="8"/>
      <x:c r="M148" s="8"/>
      <x:c r="N148" s="8"/>
      <x:c r="O148" s="8"/>
      <x:c r="P148" s="1"/>
    </x:row>
    <x:row r="149">
      <x:c r="A149" s="8" t="str">
        <x:v>file input</x:v>
      </x:c>
      <x:c r="B149" s="8" t="str">
        <x:v>yes</x:v>
      </x:c>
      <x:c r="C149" s="8" t="str">
        <x:v>no</x:v>
      </x:c>
      <x:c r="D149" s="8" t="str">
        <x:v>unknown</x:v>
      </x:c>
      <x:c r="E149" s="8" t="str">
        <x:v>unknown</x:v>
      </x:c>
      <x:c r="F149" s="8"/>
      <x:c r="G149" s="8" t="n">
        <x:v>0.16</x:v>
      </x:c>
      <x:c r="H149" s="8"/>
      <x:c r="I149" s="8" t="str">
        <x:v>observed</x:v>
      </x:c>
      <x:c r="J149" s="8" t="str">
        <x:v>not specified</x:v>
      </x:c>
      <x:c r="K149" s="8" t="str">
        <x:v>code change</x:v>
      </x:c>
      <x:c r="L149" s="8"/>
      <x:c r="M149" s="8"/>
      <x:c r="N149" s="8"/>
      <x:c r="O149" s="8"/>
      <x:c r="P149" s="1"/>
    </x:row>
    <x:row r="150">
      <x:c r="A150" s="8" t="str">
        <x:v>history</x:v>
      </x:c>
      <x:c r="B150" s="8" t="str">
        <x:v>yes</x:v>
      </x:c>
      <x:c r="C150" s="8" t="str">
        <x:v>yes</x:v>
      </x:c>
      <x:c r="D150" s="8" t="str">
        <x:v>partial</x:v>
      </x:c>
      <x:c r="E150" s="8" t="str">
        <x:v>yes</x:v>
      </x:c>
      <x:c r="F150" s="8" t="str">
        <x:v>This sentence is long enough to exercise wrapping and downstream chunk boundaries in Markdown output.</x:v>
      </x:c>
      <x:c r="G150" s="8" t="n">
        <x:v>0.86</x:v>
      </x:c>
      <x:c r="H150" s="8" t="str">
        <x:v>https://learn.microsoft.com/en-us/microsoft-edge/webview2/concepts/security</x:v>
      </x:c>
      <x:c r="I150" s="8" t="str">
        <x:v>not tested</x:v>
      </x:c>
      <x:c r="J150" s="8" t="str">
        <x:v>not specified</x:v>
      </x:c>
      <x:c r="K150" s="8" t="str">
        <x:v>documentation</x:v>
      </x:c>
      <x:c r="L150" s="8"/>
      <x:c r="M150" s="8"/>
      <x:c r="N150" s="8"/>
      <x:c r="O150" s="8"/>
      <x:c r="P150" s="1"/>
    </x:row>
    <x:row r="151">
      <x:c r="A151" s="8" t="str">
        <x:v>storage</x:v>
      </x:c>
      <x:c r="B151" s="8" t="str">
        <x:v>yes</x:v>
      </x:c>
      <x:c r="C151" s="8" t="str">
        <x:v>unknown</x:v>
      </x:c>
      <x:c r="D151" s="8" t="str">
        <x:v>unknown</x:v>
      </x:c>
      <x:c r="E151" s="8" t="str">
        <x:v>yes</x:v>
      </x:c>
      <x:c r="F151" s="8"/>
      <x:c r="G151" s="8" t="n">
        <x:v>0.75</x:v>
      </x:c>
      <x:c r="H151" s="8"/>
      <x:c r="I151" s="8" t="str">
        <x:v>not observed</x:v>
      </x:c>
      <x:c r="J151" s="8" t="str">
        <x:v>expected</x:v>
      </x:c>
      <x:c r="K151" s="8" t="str">
        <x:v>code change</x:v>
      </x:c>
      <x:c r="L151" s="8"/>
      <x:c r="M151" s="8"/>
      <x:c r="N151" s="8"/>
      <x:c r="O151" s="8"/>
      <x:c r="P151" s="1"/>
    </x:row>
    <x:row r="152">
      <x:c r="A152" s="8" t="str">
        <x:v>file input</x:v>
      </x:c>
      <x:c r="B152" s="8" t="str">
        <x:v>partial</x:v>
      </x:c>
      <x:c r="C152" s="8" t="str">
        <x:v>partial</x:v>
      </x:c>
      <x:c r="D152" s="8" t="str">
        <x:v>no</x:v>
      </x:c>
      <x:c r="E152" s="8" t="str">
        <x:v>partial</x:v>
      </x:c>
      <x:c r="F152" s="8"/>
      <x:c r="G152" s="8" t="n">
        <x:v>0.25</x:v>
      </x:c>
      <x:c r="H152" s="8"/>
      <x:c r="I152" s="8" t="str">
        <x:v>observed</x:v>
      </x:c>
      <x:c r="J152" s="8" t="str">
        <x:v>not specified</x:v>
      </x:c>
      <x:c r="K152" s="8" t="str">
        <x:v>code change</x:v>
      </x:c>
      <x:c r="L152" s="8"/>
      <x:c r="M152" s="8"/>
      <x:c r="N152" s="8"/>
      <x:c r="O152" s="8"/>
      <x:c r="P152" s="1"/>
    </x:row>
    <x:row r="153">
      <x:c r="A153" s="8" t="str">
        <x:v>cookies</x:v>
      </x:c>
      <x:c r="B153" s="8" t="str">
        <x:v>no</x:v>
      </x:c>
      <x:c r="C153" s="8" t="str">
        <x:v>yes</x:v>
      </x:c>
      <x:c r="D153" s="8" t="str">
        <x:v>yes</x:v>
      </x:c>
      <x:c r="E153" s="8" t="str">
        <x:v>partial</x:v>
      </x:c>
      <x:c r="F153" s="8" t="str">
        <x:v>Observed in a local test run: the content rendered, but the console warning appeared twice.</x:v>
      </x:c>
      <x:c r="G153" s="8" t="n">
        <x:v>0.26</x:v>
      </x:c>
      <x:c r="H153" s="8"/>
      <x:c r="I153" s="8" t="str">
        <x:v>not observed</x:v>
      </x:c>
      <x:c r="J153" s="8" t="str">
        <x:v>not specified</x:v>
      </x:c>
      <x:c r="K153" s="8" t="str">
        <x:v>documentation</x:v>
      </x:c>
      <x:c r="L153" s="8"/>
      <x:c r="M153" s="8"/>
      <x:c r="N153" s="8"/>
      <x:c r="O153" s="8"/>
      <x:c r="P153" s="1"/>
    </x:row>
    <x:row r="154">
      <x:c r="A154" s="8" t="str">
        <x:v>TLS</x:v>
      </x:c>
      <x:c r="B154" s="8" t="str">
        <x:v>no</x:v>
      </x:c>
      <x:c r="C154" s="8" t="str">
        <x:v>unknown</x:v>
      </x:c>
      <x:c r="D154" s="8" t="str">
        <x:v>partial</x:v>
      </x:c>
      <x:c r="E154" s="8" t="str">
        <x:v>yes</x:v>
      </x:c>
      <x:c r="F154" s="8"/>
      <x:c r="G154" s="8" t="n">
        <x:v>0.08</x:v>
      </x:c>
      <x:c r="H154" s="8"/>
      <x:c r="I154" s="8" t="str">
        <x:v>not observed</x:v>
      </x:c>
      <x:c r="J154" s="8" t="str">
        <x:v>not specified</x:v>
      </x:c>
      <x:c r="K154" s="8" t="str">
        <x:v>documentation</x:v>
      </x:c>
      <x:c r="L154" s="8"/>
      <x:c r="M154" s="8"/>
      <x:c r="N154" s="8"/>
      <x:c r="O154" s="8"/>
      <x:c r="P154" s="1"/>
    </x:row>
    <x:row r="155">
      <x:c r="A155" s="8" t="str">
        <x:v>history</x:v>
      </x:c>
      <x:c r="B155" s="8" t="str">
        <x:v>unknown</x:v>
      </x:c>
      <x:c r="C155" s="8" t="str">
        <x:v>no</x:v>
      </x:c>
      <x:c r="D155" s="8" t="str">
        <x:v>partial</x:v>
      </x:c>
      <x:c r="E155" s="8" t="str">
        <x:v>no</x:v>
      </x:c>
      <x:c r="F155" s="8" t="str">
        <x:v>This sentence is long enough to exercise wrapping and downstream chunk boundaries in Markdown output.</x:v>
      </x:c>
      <x:c r="G155" s="8" t="n">
        <x:v>0.33</x:v>
      </x:c>
      <x:c r="H155" s="8"/>
      <x:c r="I155" s="8" t="str">
        <x:v>intermittent</x:v>
      </x:c>
      <x:c r="J155" s="8" t="str">
        <x:v>expected</x:v>
      </x:c>
      <x:c r="K155" s="8" t="str">
        <x:v>investigate</x:v>
      </x:c>
      <x:c r="L155" s="8"/>
      <x:c r="M155" s="8"/>
      <x:c r="N155" s="8"/>
      <x:c r="O155" s="8"/>
      <x:c r="P155" s="1"/>
    </x:row>
    <x:row r="156">
      <x:c r="A156" s="8" t="str">
        <x:v>history</x:v>
      </x:c>
      <x:c r="B156" s="8" t="str">
        <x:v>unknown</x:v>
      </x:c>
      <x:c r="C156" s="8" t="str">
        <x:v>partial</x:v>
      </x:c>
      <x:c r="D156" s="8" t="str">
        <x:v>yes</x:v>
      </x:c>
      <x:c r="E156" s="8" t="str">
        <x:v>unknown</x:v>
      </x:c>
      <x:c r="F156" s="8" t="str">
        <x:v>The bridge callback is stable for small payloads, but large JSON messages show visible delay during navigation.</x:v>
      </x:c>
      <x:c r="G156" s="8" t="n">
        <x:v>0.23</x:v>
      </x:c>
      <x:c r="H156" s="8"/>
      <x:c r="I156" s="8" t="str">
        <x:v>observed</x:v>
      </x:c>
      <x:c r="J156" s="8" t="str">
        <x:v>depends on policy</x:v>
      </x:c>
      <x:c r="K156" s="8" t="str">
        <x:v>code change</x:v>
      </x:c>
      <x:c r="L156" s="8"/>
      <x:c r="M156" s="8"/>
      <x:c r="N156" s="8"/>
      <x:c r="O156" s="8"/>
      <x:c r="P156" s="1"/>
    </x:row>
    <x:row r="157">
      <x:c r="A157" s="8" t="str">
        <x:v>deep links</x:v>
      </x:c>
      <x:c r="B157" s="8" t="str">
        <x:v>unknown</x:v>
      </x:c>
      <x:c r="C157" s="8" t="str">
        <x:v>partial</x:v>
      </x:c>
      <x:c r="D157" s="8" t="str">
        <x:v>yes</x:v>
      </x:c>
      <x:c r="E157" s="8" t="str">
        <x:v>unknown</x:v>
      </x:c>
      <x:c r="F157" s="8" t="str">
        <x:v>The bridge callback is stable for small payloads, but large JSON messages show visible delay during navigation.</x:v>
      </x:c>
      <x:c r="G157" s="8" t="n">
        <x:v>0.79</x:v>
      </x:c>
      <x:c r="H157" s="8" t="str">
        <x:v>https://developer.microsoft.com/en-us/microsoft-edge/webview2/</x:v>
      </x:c>
      <x:c r="I157" s="8" t="str">
        <x:v>not tested</x:v>
      </x:c>
      <x:c r="J157" s="8" t="str">
        <x:v>depends on policy</x:v>
      </x:c>
      <x:c r="K157" s="8" t="str">
        <x:v>documentation</x:v>
      </x:c>
      <x:c r="L157" s="8"/>
      <x:c r="M157" s="8"/>
      <x:c r="N157" s="8"/>
      <x:c r="O157" s="8"/>
      <x:c r="P157" s="1"/>
    </x:row>
    <x:row r="158">
      <x:c r="A158" s="8" t="str">
        <x:v>history</x:v>
      </x:c>
      <x:c r="B158" s="8" t="str">
        <x:v>no</x:v>
      </x:c>
      <x:c r="C158" s="8" t="str">
        <x:v>no</x:v>
      </x:c>
      <x:c r="D158" s="8" t="str">
        <x:v>yes</x:v>
      </x:c>
      <x:c r="E158" s="8" t="str">
        <x:v>yes</x:v>
      </x:c>
      <x:c r="F158" s="8" t="str">
        <x:v>The owner field was not captured in the original notes, so classification should remain conservative.</x:v>
      </x:c>
      <x:c r="G158" s="8" t="n">
        <x:v>0.86</x:v>
      </x:c>
      <x:c r="H158" s="8" t="str">
        <x:v>https://github.com/react-native-webview/react-native-webview</x:v>
      </x:c>
      <x:c r="I158" s="8" t="str">
        <x:v>observed</x:v>
      </x:c>
      <x:c r="J158" s="8" t="str">
        <x:v>depends on policy</x:v>
      </x:c>
      <x:c r="K158" s="8" t="str">
        <x:v>documentation</x:v>
      </x:c>
      <x:c r="L158" s="8"/>
      <x:c r="M158" s="8"/>
      <x:c r="N158" s="8"/>
      <x:c r="O158" s="8"/>
      <x:c r="P158" s="1"/>
    </x:row>
    <x:row r="159">
      <x:c r="A159" s="8" t="str">
        <x:v>deep links</x:v>
      </x:c>
      <x:c r="B159" s="8" t="str">
        <x:v>unknown</x:v>
      </x:c>
      <x:c r="C159" s="8" t="str">
        <x:v>partial</x:v>
      </x:c>
      <x:c r="D159" s="8" t="str">
        <x:v>no</x:v>
      </x:c>
      <x:c r="E159" s="8" t="str">
        <x:v>partial</x:v>
      </x:c>
      <x:c r="F159" s="8" t="str">
        <x:v>A blank cell here is intentional. The source workbook has notes placed away from the nearest table.</x:v>
      </x:c>
      <x:c r="G159" s="8" t="n">
        <x:v>0.11</x:v>
      </x:c>
      <x:c r="H159" s="8" t="str">
        <x:v>https://developer.android.com/reference/android/webkit/WebView</x:v>
      </x:c>
      <x:c r="I159" s="8" t="str">
        <x:v>observed</x:v>
      </x:c>
      <x:c r="J159" s="8" t="str">
        <x:v>not specified</x:v>
      </x:c>
      <x:c r="K159" s="8" t="str">
        <x:v>code change</x:v>
      </x:c>
      <x:c r="L159" s="8"/>
      <x:c r="M159" s="8"/>
      <x:c r="N159" s="8"/>
      <x:c r="O159" s="8"/>
      <x:c r="P159" s="1"/>
    </x:row>
    <x:row r="160">
      <x:c r="A160" s="8" t="str">
        <x:v>downloads</x:v>
      </x:c>
      <x:c r="B160" s="8" t="str">
        <x:v>unknown</x:v>
      </x:c>
      <x:c r="C160" s="8" t="str">
        <x:v>partial</x:v>
      </x:c>
      <x:c r="D160" s="8" t="str">
        <x:v>yes</x:v>
      </x:c>
      <x:c r="E160" s="8" t="str">
        <x:v>partial</x:v>
      </x:c>
      <x:c r="F160" s="8"/>
      <x:c r="G160" s="8" t="n">
        <x:v>0.72</x:v>
      </x:c>
      <x:c r="H160" s="8" t="str">
        <x:v>https://learn.microsoft.com/en-us/microsoft-edge/webview2/concepts/security</x:v>
      </x:c>
      <x:c r="I160" s="8" t="str">
        <x:v>not tested</x:v>
      </x:c>
      <x:c r="J160" s="8" t="str">
        <x:v>depends on policy</x:v>
      </x:c>
      <x:c r="K160" s="8" t="str">
        <x:v>none</x:v>
      </x:c>
      <x:c r="L160" s="8"/>
      <x:c r="M160" s="8"/>
      <x:c r="N160" s="8"/>
      <x:c r="O160" s="8"/>
      <x:c r="P160" s="1"/>
    </x:row>
    <x:row r="161">
      <x:c r="A161" s="8" t="str">
        <x:v>storage</x:v>
      </x:c>
      <x:c r="B161" s="8" t="str">
        <x:v>no</x:v>
      </x:c>
      <x:c r="C161" s="8" t="str">
        <x:v>no</x:v>
      </x:c>
      <x:c r="D161" s="8" t="str">
        <x:v>yes</x:v>
      </x:c>
      <x:c r="E161" s="8" t="str">
        <x:v>yes</x:v>
      </x:c>
      <x:c r="F161" s="8" t="str">
        <x:v>The bridge callback is stable for small payloads, but large JSON messages show visible delay during navigation.</x:v>
      </x:c>
      <x:c r="G161" s="8" t="n">
        <x:v>0.86</x:v>
      </x:c>
      <x:c r="H161" s="8" t="str">
        <x:v>https://github.com/react-native-webview/react-native-webview</x:v>
      </x:c>
      <x:c r="I161" s="8" t="str">
        <x:v>not observed</x:v>
      </x:c>
      <x:c r="J161" s="8" t="str">
        <x:v>expected</x:v>
      </x:c>
      <x:c r="K161" s="8" t="str">
        <x:v>code change</x:v>
      </x:c>
      <x:c r="L161" s="8"/>
      <x:c r="M161" s="8"/>
      <x:c r="N161" s="8"/>
      <x:c r="O161" s="8"/>
      <x:c r="P161" s="1"/>
    </x:row>
    <x:row r="162">
      <x:c r="A162" s="8" t="str">
        <x:v>storage</x:v>
      </x:c>
      <x:c r="B162" s="8" t="str">
        <x:v>unknown</x:v>
      </x:c>
      <x:c r="C162" s="8" t="str">
        <x:v>unknown</x:v>
      </x:c>
      <x:c r="D162" s="8" t="str">
        <x:v>unknown</x:v>
      </x:c>
      <x:c r="E162" s="8" t="str">
        <x:v>yes</x:v>
      </x:c>
      <x:c r="F162" s="8"/>
      <x:c r="G162" s="8" t="n">
        <x:v>0.51</x:v>
      </x:c>
      <x:c r="H162" s="8" t="str">
        <x:v>https://developer.apple.com/documentation/webkit/wkwebview</x:v>
      </x:c>
      <x:c r="I162" s="8" t="str">
        <x:v>observed</x:v>
      </x:c>
      <x:c r="J162" s="8" t="str">
        <x:v>depends on policy</x:v>
      </x:c>
      <x:c r="K162" s="8" t="str">
        <x:v>code change</x:v>
      </x:c>
      <x:c r="L162" s="8"/>
      <x:c r="M162" s="8"/>
      <x:c r="N162" s="8"/>
      <x:c r="O162" s="8"/>
      <x:c r="P162" s="1"/>
    </x:row>
    <x:row r="163">
      <x:c r="A163" s="8" t="str">
        <x:v>deep links</x:v>
      </x:c>
      <x:c r="B163" s="8" t="str">
        <x:v>no</x:v>
      </x:c>
      <x:c r="C163" s="8" t="str">
        <x:v>partial</x:v>
      </x:c>
      <x:c r="D163" s="8" t="str">
        <x:v>partial</x:v>
      </x:c>
      <x:c r="E163" s="8" t="str">
        <x:v>no</x:v>
      </x:c>
      <x:c r="F163" s="8"/>
      <x:c r="G163" s="8" t="n">
        <x:v>0.95</x:v>
      </x:c>
      <x:c r="H163" s="8"/>
      <x:c r="I163" s="8" t="str">
        <x:v>not observed</x:v>
      </x:c>
      <x:c r="J163" s="8" t="str">
        <x:v>not specified</x:v>
      </x:c>
      <x:c r="K163" s="8" t="str">
        <x:v>none</x:v>
      </x:c>
      <x:c r="L163" s="8"/>
      <x:c r="M163" s="8"/>
      <x:c r="N163" s="8"/>
      <x:c r="O163" s="8"/>
      <x:c r="P163" s="1"/>
    </x:row>
    <x:row r="164">
      <x:c r="A164" s="8" t="str">
        <x:v>TLS</x:v>
      </x:c>
      <x:c r="B164" s="8" t="str">
        <x:v>partial</x:v>
      </x:c>
      <x:c r="C164" s="8" t="str">
        <x:v>yes</x:v>
      </x:c>
      <x:c r="D164" s="8" t="str">
        <x:v>unknown</x:v>
      </x:c>
      <x:c r="E164" s="8" t="str">
        <x:v>no</x:v>
      </x:c>
      <x:c r="F164" s="8" t="str">
        <x:v>Follow-up: compare the result when the network security policy is relaxed versus when it is enforced.</x:v>
      </x:c>
      <x:c r="G164" s="8" t="n">
        <x:v>0.11</x:v>
      </x:c>
      <x:c r="H164" s="8" t="str">
        <x:v>https://developer.microsoft.com/en-us/microsoft-edge/webview2/</x:v>
      </x:c>
      <x:c r="I164" s="8" t="str">
        <x:v>not tested</x:v>
      </x:c>
      <x:c r="J164" s="8" t="str">
        <x:v>depends on policy</x:v>
      </x:c>
      <x:c r="K164" s="8" t="str">
        <x:v>documentation</x:v>
      </x:c>
      <x:c r="L164" s="8"/>
      <x:c r="M164" s="8"/>
      <x:c r="N164" s="8"/>
      <x:c r="O164" s="8"/>
      <x:c r="P164" s="1"/>
    </x:row>
    <x:row r="165">
      <x:c r="A165" s="8" t="str">
        <x:v>media</x:v>
      </x:c>
      <x:c r="B165" s="8" t="str">
        <x:v>partial</x:v>
      </x:c>
      <x:c r="C165" s="8" t="str">
        <x:v>no</x:v>
      </x:c>
      <x:c r="D165" s="8" t="str">
        <x:v>no</x:v>
      </x:c>
      <x:c r="E165" s="8" t="str">
        <x:v>yes</x:v>
      </x:c>
      <x:c r="F165" s="8" t="str">
        <x:v>A blank cell here is intentional. The source workbook has notes placed away from the nearest table.</x:v>
      </x:c>
      <x:c r="G165" s="8" t="n">
        <x:v>0.44</x:v>
      </x:c>
      <x:c r="H165" s="8" t="str">
        <x:v>https://learn.microsoft.com/en-us/microsoft-edge/webview2/concepts/security</x:v>
      </x:c>
      <x:c r="I165" s="8" t="str">
        <x:v>not tested</x:v>
      </x:c>
      <x:c r="J165" s="8" t="str">
        <x:v>depends on policy</x:v>
      </x:c>
      <x:c r="K165" s="8" t="str">
        <x:v>code change</x:v>
      </x:c>
      <x:c r="L165" s="8"/>
      <x:c r="M165" s="8"/>
      <x:c r="N165" s="8"/>
      <x:c r="O165" s="8"/>
      <x:c r="P165" s="1"/>
    </x:row>
    <x:row r="166">
      <x:c r="A166" s="8"/>
      <x:c r="B166" s="8"/>
      <x:c r="C166" s="8"/>
      <x:c r="D166" s="8"/>
      <x:c r="E166" s="8"/>
      <x:c r="F166" s="8"/>
      <x:c r="G166" s="8"/>
      <x:c r="H166" s="8"/>
      <x:c r="I166" s="8"/>
      <x:c r="J166" s="8"/>
      <x:c r="K166" s="8"/>
      <x:c r="L166" s="8"/>
      <x:c r="M166" s="8"/>
      <x:c r="N166" s="8"/>
      <x:c r="O166" s="8"/>
      <x:c r="P166" s="1"/>
    </x:row>
    <x:row r="167">
      <x:c r="A167" s="8" t="str">
        <x:v>headers</x:v>
      </x:c>
      <x:c r="B167" s="8" t="str">
        <x:v>no</x:v>
      </x:c>
      <x:c r="C167" s="8" t="str">
        <x:v>unknown</x:v>
      </x:c>
      <x:c r="D167" s="8" t="str">
        <x:v>unknown</x:v>
      </x:c>
      <x:c r="E167" s="8" t="str">
        <x:v>yes</x:v>
      </x:c>
      <x:c r="F167" s="8" t="str">
        <x:v>The bridge callback is stable for small payloads, but large JSON messages show visible delay during navigation.</x:v>
      </x:c>
      <x:c r="G167" s="8" t="n">
        <x:v>0.93</x:v>
      </x:c>
      <x:c r="H167" s="8" t="str">
        <x:v>https://developer.android.com/reference/android/webkit/WebView</x:v>
      </x:c>
      <x:c r="I167" s="8" t="str">
        <x:v>not tested</x:v>
      </x:c>
      <x:c r="J167" s="8" t="str">
        <x:v>expected</x:v>
      </x:c>
      <x:c r="K167" s="8" t="str">
        <x:v>none</x:v>
      </x:c>
      <x:c r="L167" s="8"/>
      <x:c r="M167" s="8"/>
      <x:c r="N167" s="8"/>
      <x:c r="O167" s="8"/>
      <x:c r="P167" s="1"/>
    </x:row>
    <x:row r="168">
      <x:c r="A168" s="8" t="str">
        <x:v>storage</x:v>
      </x:c>
      <x:c r="B168" s="8" t="str">
        <x:v>no</x:v>
      </x:c>
      <x:c r="C168" s="8" t="str">
        <x:v>unknown</x:v>
      </x:c>
      <x:c r="D168" s="8" t="str">
        <x:v>yes</x:v>
      </x:c>
      <x:c r="E168" s="8" t="str">
        <x:v>partial</x:v>
      </x:c>
      <x:c r="F168" s="8" t="str">
        <x:v>Follow-up: compare the result when the network security policy is relaxed versus when it is enforced.</x:v>
      </x:c>
      <x:c r="G168" s="8" t="n">
        <x:v>0.66</x:v>
      </x:c>
      <x:c r="H168" s="8"/>
      <x:c r="I168" s="8" t="str">
        <x:v>observed</x:v>
      </x:c>
      <x:c r="J168" s="8" t="str">
        <x:v>expected</x:v>
      </x:c>
      <x:c r="K168" s="8" t="str">
        <x:v>none</x:v>
      </x:c>
      <x:c r="L168" s="8"/>
      <x:c r="M168" s="8"/>
      <x:c r="N168" s="8"/>
      <x:c r="O168" s="8"/>
      <x:c r="P168" s="1"/>
    </x:row>
    <x:row r="169">
      <x:c r="A169" s="8" t="str">
        <x:v>headers</x:v>
      </x:c>
      <x:c r="B169" s="8" t="str">
        <x:v>no</x:v>
      </x:c>
      <x:c r="C169" s="8" t="str">
        <x:v>no</x:v>
      </x:c>
      <x:c r="D169" s="8" t="str">
        <x:v>partial</x:v>
      </x:c>
      <x:c r="E169" s="8" t="str">
        <x:v>no</x:v>
      </x:c>
      <x:c r="F169" s="8" t="str">
        <x:v>Potential duplicate: this paragraph is repeated in another section to test deduplication and chunk metadata.</x:v>
      </x:c>
      <x:c r="G169" s="8" t="n">
        <x:v>0.09</x:v>
      </x:c>
      <x:c r="H169" s="8"/>
      <x:c r="I169" s="8" t="str">
        <x:v>not observed</x:v>
      </x:c>
      <x:c r="J169" s="8" t="str">
        <x:v>expected</x:v>
      </x:c>
      <x:c r="K169" s="8" t="str">
        <x:v>code change</x:v>
      </x:c>
      <x:c r="L169" s="8"/>
      <x:c r="M169" s="8"/>
      <x:c r="N169" s="8"/>
      <x:c r="O169" s="8"/>
      <x:c r="P169" s="1"/>
    </x:row>
    <x:row r="170">
      <x:c r="A170" s="8" t="str">
        <x:v>cookies</x:v>
      </x:c>
      <x:c r="B170" s="8" t="str">
        <x:v>unknown</x:v>
      </x:c>
      <x:c r="C170" s="8" t="str">
        <x:v>unknown</x:v>
      </x:c>
      <x:c r="D170" s="8" t="str">
        <x:v>no</x:v>
      </x:c>
      <x:c r="E170" s="8" t="str">
        <x:v>yes</x:v>
      </x:c>
      <x:c r="F170" s="8" t="str">
        <x:v>Observed in a local test run: the content rendered, but the console warning appeared twice.</x:v>
      </x:c>
      <x:c r="G170" s="8" t="n">
        <x:v>0.61</x:v>
      </x:c>
      <x:c r="H170" s="8" t="str">
        <x:v>https://developer.android.com/reference/android/webkit/WebView</x:v>
      </x:c>
      <x:c r="I170" s="8" t="str">
        <x:v>intermittent</x:v>
      </x:c>
      <x:c r="J170" s="8" t="str">
        <x:v>not specified</x:v>
      </x:c>
      <x:c r="K170" s="8" t="str">
        <x:v>documentation</x:v>
      </x:c>
      <x:c r="L170" s="8"/>
      <x:c r="M170" s="8"/>
      <x:c r="N170" s="8"/>
      <x:c r="O170" s="8"/>
      <x:c r="P170" s="1"/>
    </x:row>
    <x:row r="171">
      <x:c r="A171" s="1" t="str">
        <x:v>proxy</x:v>
      </x:c>
      <x:c r="B171" s="1" t="str">
        <x:v>no</x:v>
      </x:c>
      <x:c r="C171" s="1" t="str">
        <x:v>no</x:v>
      </x:c>
      <x:c r="D171" s="1" t="str">
        <x:v>unknown</x:v>
      </x:c>
      <x:c r="E171" s="1" t="str">
        <x:v>no</x:v>
      </x:c>
      <x:c r="F171" s="1"/>
      <x:c r="G171" s="1" t="n">
        <x:v>0.94</x:v>
      </x:c>
      <x:c r="H171" s="1" t="str">
        <x:v>https://developer.apple.com/documentation/webkit/wkwebview</x:v>
      </x:c>
      <x:c r="I171" s="1" t="str">
        <x:v>not tested</x:v>
      </x:c>
      <x:c r="J171" s="1" t="str">
        <x:v>depends on policy</x:v>
      </x:c>
      <x:c r="K171" s="1" t="str">
        <x:v>documentation</x:v>
      </x:c>
      <x:c r="L171" s="1"/>
      <x:c r="M171" s="1"/>
      <x:c r="N171" s="1"/>
      <x:c r="O171" s="1"/>
      <x:c r="P171" s="1"/>
    </x:row>
    <x:row r="172">
      <x:c r="A172" s="1" t="str">
        <x:v>headers</x:v>
      </x:c>
      <x:c r="B172" s="1" t="str">
        <x:v>unknown</x:v>
      </x:c>
      <x:c r="C172" s="1" t="str">
        <x:v>no</x:v>
      </x:c>
      <x:c r="D172" s="1" t="str">
        <x:v>no</x:v>
      </x:c>
      <x:c r="E172" s="1" t="str">
        <x:v>partial</x:v>
      </x:c>
      <x:c r="F172" s="1"/>
      <x:c r="G172" s="1" t="n">
        <x:v>0.84</x:v>
      </x:c>
      <x:c r="H172" s="1"/>
      <x:c r="I172" s="1" t="str">
        <x:v>observed</x:v>
      </x:c>
      <x:c r="J172" s="1" t="str">
        <x:v>depends on policy</x:v>
      </x:c>
      <x:c r="K172" s="1" t="str">
        <x:v>none</x:v>
      </x:c>
      <x:c r="L172" s="1"/>
      <x:c r="M172" s="1"/>
      <x:c r="N172" s="1"/>
      <x:c r="O172" s="1"/>
      <x:c r="P172" s="1"/>
    </x:row>
    <x:row r="173">
      <x:c r="A173" s="1" t="str">
        <x:v>file input</x:v>
      </x:c>
      <x:c r="B173" s="1" t="str">
        <x:v>yes</x:v>
      </x:c>
      <x:c r="C173" s="1" t="str">
        <x:v>yes</x:v>
      </x:c>
      <x:c r="D173" s="1" t="str">
        <x:v>unknown</x:v>
      </x:c>
      <x:c r="E173" s="1" t="str">
        <x:v>partial</x:v>
      </x:c>
      <x:c r="F173" s="1"/>
      <x:c r="G173" s="1" t="n">
        <x:v>0.53</x:v>
      </x:c>
      <x:c r="H173" s="1"/>
      <x:c r="I173" s="1" t="str">
        <x:v>not tested</x:v>
      </x:c>
      <x:c r="J173" s="1" t="str">
        <x:v>depends on policy</x:v>
      </x:c>
      <x:c r="K173" s="1" t="str">
        <x:v>none</x:v>
      </x:c>
      <x:c r="L173" s="1"/>
      <x:c r="M173" s="1"/>
      <x:c r="N173" s="1"/>
      <x:c r="O173" s="1"/>
      <x:c r="P173" s="1"/>
    </x:row>
  </x:sheetData>
  <x:mergeCells>
    <x:mergeCell ref="B1:O1"/>
  </x:mergeCells>
  <x:pageMargins left="0.7" right="0.7" top="0.75" bottom="0.75" header="0.3" footer="0.3"/>
</x:worksheet>
</file>

<file path=xl/worksheets/sheet8.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5" hidden="0" customWidth="1"/>
    <x:col min="2" max="2" width="20" hidden="0" customWidth="1"/>
    <x:col min="3" max="3" width="14" hidden="0" customWidth="1"/>
    <x:col min="4" max="4" width="20" hidden="0" customWidth="1"/>
    <x:col min="5" max="5" width="14" hidden="0" customWidth="1"/>
    <x:col min="6" max="6" width="14" hidden="0" customWidth="1"/>
    <x:col min="7" max="7" width="11" hidden="0" customWidth="1"/>
    <x:col min="8" max="8" width="14" hidden="0" customWidth="1"/>
    <x:col min="9" max="9" width="48" hidden="0" customWidth="1"/>
    <x:col min="10" max="10" width="14" hidden="0" customWidth="1"/>
    <x:col min="11" max="11" width="14" hidden="0" customWidth="1"/>
    <x:col min="12" max="12" width="42" hidden="0" customWidth="1"/>
  </x:cols>
  <x:sheetData>
    <x:row r="1">
      <x:c r="A1" s="7" t="str">
        <x:v>Performance Logs</x:v>
      </x:c>
      <x:c r="B1" s="7"/>
      <x:c r="C1" s="7"/>
      <x:c r="D1" s="7"/>
      <x:c r="E1" s="7"/>
      <x:c r="F1" s="7"/>
      <x:c r="G1" s="7"/>
      <x:c r="H1" s="7"/>
      <x:c r="I1" s="7"/>
      <x:c r="J1" s="7"/>
      <x:c r="K1" s="7"/>
      <x:c r="L1" s="7"/>
    </x:row>
    <x:row r="2">
      <x:c r="A2" s="4" t="str">
        <x:v>Event ID</x:v>
      </x:c>
      <x:c r="B2" s="4" t="str">
        <x:v>Timestamp</x:v>
      </x:c>
      <x:c r="C2" s="4" t="str">
        <x:v>Platform</x:v>
      </x:c>
      <x:c r="D2" s="4" t="str">
        <x:v>Scenario</x:v>
      </x:c>
      <x:c r="E2" s="4" t="str">
        <x:v>Latency ms</x:v>
      </x:c>
      <x:c r="F2" s="4" t="str">
        <x:v>Memory MB</x:v>
      </x:c>
      <x:c r="G2" s="4" t="str">
        <x:v>Success</x:v>
      </x:c>
      <x:c r="H2" s="4" t="str">
        <x:v>Payload KB</x:v>
      </x:c>
      <x:c r="I2" s="4" t="str">
        <x:v>Raw note</x:v>
      </x:c>
      <x:c r="J2" s="4" t="str">
        <x:v>Success flag</x:v>
      </x:c>
      <x:c r="K2" s="4" t="str">
        <x:v>Risk score</x:v>
      </x:c>
      <x:c r="L2" s="4" t="str">
        <x:v>Trace URL</x:v>
      </x:c>
    </x:row>
    <x:row r="3">
      <x:c r="A3" s="8" t="str">
        <x:v>evt-00001</x:v>
      </x:c>
      <x:c r="B3" s="10" t="n">
        <x:v>46023</x:v>
      </x:c>
      <x:c r="C3" s="8" t="str">
        <x:v>iOS</x:v>
      </x:c>
      <x:c r="D3" s="8" t="str">
        <x:v>large JSON</x:v>
      </x:c>
      <x:c r="E3" s="12" t="n">
        <x:v>1384</x:v>
      </x:c>
      <x:c r="F3" s="12" t="n">
        <x:v>495.8</x:v>
      </x:c>
      <x:c r="G3" s="8" t="str">
        <x:v>yes</x:v>
      </x:c>
      <x:c r="H3" s="8" t="n">
        <x:v>430</x:v>
      </x:c>
      <x:c r="I3" s="8" t="str">
        <x:v>Potential duplicate: this paragraph is repeated in another section to test deduplication and chunk metadata.</x:v>
      </x:c>
      <x:c r="J3" s="8" t="n">
        <x:f>IF(G3="yes",1,0)</x:f>
        <x:v>1</x:v>
      </x:c>
      <x:c r="K3" s="8" t="n">
        <x:f>IF(G3="no",5,IF(E3&gt;800,3,1))</x:f>
        <x:v>3</x:v>
      </x:c>
      <x:c r="L3" s="8" t="str">
        <x:v>https://learn.microsoft.com/en-us/microsoft-edge/webview2/concepts/security</x:v>
      </x:c>
    </x:row>
    <x:row r="4">
      <x:c r="A4" s="8" t="str">
        <x:v>evt-00002</x:v>
      </x:c>
      <x:c r="B4" s="10" t="n">
        <x:v>46055.04237268519</x:v>
      </x:c>
      <x:c r="C4" s="8" t="str">
        <x:v>Android</x:v>
      </x:c>
      <x:c r="D4" s="8" t="str">
        <x:v>large JSON</x:v>
      </x:c>
      <x:c r="E4" s="12" t="n">
        <x:v>1317</x:v>
      </x:c>
      <x:c r="F4" s="12" t="n">
        <x:v>385.4</x:v>
      </x:c>
      <x:c r="G4" s="8" t="str">
        <x:v>yes</x:v>
      </x:c>
      <x:c r="H4" s="8" t="n">
        <x:v>712</x:v>
      </x:c>
      <x:c r="I4" s="8" t="str">
        <x:v>The owner field was not captured in the original notes, so classification should remain conservative.</x:v>
      </x:c>
      <x:c r="J4" s="8" t="n">
        <x:f>IF(G4="yes",1,0)</x:f>
        <x:v>1</x:v>
      </x:c>
      <x:c r="K4" s="8" t="n">
        <x:f>IF(G4="no",5,IF(E4&gt;800,3,1))</x:f>
        <x:v>3</x:v>
      </x:c>
      <x:c r="L4" s="8"/>
    </x:row>
    <x:row r="5">
      <x:c r="A5" s="8" t="str">
        <x:v>evt-00003</x:v>
      </x:c>
      <x:c r="B5" s="10" t="n">
        <x:v>46084.08474537037</x:v>
      </x:c>
      <x:c r="C5" s="8" t="str">
        <x:v>iOS</x:v>
      </x:c>
      <x:c r="D5" s="8" t="str">
        <x:v>download</x:v>
      </x:c>
      <x:c r="E5" s="12" t="n">
        <x:v>1101</x:v>
      </x:c>
      <x:c r="F5" s="12" t="n">
        <x:v>128.1</x:v>
      </x:c>
      <x:c r="G5" s="8" t="str">
        <x:v>yes</x:v>
      </x:c>
      <x:c r="H5" s="8" t="n">
        <x:v>636</x:v>
      </x:c>
      <x:c r="I5" s="8" t="str">
        <x:v>Verify behavior on a cold start and after the page reloads without destroying the native view.</x:v>
      </x:c>
      <x:c r="J5" s="8" t="n">
        <x:f>IF(G5="yes",1,0)</x:f>
        <x:v>1</x:v>
      </x:c>
      <x:c r="K5" s="8" t="n">
        <x:f>IF(G5="no",5,IF(E5&gt;800,3,1))</x:f>
        <x:v>3</x:v>
      </x:c>
      <x:c r="L5" s="8"/>
    </x:row>
    <x:row r="6">
      <x:c r="A6" s="8" t="str">
        <x:v>evt-00004</x:v>
      </x:c>
      <x:c r="B6" s="10" t="n">
        <x:v>46116.127118055556</x:v>
      </x:c>
      <x:c r="C6" s="8" t="str">
        <x:v>Android</x:v>
      </x:c>
      <x:c r="D6" s="8" t="str">
        <x:v>reload</x:v>
      </x:c>
      <x:c r="E6" s="12" t="n">
        <x:v>281</x:v>
      </x:c>
      <x:c r="F6" s="12" t="n">
        <x:v>634.4</x:v>
      </x:c>
      <x:c r="G6" s="8" t="str">
        <x:v>yes</x:v>
      </x:c>
      <x:c r="H6" s="8" t="n">
        <x:v>719</x:v>
      </x:c>
      <x:c r="I6" s="8"/>
      <x:c r="J6" s="8" t="n">
        <x:f>IF(G6="yes",1,0)</x:f>
        <x:v>1</x:v>
      </x:c>
      <x:c r="K6" s="8" t="n">
        <x:f>IF(G6="no",5,IF(E6&gt;800,3,1))</x:f>
        <x:v>1</x:v>
      </x:c>
      <x:c r="L6" s="8" t="str">
        <x:v>https://developer.apple.com/documentation/webkit/wkwebview</x:v>
      </x:c>
    </x:row>
    <x:row r="7">
      <x:c r="A7" s="8" t="str">
        <x:v>evt-00005</x:v>
      </x:c>
      <x:c r="B7" s="10" t="n">
        <x:v>46147.169490740744</x:v>
      </x:c>
      <x:c r="C7" s="8" t="str">
        <x:v>macOS</x:v>
      </x:c>
      <x:c r="D7" s="8" t="str">
        <x:v>file upload</x:v>
      </x:c>
      <x:c r="E7" s="12" t="n">
        <x:v>722</x:v>
      </x:c>
      <x:c r="F7" s="12" t="n">
        <x:v>929.1</x:v>
      </x:c>
      <x:c r="G7" s="8" t="str">
        <x:v>yes</x:v>
      </x:c>
      <x:c r="H7" s="8" t="n">
        <x:v>300</x:v>
      </x:c>
      <x:c r="I7" s="8"/>
      <x:c r="J7" s="8" t="n">
        <x:f>IF(G7="yes",1,0)</x:f>
        <x:v>1</x:v>
      </x:c>
      <x:c r="K7" s="8" t="n">
        <x:f>IF(G7="no",5,IF(E7&gt;800,3,1))</x:f>
        <x:v>1</x:v>
      </x:c>
      <x:c r="L7" s="8" t="str">
        <x:v>https://github.com/react-native-webview/react-native-webview</x:v>
      </x:c>
    </x:row>
    <x:row r="8">
      <x:c r="A8" s="8" t="str">
        <x:v>evt-00006</x:v>
      </x:c>
      <x:c r="B8" s="10" t="n">
        <x:v>46179.211863425924</x:v>
      </x:c>
      <x:c r="C8" s="8" t="str">
        <x:v>iOS</x:v>
      </x:c>
      <x:c r="D8" s="8" t="str">
        <x:v>large JSON</x:v>
      </x:c>
      <x:c r="E8" s="12" t="n">
        <x:v>1401</x:v>
      </x:c>
      <x:c r="F8" s="12" t="n">
        <x:v>176.3</x:v>
      </x:c>
      <x:c r="G8" s="8" t="str">
        <x:v>yes</x:v>
      </x:c>
      <x:c r="H8" s="8" t="n">
        <x:v>168</x:v>
      </x:c>
      <x:c r="I8" s="8" t="str">
        <x:v>This sentence is long enough to exercise wrapping and downstream chunk boundaries in Markdown output.</x:v>
      </x:c>
      <x:c r="J8" s="8" t="n">
        <x:f>IF(G8="yes",1,0)</x:f>
        <x:v>1</x:v>
      </x:c>
      <x:c r="K8" s="8" t="n">
        <x:f>IF(G8="no",5,IF(E8&gt;800,3,1))</x:f>
        <x:v>3</x:v>
      </x:c>
      <x:c r="L8" s="8" t="str">
        <x:v>https://developer.android.com/reference/android/webkit/WebView</x:v>
      </x:c>
    </x:row>
    <x:row r="9">
      <x:c r="A9" s="8" t="str">
        <x:v>evt-00007</x:v>
      </x:c>
      <x:c r="B9" s="10" t="n">
        <x:v>46210.25423611111</x:v>
      </x:c>
      <x:c r="C9" s="8" t="str">
        <x:v>iOS</x:v>
      </x:c>
      <x:c r="D9" s="8" t="str">
        <x:v>cold launch</x:v>
      </x:c>
      <x:c r="E9" s="12" t="n">
        <x:v>573</x:v>
      </x:c>
      <x:c r="F9" s="12" t="n">
        <x:v>97.1</x:v>
      </x:c>
      <x:c r="G9" s="8" t="str">
        <x:v>yes</x:v>
      </x:c>
      <x:c r="H9" s="8" t="n">
        <x:v>543</x:v>
      </x:c>
      <x:c r="I9" s="8" t="str">
        <x:v>A blank cell here is intentional. The source workbook has notes placed away from the nearest table.</x:v>
      </x:c>
      <x:c r="J9" s="8" t="n">
        <x:f>IF(G9="yes",1,0)</x:f>
        <x:v>1</x:v>
      </x:c>
      <x:c r="K9" s="8" t="n">
        <x:f>IF(G9="no",5,IF(E9&gt;800,3,1))</x:f>
        <x:v>1</x:v>
      </x:c>
      <x:c r="L9" s="8" t="str">
        <x:v>https://developer.microsoft.com/en-us/microsoft-edge/webview2/</x:v>
      </x:c>
    </x:row>
    <x:row r="10">
      <x:c r="A10" s="8" t="str">
        <x:v>evt-00008</x:v>
      </x:c>
      <x:c r="B10" s="10" t="n">
        <x:v>46242.2966087963</x:v>
      </x:c>
      <x:c r="C10" s="8" t="str">
        <x:v>Android</x:v>
      </x:c>
      <x:c r="D10" s="8" t="str">
        <x:v>cold launch</x:v>
      </x:c>
      <x:c r="E10" s="12" t="n">
        <x:v>887</x:v>
      </x:c>
      <x:c r="F10" s="12" t="n">
        <x:v>364.6</x:v>
      </x:c>
      <x:c r="G10" s="8" t="str">
        <x:v>yes</x:v>
      </x:c>
      <x:c r="H10" s="8" t="n">
        <x:v>18</x:v>
      </x:c>
      <x:c r="I10" s="8"/>
      <x:c r="J10" s="8" t="n">
        <x:f>IF(G10="yes",1,0)</x:f>
        <x:v>1</x:v>
      </x:c>
      <x:c r="K10" s="8" t="n">
        <x:f>IF(G10="no",5,IF(E10&gt;800,3,1))</x:f>
        <x:v>3</x:v>
      </x:c>
      <x:c r="L10" s="8"/>
    </x:row>
    <x:row r="11">
      <x:c r="A11" s="8" t="str">
        <x:v>evt-00009</x:v>
      </x:c>
      <x:c r="B11" s="10" t="n">
        <x:v>46274.33898148148</x:v>
      </x:c>
      <x:c r="C11" s="8" t="str">
        <x:v>Windows</x:v>
      </x:c>
      <x:c r="D11" s="8" t="str">
        <x:v>navigation</x:v>
      </x:c>
      <x:c r="E11" s="12" t="n">
        <x:v>1425</x:v>
      </x:c>
      <x:c r="F11" s="12" t="n">
        <x:v>871.2</x:v>
      </x:c>
      <x:c r="G11" s="8" t="str">
        <x:v>yes</x:v>
      </x:c>
      <x:c r="H11" s="8" t="n">
        <x:v>134</x:v>
      </x:c>
      <x:c r="I11" s="8"/>
      <x:c r="J11" s="8" t="n">
        <x:f>IF(G11="yes",1,0)</x:f>
        <x:v>1</x:v>
      </x:c>
      <x:c r="K11" s="8" t="n">
        <x:f>IF(G11="no",5,IF(E11&gt;800,3,1))</x:f>
        <x:v>3</x:v>
      </x:c>
      <x:c r="L11" s="8"/>
    </x:row>
    <x:row r="12">
      <x:c r="A12" s="8" t="str">
        <x:v>evt-00010</x:v>
      </x:c>
      <x:c r="B12" s="10" t="n">
        <x:v>46032.38135416667</x:v>
      </x:c>
      <x:c r="C12" s="8" t="str">
        <x:v>macOS</x:v>
      </x:c>
      <x:c r="D12" s="8" t="str">
        <x:v>download</x:v>
      </x:c>
      <x:c r="E12" s="12" t="n">
        <x:v>676</x:v>
      </x:c>
      <x:c r="F12" s="12" t="n">
        <x:v>189.5</x:v>
      </x:c>
      <x:c r="G12" s="8" t="str">
        <x:v>no</x:v>
      </x:c>
      <x:c r="H12" s="8" t="n">
        <x:v>870</x:v>
      </x:c>
      <x:c r="I12" s="8" t="str">
        <x:v>A blank cell here is intentional. The source workbook has notes placed away from the nearest table.</x:v>
      </x:c>
      <x:c r="J12" s="8" t="n">
        <x:f>IF(G12="yes",1,0)</x:f>
        <x:v>0</x:v>
      </x:c>
      <x:c r="K12" s="8" t="n">
        <x:f>IF(G12="no",5,IF(E12&gt;800,3,1))</x:f>
        <x:v>5</x:v>
      </x:c>
      <x:c r="L12" s="8" t="str">
        <x:v>https://developer.android.com/reference/android/webkit/WebView</x:v>
      </x:c>
    </x:row>
    <x:row r="13">
      <x:c r="A13" s="8" t="str">
        <x:v>evt-00011</x:v>
      </x:c>
      <x:c r="B13" s="10" t="n">
        <x:v>46064.423726851855</x:v>
      </x:c>
      <x:c r="C13" s="8" t="str">
        <x:v>iOS</x:v>
      </x:c>
      <x:c r="D13" s="8" t="str">
        <x:v>reload</x:v>
      </x:c>
      <x:c r="E13" s="12" t="n">
        <x:v>287</x:v>
      </x:c>
      <x:c r="F13" s="12" t="n">
        <x:v>132</x:v>
      </x:c>
      <x:c r="G13" s="8" t="str">
        <x:v>yes</x:v>
      </x:c>
      <x:c r="H13" s="8" t="n">
        <x:v>496</x:v>
      </x:c>
      <x:c r="I13" s="8"/>
      <x:c r="J13" s="8" t="n">
        <x:f>IF(G13="yes",1,0)</x:f>
        <x:v>1</x:v>
      </x:c>
      <x:c r="K13" s="8" t="n">
        <x:f>IF(G13="no",5,IF(E13&gt;800,3,1))</x:f>
        <x:v>1</x:v>
      </x:c>
      <x:c r="L13" s="8"/>
    </x:row>
    <x:row r="14">
      <x:c r="A14" s="8" t="str">
        <x:v>evt-00012</x:v>
      </x:c>
      <x:c r="B14" s="10" t="n">
        <x:v>46093.466099537036</x:v>
      </x:c>
      <x:c r="C14" s="8" t="str">
        <x:v>Windows</x:v>
      </x:c>
      <x:c r="D14" s="8" t="str">
        <x:v>cold launch</x:v>
      </x:c>
      <x:c r="E14" s="12" t="n">
        <x:v>263</x:v>
      </x:c>
      <x:c r="F14" s="12" t="n">
        <x:v>113.6</x:v>
      </x:c>
      <x:c r="G14" s="8" t="str">
        <x:v>yes</x:v>
      </x:c>
      <x:c r="H14" s="8" t="n">
        <x:v>827</x:v>
      </x:c>
      <x:c r="I14" s="8" t="str">
        <x:v>The bridge callback is stable for small payloads, but large JSON messages show visible delay during navigation.</x:v>
      </x:c>
      <x:c r="J14" s="8" t="n">
        <x:f>IF(G14="yes",1,0)</x:f>
        <x:v>1</x:v>
      </x:c>
      <x:c r="K14" s="8" t="n">
        <x:f>IF(G14="no",5,IF(E14&gt;800,3,1))</x:f>
        <x:v>1</x:v>
      </x:c>
      <x:c r="L14" s="8" t="str">
        <x:v>https://developer.microsoft.com/en-us/microsoft-edge/webview2/</x:v>
      </x:c>
    </x:row>
    <x:row r="15">
      <x:c r="A15" s="8" t="str">
        <x:v>evt-00013</x:v>
      </x:c>
      <x:c r="B15" s="10" t="n">
        <x:v>46125.508472222224</x:v>
      </x:c>
      <x:c r="C15" s="8" t="str">
        <x:v>Android</x:v>
      </x:c>
      <x:c r="D15" s="8" t="str">
        <x:v>bridge message</x:v>
      </x:c>
      <x:c r="E15" s="12" t="n">
        <x:v>831</x:v>
      </x:c>
      <x:c r="F15" s="12" t="n">
        <x:v>642.8</x:v>
      </x:c>
      <x:c r="G15" s="8" t="str">
        <x:v>yes</x:v>
      </x:c>
      <x:c r="H15" s="8" t="n">
        <x:v>694</x:v>
      </x:c>
      <x:c r="I15" s="8" t="str">
        <x:v>The bridge callback is stable for small payloads, but large JSON messages show visible delay during navigation.</x:v>
      </x:c>
      <x:c r="J15" s="8" t="n">
        <x:f>IF(G15="yes",1,0)</x:f>
        <x:v>1</x:v>
      </x:c>
      <x:c r="K15" s="8" t="n">
        <x:f>IF(G15="no",5,IF(E15&gt;800,3,1))</x:f>
        <x:v>3</x:v>
      </x:c>
      <x:c r="L15" s="8"/>
    </x:row>
    <x:row r="16">
      <x:c r="A16" s="8" t="str">
        <x:v>evt-00014</x:v>
      </x:c>
      <x:c r="B16" s="10" t="n">
        <x:v>46156.550844907404</x:v>
      </x:c>
      <x:c r="C16" s="8" t="str">
        <x:v>iOS</x:v>
      </x:c>
      <x:c r="D16" s="8" t="str">
        <x:v>reload</x:v>
      </x:c>
      <x:c r="E16" s="12" t="n">
        <x:v>1295</x:v>
      </x:c>
      <x:c r="F16" s="12" t="n">
        <x:v>608.2</x:v>
      </x:c>
      <x:c r="G16" s="8" t="str">
        <x:v>yes</x:v>
      </x:c>
      <x:c r="H16" s="8" t="n">
        <x:v>743</x:v>
      </x:c>
      <x:c r="I16" s="8" t="str">
        <x:v>Observed in a local test run: the content rendered, but the console warning appeared twice.</x:v>
      </x:c>
      <x:c r="J16" s="8" t="n">
        <x:f>IF(G16="yes",1,0)</x:f>
        <x:v>1</x:v>
      </x:c>
      <x:c r="K16" s="8" t="n">
        <x:f>IF(G16="no",5,IF(E16&gt;800,3,1))</x:f>
        <x:v>3</x:v>
      </x:c>
      <x:c r="L16" s="8"/>
    </x:row>
    <x:row r="17">
      <x:c r="A17" s="8" t="str">
        <x:v>evt-00015</x:v>
      </x:c>
      <x:c r="B17" s="10" t="n">
        <x:v>46188.59321759259</x:v>
      </x:c>
      <x:c r="C17" s="8" t="str">
        <x:v>Android</x:v>
      </x:c>
      <x:c r="D17" s="8" t="str">
        <x:v>bridge message</x:v>
      </x:c>
      <x:c r="E17" s="12" t="n">
        <x:v>841</x:v>
      </x:c>
      <x:c r="F17" s="12" t="n">
        <x:v>684.4</x:v>
      </x:c>
      <x:c r="G17" s="8" t="str">
        <x:v>yes</x:v>
      </x:c>
      <x:c r="H17" s="8" t="n">
        <x:v>752</x:v>
      </x:c>
      <x:c r="I17" s="8"/>
      <x:c r="J17" s="8" t="n">
        <x:f>IF(G17="yes",1,0)</x:f>
        <x:v>1</x:v>
      </x:c>
      <x:c r="K17" s="8" t="n">
        <x:f>IF(G17="no",5,IF(E17&gt;800,3,1))</x:f>
        <x:v>3</x:v>
      </x:c>
      <x:c r="L17" s="8" t="str">
        <x:v>https://developer.android.com/reference/android/webkit/WebView</x:v>
      </x:c>
    </x:row>
    <x:row r="18">
      <x:c r="A18" s="8" t="str">
        <x:v>evt-00016</x:v>
      </x:c>
      <x:c r="B18" s="10" t="n">
        <x:v>46219.63559027778</x:v>
      </x:c>
      <x:c r="C18" s="8" t="str">
        <x:v>iOS</x:v>
      </x:c>
      <x:c r="D18" s="8" t="str">
        <x:v>large JSON</x:v>
      </x:c>
      <x:c r="E18" s="12" t="n">
        <x:v>1007</x:v>
      </x:c>
      <x:c r="F18" s="12" t="n">
        <x:v>581.7</x:v>
      </x:c>
      <x:c r="G18" s="8" t="str">
        <x:v>yes</x:v>
      </x:c>
      <x:c r="H18" s="8" t="n">
        <x:v>281</x:v>
      </x:c>
      <x:c r="I18" s="8"/>
      <x:c r="J18" s="8" t="n">
        <x:f>IF(G18="yes",1,0)</x:f>
        <x:v>1</x:v>
      </x:c>
      <x:c r="K18" s="8" t="n">
        <x:f>IF(G18="no",5,IF(E18&gt;800,3,1))</x:f>
        <x:v>3</x:v>
      </x:c>
      <x:c r="L18" s="8"/>
    </x:row>
    <x:row r="19">
      <x:c r="A19" s="8" t="str">
        <x:v>evt-00017</x:v>
      </x:c>
      <x:c r="B19" s="10" t="n">
        <x:v>46251.67796296296</x:v>
      </x:c>
      <x:c r="C19" s="8" t="str">
        <x:v>Windows</x:v>
      </x:c>
      <x:c r="D19" s="8" t="str">
        <x:v>bridge message</x:v>
      </x:c>
      <x:c r="E19" s="12" t="n">
        <x:v>1223</x:v>
      </x:c>
      <x:c r="F19" s="12" t="n">
        <x:v>883.9</x:v>
      </x:c>
      <x:c r="G19" s="8" t="str">
        <x:v>yes</x:v>
      </x:c>
      <x:c r="H19" s="8" t="n">
        <x:v>612</x:v>
      </x:c>
      <x:c r="I19" s="8" t="str">
        <x:v>Potential duplicate: this paragraph is repeated in another section to test deduplication and chunk metadata.</x:v>
      </x:c>
      <x:c r="J19" s="8" t="n">
        <x:f>IF(G19="yes",1,0)</x:f>
        <x:v>1</x:v>
      </x:c>
      <x:c r="K19" s="8" t="n">
        <x:f>IF(G19="no",5,IF(E19&gt;800,3,1))</x:f>
        <x:v>3</x:v>
      </x:c>
      <x:c r="L19" s="8"/>
    </x:row>
    <x:row r="20">
      <x:c r="A20" s="8" t="str">
        <x:v>evt-00018</x:v>
      </x:c>
      <x:c r="B20" s="10" t="n">
        <x:v>46283.72033564815</x:v>
      </x:c>
      <x:c r="C20" s="8" t="str">
        <x:v>macOS</x:v>
      </x:c>
      <x:c r="D20" s="8" t="str">
        <x:v>reload</x:v>
      </x:c>
      <x:c r="E20" s="12" t="n">
        <x:v>1351</x:v>
      </x:c>
      <x:c r="F20" s="12" t="n">
        <x:v>602.9</x:v>
      </x:c>
      <x:c r="G20" s="8" t="str">
        <x:v>yes</x:v>
      </x:c>
      <x:c r="H20" s="8" t="n">
        <x:v>793</x:v>
      </x:c>
      <x:c r="I20" s="8" t="str">
        <x:v>A blank cell here is intentional. The source workbook has notes placed away from the nearest table.</x:v>
      </x:c>
      <x:c r="J20" s="8" t="n">
        <x:f>IF(G20="yes",1,0)</x:f>
        <x:v>1</x:v>
      </x:c>
      <x:c r="K20" s="8" t="n">
        <x:f>IF(G20="no",5,IF(E20&gt;800,3,1))</x:f>
        <x:v>3</x:v>
      </x:c>
      <x:c r="L20" s="8"/>
    </x:row>
    <x:row r="21">
      <x:c r="A21" s="8" t="str">
        <x:v>evt-00019</x:v>
      </x:c>
      <x:c r="B21" s="10" t="n">
        <x:v>46041.762708333335</x:v>
      </x:c>
      <x:c r="C21" s="8" t="str">
        <x:v>iOS</x:v>
      </x:c>
      <x:c r="D21" s="8" t="str">
        <x:v>cold launch</x:v>
      </x:c>
      <x:c r="E21" s="12" t="n">
        <x:v>199</x:v>
      </x:c>
      <x:c r="F21" s="12" t="n">
        <x:v>566.8</x:v>
      </x:c>
      <x:c r="G21" s="8" t="str">
        <x:v>yes</x:v>
      </x:c>
      <x:c r="H21" s="8" t="n">
        <x:v>386</x:v>
      </x:c>
      <x:c r="I21" s="8"/>
      <x:c r="J21" s="8" t="n">
        <x:f>IF(G21="yes",1,0)</x:f>
        <x:v>1</x:v>
      </x:c>
      <x:c r="K21" s="8" t="n">
        <x:f>IF(G21="no",5,IF(E21&gt;800,3,1))</x:f>
        <x:v>1</x:v>
      </x:c>
      <x:c r="L21" s="8" t="str">
        <x:v>https://learn.microsoft.com/en-us/microsoft-edge/webview2/concepts/security</x:v>
      </x:c>
    </x:row>
    <x:row r="22">
      <x:c r="A22" s="8" t="str">
        <x:v>evt-00020</x:v>
      </x:c>
      <x:c r="B22" s="10" t="n">
        <x:v>46073.805081018516</x:v>
      </x:c>
      <x:c r="C22" s="8" t="str">
        <x:v>iOS</x:v>
      </x:c>
      <x:c r="D22" s="8" t="str">
        <x:v>navigation</x:v>
      </x:c>
      <x:c r="E22" s="12" t="n">
        <x:v>314</x:v>
      </x:c>
      <x:c r="F22" s="12" t="n">
        <x:v>275.4</x:v>
      </x:c>
      <x:c r="G22" s="8" t="str">
        <x:v>yes</x:v>
      </x:c>
      <x:c r="H22" s="8" t="n">
        <x:v>621</x:v>
      </x:c>
      <x:c r="I22" s="8" t="str">
        <x:v>A blank cell here is intentional. The source workbook has notes placed away from the nearest table.</x:v>
      </x:c>
      <x:c r="J22" s="8" t="n">
        <x:f>IF(G22="yes",1,0)</x:f>
        <x:v>1</x:v>
      </x:c>
      <x:c r="K22" s="8" t="n">
        <x:f>IF(G22="no",5,IF(E22&gt;800,3,1))</x:f>
        <x:v>1</x:v>
      </x:c>
      <x:c r="L22" s="8" t="str">
        <x:v>https://developer.apple.com/documentation/webkit/wkwebview</x:v>
      </x:c>
    </x:row>
    <x:row r="23">
      <x:c r="A23" s="8" t="str">
        <x:v>evt-00021</x:v>
      </x:c>
      <x:c r="B23" s="10" t="n">
        <x:v>46102.847453703704</x:v>
      </x:c>
      <x:c r="C23" s="8" t="str">
        <x:v>Android</x:v>
      </x:c>
      <x:c r="D23" s="8" t="str">
        <x:v>download</x:v>
      </x:c>
      <x:c r="E23" s="12" t="n">
        <x:v>709</x:v>
      </x:c>
      <x:c r="F23" s="12" t="n">
        <x:v>353</x:v>
      </x:c>
      <x:c r="G23" s="8" t="str">
        <x:v>yes</x:v>
      </x:c>
      <x:c r="H23" s="8" t="n">
        <x:v>495</x:v>
      </x:c>
      <x:c r="I23" s="8" t="str">
        <x:v>Verify behavior on a cold start and after the page reloads without destroying the native view.</x:v>
      </x:c>
      <x:c r="J23" s="8" t="n">
        <x:f>IF(G23="yes",1,0)</x:f>
        <x:v>1</x:v>
      </x:c>
      <x:c r="K23" s="8" t="n">
        <x:f>IF(G23="no",5,IF(E23&gt;800,3,1))</x:f>
        <x:v>1</x:v>
      </x:c>
      <x:c r="L23" s="8" t="str">
        <x:v>https://developer.android.com/reference/android/webkit/WebView</x:v>
      </x:c>
    </x:row>
    <x:row r="24">
      <x:c r="A24" s="8" t="str">
        <x:v>evt-00022</x:v>
      </x:c>
      <x:c r="B24" s="10" t="n">
        <x:v>46134.88982638889</x:v>
      </x:c>
      <x:c r="C24" s="8" t="str">
        <x:v>iOS</x:v>
      </x:c>
      <x:c r="D24" s="8" t="str">
        <x:v>cold launch</x:v>
      </x:c>
      <x:c r="E24" s="12" t="n">
        <x:v>1119</x:v>
      </x:c>
      <x:c r="F24" s="12" t="n">
        <x:v>825.6</x:v>
      </x:c>
      <x:c r="G24" s="8" t="str">
        <x:v>yes</x:v>
      </x:c>
      <x:c r="H24" s="8" t="n">
        <x:v>826</x:v>
      </x:c>
      <x:c r="I24" s="8"/>
      <x:c r="J24" s="8" t="n">
        <x:f>IF(G24="yes",1,0)</x:f>
        <x:v>1</x:v>
      </x:c>
      <x:c r="K24" s="8" t="n">
        <x:f>IF(G24="no",5,IF(E24&gt;800,3,1))</x:f>
        <x:v>3</x:v>
      </x:c>
      <x:c r="L24" s="8"/>
    </x:row>
    <x:row r="25">
      <x:c r="A25" s="8" t="str">
        <x:v>evt-00023</x:v>
      </x:c>
      <x:c r="B25" s="10" t="n">
        <x:v>46165.93219907407</x:v>
      </x:c>
      <x:c r="C25" s="8" t="str">
        <x:v>Windows</x:v>
      </x:c>
      <x:c r="D25" s="8" t="str">
        <x:v>large JSON</x:v>
      </x:c>
      <x:c r="E25" s="12" t="n">
        <x:v>1142</x:v>
      </x:c>
      <x:c r="F25" s="12" t="n">
        <x:v>282.9</x:v>
      </x:c>
      <x:c r="G25" s="8" t="str">
        <x:v>no</x:v>
      </x:c>
      <x:c r="H25" s="8" t="n">
        <x:v>570</x:v>
      </x:c>
      <x:c r="I25" s="8"/>
      <x:c r="J25" s="8" t="n">
        <x:f>IF(G25="yes",1,0)</x:f>
        <x:v>0</x:v>
      </x:c>
      <x:c r="K25" s="8" t="n">
        <x:f>IF(G25="no",5,IF(E25&gt;800,3,1))</x:f>
        <x:v>5</x:v>
      </x:c>
      <x:c r="L25" s="8"/>
    </x:row>
    <x:row r="26">
      <x:c r="A26" s="8" t="str">
        <x:v>evt-00024</x:v>
      </x:c>
      <x:c r="B26" s="10" t="n">
        <x:v>46197.97457175926</x:v>
      </x:c>
      <x:c r="C26" s="8" t="str">
        <x:v>macOS</x:v>
      </x:c>
      <x:c r="D26" s="8" t="str">
        <x:v>cold launch</x:v>
      </x:c>
      <x:c r="E26" s="12" t="n">
        <x:v>534</x:v>
      </x:c>
      <x:c r="F26" s="12" t="n">
        <x:v>802.7</x:v>
      </x:c>
      <x:c r="G26" s="8" t="str">
        <x:v>yes</x:v>
      </x:c>
      <x:c r="H26" s="8" t="n">
        <x:v>253</x:v>
      </x:c>
      <x:c r="I26" s="8"/>
      <x:c r="J26" s="8" t="n">
        <x:f>IF(G26="yes",1,0)</x:f>
        <x:v>1</x:v>
      </x:c>
      <x:c r="K26" s="8" t="n">
        <x:f>IF(G26="no",5,IF(E26&gt;800,3,1))</x:f>
        <x:v>1</x:v>
      </x:c>
      <x:c r="L26" s="8" t="str">
        <x:v>https://learn.microsoft.com/en-us/microsoft-edge/webview2/concepts/security</x:v>
      </x:c>
    </x:row>
    <x:row r="27">
      <x:c r="A27" s="8" t="str">
        <x:v>evt-00025</x:v>
      </x:c>
      <x:c r="B27" s="10" t="n">
        <x:v>46228.01694444445</x:v>
      </x:c>
      <x:c r="C27" s="8" t="str">
        <x:v>Android</x:v>
      </x:c>
      <x:c r="D27" s="8" t="str">
        <x:v>bridge message</x:v>
      </x:c>
      <x:c r="E27" s="12" t="n">
        <x:v>769</x:v>
      </x:c>
      <x:c r="F27" s="12" t="n">
        <x:v>378</x:v>
      </x:c>
      <x:c r="G27" s="8" t="str">
        <x:v>yes</x:v>
      </x:c>
      <x:c r="H27" s="8" t="n">
        <x:v>872</x:v>
      </x:c>
      <x:c r="I27" s="8" t="str">
        <x:v>Observed in a local test run: the content rendered, but the console warning appeared twice.</x:v>
      </x:c>
      <x:c r="J27" s="8" t="n">
        <x:f>IF(G27="yes",1,0)</x:f>
        <x:v>1</x:v>
      </x:c>
      <x:c r="K27" s="8" t="n">
        <x:f>IF(G27="no",5,IF(E27&gt;800,3,1))</x:f>
        <x:v>1</x:v>
      </x:c>
      <x:c r="L27" s="8"/>
    </x:row>
    <x:row r="28">
      <x:c r="A28" s="8" t="str">
        <x:v>evt-00026</x:v>
      </x:c>
      <x:c r="B28" s="10" t="n">
        <x:v>46260.05931712963</x:v>
      </x:c>
      <x:c r="C28" s="8" t="str">
        <x:v>Android</x:v>
      </x:c>
      <x:c r="D28" s="8" t="str">
        <x:v>navigation</x:v>
      </x:c>
      <x:c r="E28" s="12" t="n">
        <x:v>479</x:v>
      </x:c>
      <x:c r="F28" s="12" t="n">
        <x:v>577.2</x:v>
      </x:c>
      <x:c r="G28" s="8" t="str">
        <x:v>yes</x:v>
      </x:c>
      <x:c r="H28" s="8" t="n">
        <x:v>883</x:v>
      </x:c>
      <x:c r="I28" s="8"/>
      <x:c r="J28" s="8" t="n">
        <x:f>IF(G28="yes",1,0)</x:f>
        <x:v>1</x:v>
      </x:c>
      <x:c r="K28" s="8" t="n">
        <x:f>IF(G28="no",5,IF(E28&gt;800,3,1))</x:f>
        <x:v>1</x:v>
      </x:c>
      <x:c r="L28" s="8" t="str">
        <x:v>https://github.com/react-native-webview/react-native-webview</x:v>
      </x:c>
    </x:row>
    <x:row r="29">
      <x:c r="A29" s="8" t="str">
        <x:v>evt-00027</x:v>
      </x:c>
      <x:c r="B29" s="10" t="n">
        <x:v>46266.101689814815</x:v>
      </x:c>
      <x:c r="C29" s="8" t="str">
        <x:v>macOS</x:v>
      </x:c>
      <x:c r="D29" s="8" t="str">
        <x:v>navigation</x:v>
      </x:c>
      <x:c r="E29" s="12" t="n">
        <x:v>139</x:v>
      </x:c>
      <x:c r="F29" s="12" t="n">
        <x:v>485.6</x:v>
      </x:c>
      <x:c r="G29" s="8" t="str">
        <x:v>yes</x:v>
      </x:c>
      <x:c r="H29" s="8" t="n">
        <x:v>855</x:v>
      </x:c>
      <x:c r="I29" s="8"/>
      <x:c r="J29" s="8" t="n">
        <x:f>IF(G29="yes",1,0)</x:f>
        <x:v>1</x:v>
      </x:c>
      <x:c r="K29" s="8" t="n">
        <x:f>IF(G29="no",5,IF(E29&gt;800,3,1))</x:f>
        <x:v>1</x:v>
      </x:c>
      <x:c r="L29" s="8"/>
    </x:row>
    <x:row r="30">
      <x:c r="A30" s="8" t="str">
        <x:v>evt-00028</x:v>
      </x:c>
      <x:c r="B30" s="10" t="n">
        <x:v>46024.1440625</x:v>
      </x:c>
      <x:c r="C30" s="8" t="str">
        <x:v>iOS</x:v>
      </x:c>
      <x:c r="D30" s="8" t="str">
        <x:v>download</x:v>
      </x:c>
      <x:c r="E30" s="12" t="n">
        <x:v>1069</x:v>
      </x:c>
      <x:c r="F30" s="12" t="n">
        <x:v>823.5</x:v>
      </x:c>
      <x:c r="G30" s="8" t="str">
        <x:v>yes</x:v>
      </x:c>
      <x:c r="H30" s="8" t="n">
        <x:v>318</x:v>
      </x:c>
      <x:c r="I30" s="8" t="str">
        <x:v>The owner field was not captured in the original notes, so classification should remain conservative.</x:v>
      </x:c>
      <x:c r="J30" s="8" t="n">
        <x:f>IF(G30="yes",1,0)</x:f>
        <x:v>1</x:v>
      </x:c>
      <x:c r="K30" s="8" t="n">
        <x:f>IF(G30="no",5,IF(E30&gt;800,3,1))</x:f>
        <x:v>3</x:v>
      </x:c>
      <x:c r="L30" s="8"/>
    </x:row>
    <x:row r="31">
      <x:c r="A31" s="8" t="str">
        <x:v>evt-00029</x:v>
      </x:c>
      <x:c r="B31" s="10" t="n">
        <x:v>46056.186435185184</x:v>
      </x:c>
      <x:c r="C31" s="8" t="str">
        <x:v>macOS</x:v>
      </x:c>
      <x:c r="D31" s="8" t="str">
        <x:v>cold launch</x:v>
      </x:c>
      <x:c r="E31" s="12" t="n">
        <x:v>519</x:v>
      </x:c>
      <x:c r="F31" s="12" t="n">
        <x:v>399.2</x:v>
      </x:c>
      <x:c r="G31" s="8" t="str">
        <x:v>yes</x:v>
      </x:c>
      <x:c r="H31" s="8" t="n">
        <x:v>125</x:v>
      </x:c>
      <x:c r="I31" s="8" t="str">
        <x:v>The bridge callback is stable for small payloads, but large JSON messages show visible delay during navigation.</x:v>
      </x:c>
      <x:c r="J31" s="8" t="n">
        <x:f>IF(G31="yes",1,0)</x:f>
        <x:v>1</x:v>
      </x:c>
      <x:c r="K31" s="8" t="n">
        <x:f>IF(G31="no",5,IF(E31&gt;800,3,1))</x:f>
        <x:v>1</x:v>
      </x:c>
      <x:c r="L31" s="8"/>
    </x:row>
    <x:row r="32">
      <x:c r="A32" s="8" t="str">
        <x:v>evt-00030</x:v>
      </x:c>
      <x:c r="B32" s="10" t="n">
        <x:v>46085.22880787037</x:v>
      </x:c>
      <x:c r="C32" s="8" t="str">
        <x:v>macOS</x:v>
      </x:c>
      <x:c r="D32" s="8" t="str">
        <x:v>navigation</x:v>
      </x:c>
      <x:c r="E32" s="12" t="n">
        <x:v>907</x:v>
      </x:c>
      <x:c r="F32" s="12" t="n">
        <x:v>807.7</x:v>
      </x:c>
      <x:c r="G32" s="8" t="str">
        <x:v>yes</x:v>
      </x:c>
      <x:c r="H32" s="8" t="n">
        <x:v>141</x:v>
      </x:c>
      <x:c r="I32" s="8" t="str">
        <x:v>The owner field was not captured in the original notes, so classification should remain conservative.</x:v>
      </x:c>
      <x:c r="J32" s="8" t="n">
        <x:f>IF(G32="yes",1,0)</x:f>
        <x:v>1</x:v>
      </x:c>
      <x:c r="K32" s="8" t="n">
        <x:f>IF(G32="no",5,IF(E32&gt;800,3,1))</x:f>
        <x:v>3</x:v>
      </x:c>
      <x:c r="L32" s="8" t="str">
        <x:v>https://developer.android.com/reference/android/webkit/WebView</x:v>
      </x:c>
    </x:row>
    <x:row r="33">
      <x:c r="A33" s="8" t="str">
        <x:v>evt-00031</x:v>
      </x:c>
      <x:c r="B33" s="10" t="n">
        <x:v>46117.27118055556</x:v>
      </x:c>
      <x:c r="C33" s="8" t="str">
        <x:v>macOS</x:v>
      </x:c>
      <x:c r="D33" s="8" t="str">
        <x:v>navigation</x:v>
      </x:c>
      <x:c r="E33" s="12" t="n">
        <x:v>984</x:v>
      </x:c>
      <x:c r="F33" s="12" t="n">
        <x:v>830.1</x:v>
      </x:c>
      <x:c r="G33" s="8" t="str">
        <x:v>yes</x:v>
      </x:c>
      <x:c r="H33" s="8" t="n">
        <x:v>235</x:v>
      </x:c>
      <x:c r="I33" s="8"/>
      <x:c r="J33" s="8" t="n">
        <x:f>IF(G33="yes",1,0)</x:f>
        <x:v>1</x:v>
      </x:c>
      <x:c r="K33" s="8" t="n">
        <x:f>IF(G33="no",5,IF(E33&gt;800,3,1))</x:f>
        <x:v>3</x:v>
      </x:c>
      <x:c r="L33" s="8" t="str">
        <x:v>https://learn.microsoft.com/en-us/microsoft-edge/webview2/concepts/security</x:v>
      </x:c>
    </x:row>
    <x:row r="34">
      <x:c r="A34" s="8" t="str">
        <x:v>evt-00032</x:v>
      </x:c>
      <x:c r="B34" s="10" t="n">
        <x:v>46148.31355324074</x:v>
      </x:c>
      <x:c r="C34" s="8" t="str">
        <x:v>macOS</x:v>
      </x:c>
      <x:c r="D34" s="8" t="str">
        <x:v>navigation</x:v>
      </x:c>
      <x:c r="E34" s="12" t="n">
        <x:v>588</x:v>
      </x:c>
      <x:c r="F34" s="12" t="n">
        <x:v>636.4</x:v>
      </x:c>
      <x:c r="G34" s="8" t="str">
        <x:v>no</x:v>
      </x:c>
      <x:c r="H34" s="8" t="n">
        <x:v>878</x:v>
      </x:c>
      <x:c r="I34" s="8"/>
      <x:c r="J34" s="8" t="n">
        <x:f>IF(G34="yes",1,0)</x:f>
        <x:v>0</x:v>
      </x:c>
      <x:c r="K34" s="8" t="n">
        <x:f>IF(G34="no",5,IF(E34&gt;800,3,1))</x:f>
        <x:v>5</x:v>
      </x:c>
      <x:c r="L34" s="8"/>
    </x:row>
    <x:row r="35">
      <x:c r="A35" s="8" t="str">
        <x:v>evt-00033</x:v>
      </x:c>
      <x:c r="B35" s="10" t="n">
        <x:v>46180.35592592593</x:v>
      </x:c>
      <x:c r="C35" s="8" t="str">
        <x:v>macOS</x:v>
      </x:c>
      <x:c r="D35" s="8" t="str">
        <x:v>file upload</x:v>
      </x:c>
      <x:c r="E35" s="12" t="n">
        <x:v>327</x:v>
      </x:c>
      <x:c r="F35" s="12" t="n">
        <x:v>863.6</x:v>
      </x:c>
      <x:c r="G35" s="8" t="str">
        <x:v>yes</x:v>
      </x:c>
      <x:c r="H35" s="8" t="n">
        <x:v>868</x:v>
      </x:c>
      <x:c r="I35" s="8" t="str">
        <x:v>The owner field was not captured in the original notes, so classification should remain conservative.</x:v>
      </x:c>
      <x:c r="J35" s="8" t="n">
        <x:f>IF(G35="yes",1,0)</x:f>
        <x:v>1</x:v>
      </x:c>
      <x:c r="K35" s="8" t="n">
        <x:f>IF(G35="no",5,IF(E35&gt;800,3,1))</x:f>
        <x:v>1</x:v>
      </x:c>
      <x:c r="L35" s="8" t="str">
        <x:v>https://github.com/react-native-webview/react-native-webview</x:v>
      </x:c>
    </x:row>
    <x:row r="36">
      <x:c r="A36" s="8" t="str">
        <x:v>evt-00034</x:v>
      </x:c>
      <x:c r="B36" s="10" t="n">
        <x:v>46211.39829861111</x:v>
      </x:c>
      <x:c r="C36" s="8" t="str">
        <x:v>Linux</x:v>
      </x:c>
      <x:c r="D36" s="8" t="str">
        <x:v>reload</x:v>
      </x:c>
      <x:c r="E36" s="12" t="n">
        <x:v>1112</x:v>
      </x:c>
      <x:c r="F36" s="12" t="n">
        <x:v>361.4</x:v>
      </x:c>
      <x:c r="G36" s="8" t="str">
        <x:v>yes</x:v>
      </x:c>
      <x:c r="H36" s="8" t="n">
        <x:v>582</x:v>
      </x:c>
      <x:c r="I36" s="8" t="str">
        <x:v>Follow-up: compare the result when the network security policy is relaxed versus when it is enforced.</x:v>
      </x:c>
      <x:c r="J36" s="8" t="n">
        <x:f>IF(G36="yes",1,0)</x:f>
        <x:v>1</x:v>
      </x:c>
      <x:c r="K36" s="8" t="n">
        <x:f>IF(G36="no",5,IF(E36&gt;800,3,1))</x:f>
        <x:v>3</x:v>
      </x:c>
      <x:c r="L36" s="8" t="str">
        <x:v>https://developer.apple.com/documentation/webkit/wkwebview</x:v>
      </x:c>
    </x:row>
    <x:row r="37">
      <x:c r="A37" s="8" t="str">
        <x:v>evt-00035</x:v>
      </x:c>
      <x:c r="B37" s="10" t="n">
        <x:v>46243.440671296295</x:v>
      </x:c>
      <x:c r="C37" s="8" t="str">
        <x:v>macOS</x:v>
      </x:c>
      <x:c r="D37" s="8" t="str">
        <x:v>download</x:v>
      </x:c>
      <x:c r="E37" s="12" t="n">
        <x:v>210</x:v>
      </x:c>
      <x:c r="F37" s="12" t="n">
        <x:v>143.7</x:v>
      </x:c>
      <x:c r="G37" s="8" t="str">
        <x:v>yes</x:v>
      </x:c>
      <x:c r="H37" s="8" t="n">
        <x:v>472</x:v>
      </x:c>
      <x:c r="I37" s="8"/>
      <x:c r="J37" s="8" t="n">
        <x:f>IF(G37="yes",1,0)</x:f>
        <x:v>1</x:v>
      </x:c>
      <x:c r="K37" s="8" t="n">
        <x:f>IF(G37="no",5,IF(E37&gt;800,3,1))</x:f>
        <x:v>1</x:v>
      </x:c>
      <x:c r="L37" s="8" t="str">
        <x:v>https://developer.microsoft.com/en-us/microsoft-edge/webview2/</x:v>
      </x:c>
    </x:row>
    <x:row r="38">
      <x:c r="A38" s="8" t="str">
        <x:v>evt-00036</x:v>
      </x:c>
      <x:c r="B38" s="10" t="n">
        <x:v>46275.48304398148</x:v>
      </x:c>
      <x:c r="C38" s="8" t="str">
        <x:v>Linux</x:v>
      </x:c>
      <x:c r="D38" s="8" t="str">
        <x:v>navigation</x:v>
      </x:c>
      <x:c r="E38" s="12" t="n">
        <x:v>547</x:v>
      </x:c>
      <x:c r="F38" s="12" t="n">
        <x:v>580.7</x:v>
      </x:c>
      <x:c r="G38" s="8" t="str">
        <x:v>yes</x:v>
      </x:c>
      <x:c r="H38" s="8" t="n">
        <x:v>350</x:v>
      </x:c>
      <x:c r="I38" s="8" t="str">
        <x:v>The bridge callback is stable for small payloads, but large JSON messages show visible delay during navigation.</x:v>
      </x:c>
      <x:c r="J38" s="8" t="n">
        <x:f>IF(G38="yes",1,0)</x:f>
        <x:v>1</x:v>
      </x:c>
      <x:c r="K38" s="8" t="n">
        <x:f>IF(G38="no",5,IF(E38&gt;800,3,1))</x:f>
        <x:v>1</x:v>
      </x:c>
      <x:c r="L38" s="8"/>
    </x:row>
    <x:row r="39">
      <x:c r="A39" s="8" t="str">
        <x:v>evt-00037</x:v>
      </x:c>
      <x:c r="B39" s="10" t="n">
        <x:v>46033.525416666664</x:v>
      </x:c>
      <x:c r="C39" s="8" t="str">
        <x:v>macOS</x:v>
      </x:c>
      <x:c r="D39" s="8" t="str">
        <x:v>file upload</x:v>
      </x:c>
      <x:c r="E39" s="12" t="n">
        <x:v>1443</x:v>
      </x:c>
      <x:c r="F39" s="12" t="n">
        <x:v>476.3</x:v>
      </x:c>
      <x:c r="G39" s="8" t="str">
        <x:v>yes</x:v>
      </x:c>
      <x:c r="H39" s="8" t="n">
        <x:v>188</x:v>
      </x:c>
      <x:c r="I39" s="8" t="str">
        <x:v>Potential duplicate: this paragraph is repeated in another section to test deduplication and chunk metadata.</x:v>
      </x:c>
      <x:c r="J39" s="8" t="n">
        <x:f>IF(G39="yes",1,0)</x:f>
        <x:v>1</x:v>
      </x:c>
      <x:c r="K39" s="8" t="n">
        <x:f>IF(G39="no",5,IF(E39&gt;800,3,1))</x:f>
        <x:v>3</x:v>
      </x:c>
      <x:c r="L39" s="8" t="str">
        <x:v>https://developer.apple.com/documentation/webkit/wkwebview</x:v>
      </x:c>
    </x:row>
    <x:row r="40">
      <x:c r="A40" s="8" t="str">
        <x:v>evt-00038</x:v>
      </x:c>
      <x:c r="B40" s="10" t="n">
        <x:v>46065.56778935185</x:v>
      </x:c>
      <x:c r="C40" s="8" t="str">
        <x:v>Windows</x:v>
      </x:c>
      <x:c r="D40" s="8" t="str">
        <x:v>bridge message</x:v>
      </x:c>
      <x:c r="E40" s="12" t="n">
        <x:v>726</x:v>
      </x:c>
      <x:c r="F40" s="12" t="n">
        <x:v>818.8</x:v>
      </x:c>
      <x:c r="G40" s="8" t="str">
        <x:v>yes</x:v>
      </x:c>
      <x:c r="H40" s="8" t="n">
        <x:v>67</x:v>
      </x:c>
      <x:c r="I40" s="8" t="str">
        <x:v>The owner field was not captured in the original notes, so classification should remain conservative.</x:v>
      </x:c>
      <x:c r="J40" s="8" t="n">
        <x:f>IF(G40="yes",1,0)</x:f>
        <x:v>1</x:v>
      </x:c>
      <x:c r="K40" s="8" t="n">
        <x:f>IF(G40="no",5,IF(E40&gt;800,3,1))</x:f>
        <x:v>1</x:v>
      </x:c>
      <x:c r="L40" s="8"/>
    </x:row>
    <x:row r="41">
      <x:c r="A41" s="8" t="str">
        <x:v>evt-00039</x:v>
      </x:c>
      <x:c r="B41" s="10" t="n">
        <x:v>46094.61016203704</x:v>
      </x:c>
      <x:c r="C41" s="8" t="str">
        <x:v>Windows</x:v>
      </x:c>
      <x:c r="D41" s="8" t="str">
        <x:v>reload</x:v>
      </x:c>
      <x:c r="E41" s="12" t="n">
        <x:v>224</x:v>
      </x:c>
      <x:c r="F41" s="12" t="n">
        <x:v>549.3</x:v>
      </x:c>
      <x:c r="G41" s="8" t="str">
        <x:v>yes</x:v>
      </x:c>
      <x:c r="H41" s="8" t="n">
        <x:v>271</x:v>
      </x:c>
      <x:c r="I41" s="8" t="str">
        <x:v>The bridge callback is stable for small payloads, but large JSON messages show visible delay during navigation.</x:v>
      </x:c>
      <x:c r="J41" s="8" t="n">
        <x:f>IF(G41="yes",1,0)</x:f>
        <x:v>1</x:v>
      </x:c>
      <x:c r="K41" s="8" t="n">
        <x:f>IF(G41="no",5,IF(E41&gt;800,3,1))</x:f>
        <x:v>1</x:v>
      </x:c>
      <x:c r="L41" s="8"/>
    </x:row>
    <x:row r="42">
      <x:c r="A42" s="8" t="str">
        <x:v>evt-00040</x:v>
      </x:c>
      <x:c r="B42" s="10" t="n">
        <x:v>46126.65253472222</x:v>
      </x:c>
      <x:c r="C42" s="8" t="str">
        <x:v>iOS</x:v>
      </x:c>
      <x:c r="D42" s="8" t="str">
        <x:v>cold launch</x:v>
      </x:c>
      <x:c r="E42" s="12" t="n">
        <x:v>1187</x:v>
      </x:c>
      <x:c r="F42" s="12" t="n">
        <x:v>464.6</x:v>
      </x:c>
      <x:c r="G42" s="8" t="str">
        <x:v>yes</x:v>
      </x:c>
      <x:c r="H42" s="8" t="n">
        <x:v>841</x:v>
      </x:c>
      <x:c r="I42" s="8" t="str">
        <x:v>Verify behavior on a cold start and after the page reloads without destroying the native view.</x:v>
      </x:c>
      <x:c r="J42" s="8" t="n">
        <x:f>IF(G42="yes",1,0)</x:f>
        <x:v>1</x:v>
      </x:c>
      <x:c r="K42" s="8" t="n">
        <x:f>IF(G42="no",5,IF(E42&gt;800,3,1))</x:f>
        <x:v>3</x:v>
      </x:c>
      <x:c r="L42" s="8"/>
    </x:row>
    <x:row r="43">
      <x:c r="A43" s="8" t="str">
        <x:v>evt-00041</x:v>
      </x:c>
      <x:c r="B43" s="10" t="n">
        <x:v>46157.69490740741</x:v>
      </x:c>
      <x:c r="C43" s="8" t="str">
        <x:v>iOS</x:v>
      </x:c>
      <x:c r="D43" s="8" t="str">
        <x:v>reload</x:v>
      </x:c>
      <x:c r="E43" s="12" t="n">
        <x:v>261</x:v>
      </x:c>
      <x:c r="F43" s="12" t="n">
        <x:v>802.4</x:v>
      </x:c>
      <x:c r="G43" s="8" t="str">
        <x:v>yes</x:v>
      </x:c>
      <x:c r="H43" s="8" t="n">
        <x:v>658</x:v>
      </x:c>
      <x:c r="I43" s="8" t="str">
        <x:v>Observed in a local test run: the content rendered, but the console warning appeared twice.</x:v>
      </x:c>
      <x:c r="J43" s="8" t="n">
        <x:f>IF(G43="yes",1,0)</x:f>
        <x:v>1</x:v>
      </x:c>
      <x:c r="K43" s="8" t="n">
        <x:f>IF(G43="no",5,IF(E43&gt;800,3,1))</x:f>
        <x:v>1</x:v>
      </x:c>
      <x:c r="L43" s="8" t="str">
        <x:v>https://github.com/react-native-webview/react-native-webview</x:v>
      </x:c>
    </x:row>
    <x:row r="44">
      <x:c r="A44" s="8" t="str">
        <x:v>evt-00042</x:v>
      </x:c>
      <x:c r="B44" s="10" t="n">
        <x:v>46189.737280092595</x:v>
      </x:c>
      <x:c r="C44" s="8" t="str">
        <x:v>Windows</x:v>
      </x:c>
      <x:c r="D44" s="8" t="str">
        <x:v>bridge message</x:v>
      </x:c>
      <x:c r="E44" s="12" t="n">
        <x:v>114</x:v>
      </x:c>
      <x:c r="F44" s="12" t="n">
        <x:v>416.1</x:v>
      </x:c>
      <x:c r="G44" s="8" t="str">
        <x:v>yes</x:v>
      </x:c>
      <x:c r="H44" s="8" t="n">
        <x:v>688</x:v>
      </x:c>
      <x:c r="I44" s="8"/>
      <x:c r="J44" s="8" t="n">
        <x:f>IF(G44="yes",1,0)</x:f>
        <x:v>1</x:v>
      </x:c>
      <x:c r="K44" s="8" t="n">
        <x:f>IF(G44="no",5,IF(E44&gt;800,3,1))</x:f>
        <x:v>1</x:v>
      </x:c>
      <x:c r="L44" s="8" t="str">
        <x:v>https://developer.android.com/reference/android/webkit/WebView</x:v>
      </x:c>
    </x:row>
    <x:row r="45">
      <x:c r="A45" s="8" t="str">
        <x:v>evt-00043</x:v>
      </x:c>
      <x:c r="B45" s="10" t="n">
        <x:v>46220.779652777775</x:v>
      </x:c>
      <x:c r="C45" s="8" t="str">
        <x:v>iOS</x:v>
      </x:c>
      <x:c r="D45" s="8" t="str">
        <x:v>reload</x:v>
      </x:c>
      <x:c r="E45" s="12" t="n">
        <x:v>1388</x:v>
      </x:c>
      <x:c r="F45" s="12" t="n">
        <x:v>497.7</x:v>
      </x:c>
      <x:c r="G45" s="8" t="str">
        <x:v>no</x:v>
      </x:c>
      <x:c r="H45" s="8" t="n">
        <x:v>515</x:v>
      </x:c>
      <x:c r="I45" s="8"/>
      <x:c r="J45" s="8" t="n">
        <x:f>IF(G45="yes",1,0)</x:f>
        <x:v>0</x:v>
      </x:c>
      <x:c r="K45" s="8" t="n">
        <x:f>IF(G45="no",5,IF(E45&gt;800,3,1))</x:f>
        <x:v>5</x:v>
      </x:c>
      <x:c r="L45" s="8"/>
    </x:row>
    <x:row r="46">
      <x:c r="A46" s="8" t="str">
        <x:v>evt-00044</x:v>
      </x:c>
      <x:c r="B46" s="10" t="n">
        <x:v>46252.82202546296</x:v>
      </x:c>
      <x:c r="C46" s="8" t="str">
        <x:v>Linux</x:v>
      </x:c>
      <x:c r="D46" s="8" t="str">
        <x:v>download</x:v>
      </x:c>
      <x:c r="E46" s="12" t="n">
        <x:v>1358</x:v>
      </x:c>
      <x:c r="F46" s="12" t="n">
        <x:v>822.1</x:v>
      </x:c>
      <x:c r="G46" s="8" t="str">
        <x:v>no</x:v>
      </x:c>
      <x:c r="H46" s="8" t="n">
        <x:v>328</x:v>
      </x:c>
      <x:c r="I46" s="8" t="str">
        <x:v>Verify behavior on a cold start and after the page reloads without destroying the native view.</x:v>
      </x:c>
      <x:c r="J46" s="8" t="n">
        <x:f>IF(G46="yes",1,0)</x:f>
        <x:v>0</x:v>
      </x:c>
      <x:c r="K46" s="8" t="n">
        <x:f>IF(G46="no",5,IF(E46&gt;800,3,1))</x:f>
        <x:v>5</x:v>
      </x:c>
      <x:c r="L46" s="8"/>
    </x:row>
    <x:row r="47">
      <x:c r="A47" s="8" t="str">
        <x:v>evt-00045</x:v>
      </x:c>
      <x:c r="B47" s="10" t="n">
        <x:v>46284.86439814815</x:v>
      </x:c>
      <x:c r="C47" s="8" t="str">
        <x:v>macOS</x:v>
      </x:c>
      <x:c r="D47" s="8" t="str">
        <x:v>bridge message</x:v>
      </x:c>
      <x:c r="E47" s="12" t="n">
        <x:v>1216</x:v>
      </x:c>
      <x:c r="F47" s="12" t="n">
        <x:v>113.2</x:v>
      </x:c>
      <x:c r="G47" s="8" t="str">
        <x:v>yes</x:v>
      </x:c>
      <x:c r="H47" s="8" t="n">
        <x:v>608</x:v>
      </x:c>
      <x:c r="I47" s="8"/>
      <x:c r="J47" s="8" t="n">
        <x:f>IF(G47="yes",1,0)</x:f>
        <x:v>1</x:v>
      </x:c>
      <x:c r="K47" s="8" t="n">
        <x:f>IF(G47="no",5,IF(E47&gt;800,3,1))</x:f>
        <x:v>3</x:v>
      </x:c>
      <x:c r="L47" s="8" t="str">
        <x:v>https://developer.android.com/reference/android/webkit/WebView</x:v>
      </x:c>
    </x:row>
    <x:row r="48">
      <x:c r="A48" s="8" t="str">
        <x:v>evt-00046</x:v>
      </x:c>
      <x:c r="B48" s="10" t="n">
        <x:v>46042.90677083333</x:v>
      </x:c>
      <x:c r="C48" s="8" t="str">
        <x:v>Linux</x:v>
      </x:c>
      <x:c r="D48" s="8" t="str">
        <x:v>cold launch</x:v>
      </x:c>
      <x:c r="E48" s="12" t="n">
        <x:v>664</x:v>
      </x:c>
      <x:c r="F48" s="12" t="n">
        <x:v>794.4</x:v>
      </x:c>
      <x:c r="G48" s="8" t="str">
        <x:v>yes</x:v>
      </x:c>
      <x:c r="H48" s="8" t="n">
        <x:v>25</x:v>
      </x:c>
      <x:c r="I48" s="8" t="str">
        <x:v>The bridge callback is stable for small payloads, but large JSON messages show visible delay during navigation.</x:v>
      </x:c>
      <x:c r="J48" s="8" t="n">
        <x:f>IF(G48="yes",1,0)</x:f>
        <x:v>1</x:v>
      </x:c>
      <x:c r="K48" s="8" t="n">
        <x:f>IF(G48="no",5,IF(E48&gt;800,3,1))</x:f>
        <x:v>1</x:v>
      </x:c>
      <x:c r="L48" s="8" t="str">
        <x:v>https://developer.android.com/reference/android/webkit/WebView</x:v>
      </x:c>
    </x:row>
    <x:row r="49">
      <x:c r="A49" s="8" t="str">
        <x:v>evt-00047</x:v>
      </x:c>
      <x:c r="B49" s="10" t="n">
        <x:v>46074.94914351852</x:v>
      </x:c>
      <x:c r="C49" s="8" t="str">
        <x:v>Android</x:v>
      </x:c>
      <x:c r="D49" s="8" t="str">
        <x:v>file upload</x:v>
      </x:c>
      <x:c r="E49" s="12" t="n">
        <x:v>1461</x:v>
      </x:c>
      <x:c r="F49" s="12" t="n">
        <x:v>930.4</x:v>
      </x:c>
      <x:c r="G49" s="8" t="str">
        <x:v>no</x:v>
      </x:c>
      <x:c r="H49" s="8" t="n">
        <x:v>111</x:v>
      </x:c>
      <x:c r="I49" s="8" t="str">
        <x:v>Follow-up: compare the result when the network security policy is relaxed versus when it is enforced.</x:v>
      </x:c>
      <x:c r="J49" s="8" t="n">
        <x:f>IF(G49="yes",1,0)</x:f>
        <x:v>0</x:v>
      </x:c>
      <x:c r="K49" s="8" t="n">
        <x:f>IF(G49="no",5,IF(E49&gt;800,3,1))</x:f>
        <x:v>5</x:v>
      </x:c>
      <x:c r="L49" s="8" t="str">
        <x:v>https://github.com/react-native-webview/react-native-webview</x:v>
      </x:c>
    </x:row>
    <x:row r="50">
      <x:c r="A50" s="8" t="str">
        <x:v>evt-00048</x:v>
      </x:c>
      <x:c r="B50" s="10" t="n">
        <x:v>46103.99151620371</x:v>
      </x:c>
      <x:c r="C50" s="8" t="str">
        <x:v>Android</x:v>
      </x:c>
      <x:c r="D50" s="8" t="str">
        <x:v>download</x:v>
      </x:c>
      <x:c r="E50" s="12" t="n">
        <x:v>616</x:v>
      </x:c>
      <x:c r="F50" s="12" t="n">
        <x:v>766.8</x:v>
      </x:c>
      <x:c r="G50" s="8" t="str">
        <x:v>no</x:v>
      </x:c>
      <x:c r="H50" s="8" t="n">
        <x:v>781</x:v>
      </x:c>
      <x:c r="I50" s="8" t="str">
        <x:v>A blank cell here is intentional. The source workbook has notes placed away from the nearest table.</x:v>
      </x:c>
      <x:c r="J50" s="8" t="n">
        <x:f>IF(G50="yes",1,0)</x:f>
        <x:v>0</x:v>
      </x:c>
      <x:c r="K50" s="8" t="n">
        <x:f>IF(G50="no",5,IF(E50&gt;800,3,1))</x:f>
        <x:v>5</x:v>
      </x:c>
      <x:c r="L50" s="8" t="str">
        <x:v>https://developer.microsoft.com/en-us/microsoft-edge/webview2/</x:v>
      </x:c>
    </x:row>
    <x:row r="51">
      <x:c r="A51" s="8" t="str">
        <x:v>evt-00049</x:v>
      </x:c>
      <x:c r="B51" s="10" t="n">
        <x:v>46135.03388888889</x:v>
      </x:c>
      <x:c r="C51" s="8" t="str">
        <x:v>iOS</x:v>
      </x:c>
      <x:c r="D51" s="8" t="str">
        <x:v>download</x:v>
      </x:c>
      <x:c r="E51" s="12" t="n">
        <x:v>868</x:v>
      </x:c>
      <x:c r="F51" s="12" t="n">
        <x:v>319.4</x:v>
      </x:c>
      <x:c r="G51" s="8" t="str">
        <x:v>yes</x:v>
      </x:c>
      <x:c r="H51" s="8" t="n">
        <x:v>856</x:v>
      </x:c>
      <x:c r="I51" s="8"/>
      <x:c r="J51" s="8" t="n">
        <x:f>IF(G51="yes",1,0)</x:f>
        <x:v>1</x:v>
      </x:c>
      <x:c r="K51" s="8" t="n">
        <x:f>IF(G51="no",5,IF(E51&gt;800,3,1))</x:f>
        <x:v>3</x:v>
      </x:c>
      <x:c r="L51" s="8"/>
    </x:row>
    <x:row r="52">
      <x:c r="A52" s="8" t="str">
        <x:v>evt-00050</x:v>
      </x:c>
      <x:c r="B52" s="10" t="n">
        <x:v>46166.076261574075</x:v>
      </x:c>
      <x:c r="C52" s="8" t="str">
        <x:v>Linux</x:v>
      </x:c>
      <x:c r="D52" s="8" t="str">
        <x:v>navigation</x:v>
      </x:c>
      <x:c r="E52" s="12" t="n">
        <x:v>1166</x:v>
      </x:c>
      <x:c r="F52" s="12" t="n">
        <x:v>117.8</x:v>
      </x:c>
      <x:c r="G52" s="8" t="str">
        <x:v>yes</x:v>
      </x:c>
      <x:c r="H52" s="8" t="n">
        <x:v>817</x:v>
      </x:c>
      <x:c r="I52" s="8"/>
      <x:c r="J52" s="8" t="n">
        <x:f>IF(G52="yes",1,0)</x:f>
        <x:v>1</x:v>
      </x:c>
      <x:c r="K52" s="8" t="n">
        <x:f>IF(G52="no",5,IF(E52&gt;800,3,1))</x:f>
        <x:v>3</x:v>
      </x:c>
      <x:c r="L52" s="8"/>
    </x:row>
    <x:row r="53">
      <x:c r="A53" s="8" t="str">
        <x:v>evt-00051</x:v>
      </x:c>
      <x:c r="B53" s="10" t="n">
        <x:v>46198.11863425926</x:v>
      </x:c>
      <x:c r="C53" s="8" t="str">
        <x:v>iOS</x:v>
      </x:c>
      <x:c r="D53" s="8" t="str">
        <x:v>download</x:v>
      </x:c>
      <x:c r="E53" s="12" t="n">
        <x:v>1288</x:v>
      </x:c>
      <x:c r="F53" s="12" t="n">
        <x:v>579.7</x:v>
      </x:c>
      <x:c r="G53" s="8" t="str">
        <x:v>yes</x:v>
      </x:c>
      <x:c r="H53" s="8" t="n">
        <x:v>842</x:v>
      </x:c>
      <x:c r="I53" s="8"/>
      <x:c r="J53" s="8" t="n">
        <x:f>IF(G53="yes",1,0)</x:f>
        <x:v>1</x:v>
      </x:c>
      <x:c r="K53" s="8" t="n">
        <x:f>IF(G53="no",5,IF(E53&gt;800,3,1))</x:f>
        <x:v>3</x:v>
      </x:c>
      <x:c r="L53" s="8" t="str">
        <x:v>https://developer.apple.com/documentation/webkit/wkwebview</x:v>
      </x:c>
    </x:row>
    <x:row r="54">
      <x:c r="A54" s="8" t="str">
        <x:v>evt-00052</x:v>
      </x:c>
      <x:c r="B54" s="10" t="n">
        <x:v>46229.16100694444</x:v>
      </x:c>
      <x:c r="C54" s="8" t="str">
        <x:v>macOS</x:v>
      </x:c>
      <x:c r="D54" s="8" t="str">
        <x:v>file upload</x:v>
      </x:c>
      <x:c r="E54" s="12" t="n">
        <x:v>974</x:v>
      </x:c>
      <x:c r="F54" s="12" t="n">
        <x:v>549</x:v>
      </x:c>
      <x:c r="G54" s="8" t="str">
        <x:v>yes</x:v>
      </x:c>
      <x:c r="H54" s="8" t="n">
        <x:v>875</x:v>
      </x:c>
      <x:c r="I54" s="8" t="str">
        <x:v>A blank cell here is intentional. The source workbook has notes placed away from the nearest table.</x:v>
      </x:c>
      <x:c r="J54" s="8" t="n">
        <x:f>IF(G54="yes",1,0)</x:f>
        <x:v>1</x:v>
      </x:c>
      <x:c r="K54" s="8" t="n">
        <x:f>IF(G54="no",5,IF(E54&gt;800,3,1))</x:f>
        <x:v>3</x:v>
      </x:c>
      <x:c r="L54" s="8" t="str">
        <x:v>https://developer.microsoft.com/en-us/microsoft-edge/webview2/</x:v>
      </x:c>
    </x:row>
    <x:row r="55">
      <x:c r="A55" s="8" t="str">
        <x:v>evt-00053</x:v>
      </x:c>
      <x:c r="B55" s="10" t="n">
        <x:v>46235.20337962963</x:v>
      </x:c>
      <x:c r="C55" s="8" t="str">
        <x:v>Windows</x:v>
      </x:c>
      <x:c r="D55" s="8" t="str">
        <x:v>reload</x:v>
      </x:c>
      <x:c r="E55" s="12" t="n">
        <x:v>1107</x:v>
      </x:c>
      <x:c r="F55" s="12" t="n">
        <x:v>633.2</x:v>
      </x:c>
      <x:c r="G55" s="8" t="str">
        <x:v>yes</x:v>
      </x:c>
      <x:c r="H55" s="8" t="n">
        <x:v>374</x:v>
      </x:c>
      <x:c r="I55" s="8" t="str">
        <x:v>Observed in a local test run: the content rendered, but the console warning appeared twice.</x:v>
      </x:c>
      <x:c r="J55" s="8" t="n">
        <x:f>IF(G55="yes",1,0)</x:f>
        <x:v>1</x:v>
      </x:c>
      <x:c r="K55" s="8" t="n">
        <x:f>IF(G55="no",5,IF(E55&gt;800,3,1))</x:f>
        <x:v>3</x:v>
      </x:c>
      <x:c r="L55" s="8"/>
    </x:row>
    <x:row r="56">
      <x:c r="A56" s="8" t="str">
        <x:v>evt-00054</x:v>
      </x:c>
      <x:c r="B56" s="10" t="n">
        <x:v>46267.24575231481</x:v>
      </x:c>
      <x:c r="C56" s="8" t="str">
        <x:v>Windows</x:v>
      </x:c>
      <x:c r="D56" s="8" t="str">
        <x:v>reload</x:v>
      </x:c>
      <x:c r="E56" s="12" t="n">
        <x:v>1330</x:v>
      </x:c>
      <x:c r="F56" s="12" t="n">
        <x:v>187.1</x:v>
      </x:c>
      <x:c r="G56" s="8" t="str">
        <x:v>yes</x:v>
      </x:c>
      <x:c r="H56" s="8" t="n">
        <x:v>574</x:v>
      </x:c>
      <x:c r="I56" s="8"/>
      <x:c r="J56" s="8" t="n">
        <x:f>IF(G56="yes",1,0)</x:f>
        <x:v>1</x:v>
      </x:c>
      <x:c r="K56" s="8" t="n">
        <x:f>IF(G56="no",5,IF(E56&gt;800,3,1))</x:f>
        <x:v>3</x:v>
      </x:c>
      <x:c r="L56" s="8"/>
    </x:row>
    <x:row r="57">
      <x:c r="A57" s="8" t="str">
        <x:v>evt-00055</x:v>
      </x:c>
      <x:c r="B57" s="10" t="n">
        <x:v>46025.288125</x:v>
      </x:c>
      <x:c r="C57" s="8" t="str">
        <x:v>Linux</x:v>
      </x:c>
      <x:c r="D57" s="8" t="str">
        <x:v>large JSON</x:v>
      </x:c>
      <x:c r="E57" s="12" t="n">
        <x:v>203</x:v>
      </x:c>
      <x:c r="F57" s="12" t="n">
        <x:v>812</x:v>
      </x:c>
      <x:c r="G57" s="8" t="str">
        <x:v>no</x:v>
      </x:c>
      <x:c r="H57" s="8" t="n">
        <x:v>883</x:v>
      </x:c>
      <x:c r="I57" s="8"/>
      <x:c r="J57" s="8" t="n">
        <x:f>IF(G57="yes",1,0)</x:f>
        <x:v>0</x:v>
      </x:c>
      <x:c r="K57" s="8" t="n">
        <x:f>IF(G57="no",5,IF(E57&gt;800,3,1))</x:f>
        <x:v>5</x:v>
      </x:c>
      <x:c r="L57" s="8"/>
    </x:row>
    <x:row r="58">
      <x:c r="A58" s="8" t="str">
        <x:v>evt-00056</x:v>
      </x:c>
      <x:c r="B58" s="10" t="n">
        <x:v>46057.33049768519</x:v>
      </x:c>
      <x:c r="C58" s="8" t="str">
        <x:v>Linux</x:v>
      </x:c>
      <x:c r="D58" s="8" t="str">
        <x:v>file upload</x:v>
      </x:c>
      <x:c r="E58" s="12" t="n">
        <x:v>545</x:v>
      </x:c>
      <x:c r="F58" s="12" t="n">
        <x:v>913.8</x:v>
      </x:c>
      <x:c r="G58" s="8" t="str">
        <x:v>yes</x:v>
      </x:c>
      <x:c r="H58" s="8" t="n">
        <x:v>137</x:v>
      </x:c>
      <x:c r="I58" s="8"/>
      <x:c r="J58" s="8" t="n">
        <x:f>IF(G58="yes",1,0)</x:f>
        <x:v>1</x:v>
      </x:c>
      <x:c r="K58" s="8" t="n">
        <x:f>IF(G58="no",5,IF(E58&gt;800,3,1))</x:f>
        <x:v>1</x:v>
      </x:c>
      <x:c r="L58" s="8" t="str">
        <x:v>https://learn.microsoft.com/en-us/microsoft-edge/webview2/concepts/security</x:v>
      </x:c>
    </x:row>
    <x:row r="59">
      <x:c r="A59" s="8" t="str">
        <x:v>evt-00057</x:v>
      </x:c>
      <x:c r="B59" s="10" t="n">
        <x:v>46086.37287037037</x:v>
      </x:c>
      <x:c r="C59" s="8" t="str">
        <x:v>macOS</x:v>
      </x:c>
      <x:c r="D59" s="8" t="str">
        <x:v>cold launch</x:v>
      </x:c>
      <x:c r="E59" s="12" t="n">
        <x:v>383</x:v>
      </x:c>
      <x:c r="F59" s="12" t="n">
        <x:v>760.4</x:v>
      </x:c>
      <x:c r="G59" s="8" t="str">
        <x:v>yes</x:v>
      </x:c>
      <x:c r="H59" s="8" t="n">
        <x:v>262</x:v>
      </x:c>
      <x:c r="I59" s="8"/>
      <x:c r="J59" s="8" t="n">
        <x:f>IF(G59="yes",1,0)</x:f>
        <x:v>1</x:v>
      </x:c>
      <x:c r="K59" s="8" t="n">
        <x:f>IF(G59="no",5,IF(E59&gt;800,3,1))</x:f>
        <x:v>1</x:v>
      </x:c>
      <x:c r="L59" s="8"/>
    </x:row>
    <x:row r="60">
      <x:c r="A60" s="8" t="str">
        <x:v>evt-00058</x:v>
      </x:c>
      <x:c r="B60" s="10" t="n">
        <x:v>46118.415243055555</x:v>
      </x:c>
      <x:c r="C60" s="8" t="str">
        <x:v>iOS</x:v>
      </x:c>
      <x:c r="D60" s="8" t="str">
        <x:v>cold launch</x:v>
      </x:c>
      <x:c r="E60" s="12" t="n">
        <x:v>838</x:v>
      </x:c>
      <x:c r="F60" s="12" t="n">
        <x:v>722.4</x:v>
      </x:c>
      <x:c r="G60" s="8" t="str">
        <x:v>no</x:v>
      </x:c>
      <x:c r="H60" s="8" t="n">
        <x:v>216</x:v>
      </x:c>
      <x:c r="I60" s="8" t="str">
        <x:v>The bridge callback is stable for small payloads, but large JSON messages show visible delay during navigation.</x:v>
      </x:c>
      <x:c r="J60" s="8" t="n">
        <x:f>IF(G60="yes",1,0)</x:f>
        <x:v>0</x:v>
      </x:c>
      <x:c r="K60" s="8" t="n">
        <x:f>IF(G60="no",5,IF(E60&gt;800,3,1))</x:f>
        <x:v>5</x:v>
      </x:c>
      <x:c r="L60" s="8" t="str">
        <x:v>https://developer.android.com/reference/android/webkit/WebView</x:v>
      </x:c>
    </x:row>
    <x:row r="61">
      <x:c r="A61" s="8" t="str">
        <x:v>evt-00059</x:v>
      </x:c>
      <x:c r="B61" s="10" t="n">
        <x:v>46149.45761574074</x:v>
      </x:c>
      <x:c r="C61" s="8" t="str">
        <x:v>Windows</x:v>
      </x:c>
      <x:c r="D61" s="8" t="str">
        <x:v>bridge message</x:v>
      </x:c>
      <x:c r="E61" s="12" t="n">
        <x:v>757</x:v>
      </x:c>
      <x:c r="F61" s="12" t="n">
        <x:v>589.3</x:v>
      </x:c>
      <x:c r="G61" s="8" t="str">
        <x:v>no</x:v>
      </x:c>
      <x:c r="H61" s="8" t="n">
        <x:v>809</x:v>
      </x:c>
      <x:c r="I61" s="8" t="str">
        <x:v>Verify behavior on a cold start and after the page reloads without destroying the native view.</x:v>
      </x:c>
      <x:c r="J61" s="8" t="n">
        <x:f>IF(G61="yes",1,0)</x:f>
        <x:v>0</x:v>
      </x:c>
      <x:c r="K61" s="8" t="n">
        <x:f>IF(G61="no",5,IF(E61&gt;800,3,1))</x:f>
        <x:v>5</x:v>
      </x:c>
      <x:c r="L61" s="8"/>
    </x:row>
    <x:row r="62">
      <x:c r="A62" s="8" t="str">
        <x:v>evt-00060</x:v>
      </x:c>
      <x:c r="B62" s="10" t="n">
        <x:v>46181.49998842592</x:v>
      </x:c>
      <x:c r="C62" s="8" t="str">
        <x:v>Linux</x:v>
      </x:c>
      <x:c r="D62" s="8" t="str">
        <x:v>large JSON</x:v>
      </x:c>
      <x:c r="E62" s="12" t="n">
        <x:v>568</x:v>
      </x:c>
      <x:c r="F62" s="12" t="n">
        <x:v>482.8</x:v>
      </x:c>
      <x:c r="G62" s="8" t="str">
        <x:v>yes</x:v>
      </x:c>
      <x:c r="H62" s="8" t="n">
        <x:v>543</x:v>
      </x:c>
      <x:c r="I62" s="8" t="str">
        <x:v>The owner field was not captured in the original notes, so classification should remain conservative.</x:v>
      </x:c>
      <x:c r="J62" s="8" t="n">
        <x:f>IF(G62="yes",1,0)</x:f>
        <x:v>1</x:v>
      </x:c>
      <x:c r="K62" s="8" t="n">
        <x:f>IF(G62="no",5,IF(E62&gt;800,3,1))</x:f>
        <x:v>1</x:v>
      </x:c>
      <x:c r="L62" s="8" t="str">
        <x:v>https://developer.apple.com/documentation/webkit/wkwebview</x:v>
      </x:c>
    </x:row>
    <x:row r="63">
      <x:c r="A63" s="8" t="str">
        <x:v>evt-00061</x:v>
      </x:c>
      <x:c r="B63" s="10" t="n">
        <x:v>46212.5</x:v>
      </x:c>
      <x:c r="C63" s="8" t="str">
        <x:v>macOS</x:v>
      </x:c>
      <x:c r="D63" s="8" t="str">
        <x:v>cold launch</x:v>
      </x:c>
      <x:c r="E63" s="12" t="n">
        <x:v>449</x:v>
      </x:c>
      <x:c r="F63" s="12" t="n">
        <x:v>237</x:v>
      </x:c>
      <x:c r="G63" s="8" t="str">
        <x:v>yes</x:v>
      </x:c>
      <x:c r="H63" s="8" t="n">
        <x:v>154</x:v>
      </x:c>
      <x:c r="I63" s="8"/>
      <x:c r="J63" s="8" t="n">
        <x:f>IF(G63="yes",1,0)</x:f>
        <x:v>1</x:v>
      </x:c>
      <x:c r="K63" s="8" t="n">
        <x:f>IF(G63="no",5,IF(E63&gt;800,3,1))</x:f>
        <x:v>1</x:v>
      </x:c>
      <x:c r="L63" s="8"/>
    </x:row>
    <x:row r="64">
      <x:c r="A64" s="8" t="str">
        <x:v>evt-00062</x:v>
      </x:c>
      <x:c r="B64" s="10" t="n">
        <x:v>46244.54237268519</x:v>
      </x:c>
      <x:c r="C64" s="8" t="str">
        <x:v>iOS</x:v>
      </x:c>
      <x:c r="D64" s="8" t="str">
        <x:v>download</x:v>
      </x:c>
      <x:c r="E64" s="12" t="n">
        <x:v>958</x:v>
      </x:c>
      <x:c r="F64" s="12" t="n">
        <x:v>255.6</x:v>
      </x:c>
      <x:c r="G64" s="8" t="str">
        <x:v>no</x:v>
      </x:c>
      <x:c r="H64" s="8" t="n">
        <x:v>801</x:v>
      </x:c>
      <x:c r="I64" s="8"/>
      <x:c r="J64" s="8" t="n">
        <x:f>IF(G64="yes",1,0)</x:f>
        <x:v>0</x:v>
      </x:c>
      <x:c r="K64" s="8" t="n">
        <x:f>IF(G64="no",5,IF(E64&gt;800,3,1))</x:f>
        <x:v>5</x:v>
      </x:c>
      <x:c r="L64" s="8" t="str">
        <x:v>https://developer.apple.com/documentation/webkit/wkwebview</x:v>
      </x:c>
    </x:row>
    <x:row r="65">
      <x:c r="A65" s="8" t="str">
        <x:v>evt-00063</x:v>
      </x:c>
      <x:c r="B65" s="10" t="n">
        <x:v>46276.58474537037</x:v>
      </x:c>
      <x:c r="C65" s="8" t="str">
        <x:v>iOS</x:v>
      </x:c>
      <x:c r="D65" s="8" t="str">
        <x:v>cold launch</x:v>
      </x:c>
      <x:c r="E65" s="12" t="n">
        <x:v>1132</x:v>
      </x:c>
      <x:c r="F65" s="12" t="n">
        <x:v>850.2</x:v>
      </x:c>
      <x:c r="G65" s="8" t="str">
        <x:v>yes</x:v>
      </x:c>
      <x:c r="H65" s="8" t="n">
        <x:v>878</x:v>
      </x:c>
      <x:c r="I65" s="8"/>
      <x:c r="J65" s="8" t="n">
        <x:f>IF(G65="yes",1,0)</x:f>
        <x:v>1</x:v>
      </x:c>
      <x:c r="K65" s="8" t="n">
        <x:f>IF(G65="no",5,IF(E65&gt;800,3,1))</x:f>
        <x:v>3</x:v>
      </x:c>
      <x:c r="L65" s="8" t="str">
        <x:v>https://learn.microsoft.com/en-us/microsoft-edge/webview2/concepts/security</x:v>
      </x:c>
    </x:row>
    <x:row r="66">
      <x:c r="A66" s="8" t="str">
        <x:v>evt-00064</x:v>
      </x:c>
      <x:c r="B66" s="10" t="n">
        <x:v>46034.627118055556</x:v>
      </x:c>
      <x:c r="C66" s="8" t="str">
        <x:v>macOS</x:v>
      </x:c>
      <x:c r="D66" s="8" t="str">
        <x:v>large JSON</x:v>
      </x:c>
      <x:c r="E66" s="12" t="n">
        <x:v>889</x:v>
      </x:c>
      <x:c r="F66" s="12" t="n">
        <x:v>899</x:v>
      </x:c>
      <x:c r="G66" s="8" t="str">
        <x:v>yes</x:v>
      </x:c>
      <x:c r="H66" s="8" t="n">
        <x:v>577</x:v>
      </x:c>
      <x:c r="I66" s="8"/>
      <x:c r="J66" s="8" t="n">
        <x:f>IF(G66="yes",1,0)</x:f>
        <x:v>1</x:v>
      </x:c>
      <x:c r="K66" s="8" t="n">
        <x:f>IF(G66="no",5,IF(E66&gt;800,3,1))</x:f>
        <x:v>3</x:v>
      </x:c>
      <x:c r="L66" s="8" t="str">
        <x:v>https://developer.microsoft.com/en-us/microsoft-edge/webview2/</x:v>
      </x:c>
    </x:row>
    <x:row r="67">
      <x:c r="A67" s="8" t="str">
        <x:v>evt-00065</x:v>
      </x:c>
      <x:c r="B67" s="10" t="n">
        <x:v>46066.669490740744</x:v>
      </x:c>
      <x:c r="C67" s="8" t="str">
        <x:v>Linux</x:v>
      </x:c>
      <x:c r="D67" s="8" t="str">
        <x:v>cold launch</x:v>
      </x:c>
      <x:c r="E67" s="12" t="n">
        <x:v>817</x:v>
      </x:c>
      <x:c r="F67" s="12" t="n">
        <x:v>499</x:v>
      </x:c>
      <x:c r="G67" s="8" t="str">
        <x:v>yes</x:v>
      </x:c>
      <x:c r="H67" s="8" t="n">
        <x:v>327</x:v>
      </x:c>
      <x:c r="I67" s="8"/>
      <x:c r="J67" s="8" t="n">
        <x:f>IF(G67="yes",1,0)</x:f>
        <x:v>1</x:v>
      </x:c>
      <x:c r="K67" s="8" t="n">
        <x:f>IF(G67="no",5,IF(E67&gt;800,3,1))</x:f>
        <x:v>3</x:v>
      </x:c>
      <x:c r="L67" s="8"/>
    </x:row>
    <x:row r="68">
      <x:c r="A68" s="8" t="str">
        <x:v>evt-00066</x:v>
      </x:c>
      <x:c r="B68" s="10" t="n">
        <x:v>46095.711863425924</x:v>
      </x:c>
      <x:c r="C68" s="8" t="str">
        <x:v>macOS</x:v>
      </x:c>
      <x:c r="D68" s="8" t="str">
        <x:v>download</x:v>
      </x:c>
      <x:c r="E68" s="12" t="n">
        <x:v>503</x:v>
      </x:c>
      <x:c r="F68" s="12" t="n">
        <x:v>266.4</x:v>
      </x:c>
      <x:c r="G68" s="8" t="str">
        <x:v>yes</x:v>
      </x:c>
      <x:c r="H68" s="8" t="n">
        <x:v>55</x:v>
      </x:c>
      <x:c r="I68" s="8"/>
      <x:c r="J68" s="8" t="n">
        <x:f>IF(G68="yes",1,0)</x:f>
        <x:v>1</x:v>
      </x:c>
      <x:c r="K68" s="8" t="n">
        <x:f>IF(G68="no",5,IF(E68&gt;800,3,1))</x:f>
        <x:v>1</x:v>
      </x:c>
      <x:c r="L68" s="8"/>
    </x:row>
    <x:row r="69">
      <x:c r="A69" s="8" t="str">
        <x:v>evt-00067</x:v>
      </x:c>
      <x:c r="B69" s="10" t="n">
        <x:v>46127.75423611111</x:v>
      </x:c>
      <x:c r="C69" s="8" t="str">
        <x:v>iOS</x:v>
      </x:c>
      <x:c r="D69" s="8" t="str">
        <x:v>download</x:v>
      </x:c>
      <x:c r="E69" s="12" t="n">
        <x:v>1419</x:v>
      </x:c>
      <x:c r="F69" s="12" t="n">
        <x:v>100.3</x:v>
      </x:c>
      <x:c r="G69" s="8" t="str">
        <x:v>no</x:v>
      </x:c>
      <x:c r="H69" s="8" t="n">
        <x:v>743</x:v>
      </x:c>
      <x:c r="I69" s="8"/>
      <x:c r="J69" s="8" t="n">
        <x:f>IF(G69="yes",1,0)</x:f>
        <x:v>0</x:v>
      </x:c>
      <x:c r="K69" s="8" t="n">
        <x:f>IF(G69="no",5,IF(E69&gt;800,3,1))</x:f>
        <x:v>5</x:v>
      </x:c>
      <x:c r="L69" s="8"/>
    </x:row>
    <x:row r="70">
      <x:c r="A70" s="8" t="str">
        <x:v>evt-00068</x:v>
      </x:c>
      <x:c r="B70" s="10" t="n">
        <x:v>46158.7966087963</x:v>
      </x:c>
      <x:c r="C70" s="8" t="str">
        <x:v>macOS</x:v>
      </x:c>
      <x:c r="D70" s="8" t="str">
        <x:v>bridge message</x:v>
      </x:c>
      <x:c r="E70" s="12" t="n">
        <x:v>834</x:v>
      </x:c>
      <x:c r="F70" s="12" t="n">
        <x:v>123.5</x:v>
      </x:c>
      <x:c r="G70" s="8" t="str">
        <x:v>yes</x:v>
      </x:c>
      <x:c r="H70" s="8" t="n">
        <x:v>181</x:v>
      </x:c>
      <x:c r="I70" s="8" t="str">
        <x:v>Potential duplicate: this paragraph is repeated in another section to test deduplication and chunk metadata.</x:v>
      </x:c>
      <x:c r="J70" s="8" t="n">
        <x:f>IF(G70="yes",1,0)</x:f>
        <x:v>1</x:v>
      </x:c>
      <x:c r="K70" s="8" t="n">
        <x:f>IF(G70="no",5,IF(E70&gt;800,3,1))</x:f>
        <x:v>3</x:v>
      </x:c>
      <x:c r="L70" s="8" t="str">
        <x:v>https://github.com/react-native-webview/react-native-webview</x:v>
      </x:c>
    </x:row>
    <x:row r="71">
      <x:c r="A71" s="8" t="str">
        <x:v>evt-00069</x:v>
      </x:c>
      <x:c r="B71" s="10" t="n">
        <x:v>46190.83898148148</x:v>
      </x:c>
      <x:c r="C71" s="8" t="str">
        <x:v>Android</x:v>
      </x:c>
      <x:c r="D71" s="8" t="str">
        <x:v>file upload</x:v>
      </x:c>
      <x:c r="E71" s="12" t="n">
        <x:v>368</x:v>
      </x:c>
      <x:c r="F71" s="12" t="n">
        <x:v>783.8</x:v>
      </x:c>
      <x:c r="G71" s="8" t="str">
        <x:v>yes</x:v>
      </x:c>
      <x:c r="H71" s="8" t="n">
        <x:v>505</x:v>
      </x:c>
      <x:c r="I71" s="8"/>
      <x:c r="J71" s="8" t="n">
        <x:f>IF(G71="yes",1,0)</x:f>
        <x:v>1</x:v>
      </x:c>
      <x:c r="K71" s="8" t="n">
        <x:f>IF(G71="no",5,IF(E71&gt;800,3,1))</x:f>
        <x:v>1</x:v>
      </x:c>
      <x:c r="L71" s="8"/>
    </x:row>
    <x:row r="72">
      <x:c r="A72" s="8" t="str">
        <x:v>evt-00070</x:v>
      </x:c>
      <x:c r="B72" s="10" t="n">
        <x:v>46221.88135416667</x:v>
      </x:c>
      <x:c r="C72" s="8" t="str">
        <x:v>Linux</x:v>
      </x:c>
      <x:c r="D72" s="8" t="str">
        <x:v>download</x:v>
      </x:c>
      <x:c r="E72" s="12" t="n">
        <x:v>145</x:v>
      </x:c>
      <x:c r="F72" s="12" t="n">
        <x:v>573.5</x:v>
      </x:c>
      <x:c r="G72" s="8" t="str">
        <x:v>yes</x:v>
      </x:c>
      <x:c r="H72" s="8" t="n">
        <x:v>407</x:v>
      </x:c>
      <x:c r="I72" s="8" t="str">
        <x:v>Verify behavior on a cold start and after the page reloads without destroying the native view.</x:v>
      </x:c>
      <x:c r="J72" s="8" t="n">
        <x:f>IF(G72="yes",1,0)</x:f>
        <x:v>1</x:v>
      </x:c>
      <x:c r="K72" s="8" t="n">
        <x:f>IF(G72="no",5,IF(E72&gt;800,3,1))</x:f>
        <x:v>1</x:v>
      </x:c>
      <x:c r="L72" s="8" t="str">
        <x:v>https://developer.android.com/reference/android/webkit/WebView</x:v>
      </x:c>
    </x:row>
    <x:row r="73">
      <x:c r="A73" s="8" t="str">
        <x:v>evt-00071</x:v>
      </x:c>
      <x:c r="B73" s="10" t="n">
        <x:v>46253.923726851855</x:v>
      </x:c>
      <x:c r="C73" s="8" t="str">
        <x:v>Android</x:v>
      </x:c>
      <x:c r="D73" s="8" t="str">
        <x:v>large JSON</x:v>
      </x:c>
      <x:c r="E73" s="12" t="n">
        <x:v>553</x:v>
      </x:c>
      <x:c r="F73" s="12" t="n">
        <x:v>162.8</x:v>
      </x:c>
      <x:c r="G73" s="8" t="str">
        <x:v>yes</x:v>
      </x:c>
      <x:c r="H73" s="8" t="n">
        <x:v>426</x:v>
      </x:c>
      <x:c r="I73" s="8"/>
      <x:c r="J73" s="8" t="n">
        <x:f>IF(G73="yes",1,0)</x:f>
        <x:v>1</x:v>
      </x:c>
      <x:c r="K73" s="8" t="n">
        <x:f>IF(G73="no",5,IF(E73&gt;800,3,1))</x:f>
        <x:v>1</x:v>
      </x:c>
      <x:c r="L73" s="8" t="str">
        <x:v>https://developer.apple.com/documentation/webkit/wkwebview</x:v>
      </x:c>
    </x:row>
    <x:row r="74">
      <x:c r="A74" s="8" t="str">
        <x:v>evt-00072</x:v>
      </x:c>
      <x:c r="B74" s="10" t="n">
        <x:v>46285.966099537036</x:v>
      </x:c>
      <x:c r="C74" s="8" t="str">
        <x:v>Windows</x:v>
      </x:c>
      <x:c r="D74" s="8" t="str">
        <x:v>large JSON</x:v>
      </x:c>
      <x:c r="E74" s="12" t="n">
        <x:v>113</x:v>
      </x:c>
      <x:c r="F74" s="12" t="n">
        <x:v>373.7</x:v>
      </x:c>
      <x:c r="G74" s="8" t="str">
        <x:v>yes</x:v>
      </x:c>
      <x:c r="H74" s="8" t="n">
        <x:v>294</x:v>
      </x:c>
      <x:c r="I74" s="8" t="str">
        <x:v>The owner field was not captured in the original notes, so classification should remain conservative.</x:v>
      </x:c>
      <x:c r="J74" s="8" t="n">
        <x:f>IF(G74="yes",1,0)</x:f>
        <x:v>1</x:v>
      </x:c>
      <x:c r="K74" s="8" t="n">
        <x:f>IF(G74="no",5,IF(E74&gt;800,3,1))</x:f>
        <x:v>1</x:v>
      </x:c>
      <x:c r="L74" s="8"/>
    </x:row>
    <x:row r="75">
      <x:c r="A75" s="8" t="str">
        <x:v>evt-00073</x:v>
      </x:c>
      <x:c r="B75" s="10" t="n">
        <x:v>46043.008472222224</x:v>
      </x:c>
      <x:c r="C75" s="8" t="str">
        <x:v>iOS</x:v>
      </x:c>
      <x:c r="D75" s="8" t="str">
        <x:v>bridge message</x:v>
      </x:c>
      <x:c r="E75" s="12" t="n">
        <x:v>202</x:v>
      </x:c>
      <x:c r="F75" s="12" t="n">
        <x:v>432.8</x:v>
      </x:c>
      <x:c r="G75" s="8" t="str">
        <x:v>yes</x:v>
      </x:c>
      <x:c r="H75" s="8" t="n">
        <x:v>604</x:v>
      </x:c>
      <x:c r="I75" s="8" t="str">
        <x:v>Verify behavior on a cold start and after the page reloads without destroying the native view.</x:v>
      </x:c>
      <x:c r="J75" s="8" t="n">
        <x:f>IF(G75="yes",1,0)</x:f>
        <x:v>1</x:v>
      </x:c>
      <x:c r="K75" s="8" t="n">
        <x:f>IF(G75="no",5,IF(E75&gt;800,3,1))</x:f>
        <x:v>1</x:v>
      </x:c>
      <x:c r="L75" s="8" t="str">
        <x:v>https://github.com/react-native-webview/react-native-webview</x:v>
      </x:c>
    </x:row>
    <x:row r="76">
      <x:c r="A76" s="8" t="str">
        <x:v>evt-00074</x:v>
      </x:c>
      <x:c r="B76" s="10" t="n">
        <x:v>46075.050844907404</x:v>
      </x:c>
      <x:c r="C76" s="8" t="str">
        <x:v>iOS</x:v>
      </x:c>
      <x:c r="D76" s="8" t="str">
        <x:v>cold launch</x:v>
      </x:c>
      <x:c r="E76" s="12" t="n">
        <x:v>852</x:v>
      </x:c>
      <x:c r="F76" s="12" t="n">
        <x:v>556.8</x:v>
      </x:c>
      <x:c r="G76" s="8" t="str">
        <x:v>yes</x:v>
      </x:c>
      <x:c r="H76" s="8" t="n">
        <x:v>567</x:v>
      </x:c>
      <x:c r="I76" s="8" t="str">
        <x:v>The owner field was not captured in the original notes, so classification should remain conservative.</x:v>
      </x:c>
      <x:c r="J76" s="8" t="n">
        <x:f>IF(G76="yes",1,0)</x:f>
        <x:v>1</x:v>
      </x:c>
      <x:c r="K76" s="8" t="n">
        <x:f>IF(G76="no",5,IF(E76&gt;800,3,1))</x:f>
        <x:v>3</x:v>
      </x:c>
      <x:c r="L76" s="8"/>
    </x:row>
    <x:row r="77">
      <x:c r="A77" s="8" t="str">
        <x:v>evt-00075</x:v>
      </x:c>
      <x:c r="B77" s="10" t="n">
        <x:v>46104.09321759259</x:v>
      </x:c>
      <x:c r="C77" s="8" t="str">
        <x:v>iOS</x:v>
      </x:c>
      <x:c r="D77" s="8" t="str">
        <x:v>file upload</x:v>
      </x:c>
      <x:c r="E77" s="12" t="n">
        <x:v>1149</x:v>
      </x:c>
      <x:c r="F77" s="12" t="n">
        <x:v>530.2</x:v>
      </x:c>
      <x:c r="G77" s="8" t="str">
        <x:v>yes</x:v>
      </x:c>
      <x:c r="H77" s="8" t="n">
        <x:v>679</x:v>
      </x:c>
      <x:c r="I77" s="8" t="str">
        <x:v>Follow-up: compare the result when the network security policy is relaxed versus when it is enforced.</x:v>
      </x:c>
      <x:c r="J77" s="8" t="n">
        <x:f>IF(G77="yes",1,0)</x:f>
        <x:v>1</x:v>
      </x:c>
      <x:c r="K77" s="8" t="n">
        <x:f>IF(G77="no",5,IF(E77&gt;800,3,1))</x:f>
        <x:v>3</x:v>
      </x:c>
      <x:c r="L77" s="8" t="str">
        <x:v>https://developer.microsoft.com/en-us/microsoft-edge/webview2/</x:v>
      </x:c>
    </x:row>
    <x:row r="78">
      <x:c r="A78" s="8" t="str">
        <x:v>evt-00076</x:v>
      </x:c>
      <x:c r="B78" s="10" t="n">
        <x:v>46136.13559027778</x:v>
      </x:c>
      <x:c r="C78" s="8" t="str">
        <x:v>Linux</x:v>
      </x:c>
      <x:c r="D78" s="8" t="str">
        <x:v>reload</x:v>
      </x:c>
      <x:c r="E78" s="12" t="n">
        <x:v>1444</x:v>
      </x:c>
      <x:c r="F78" s="12" t="n">
        <x:v>358.1</x:v>
      </x:c>
      <x:c r="G78" s="8" t="str">
        <x:v>yes</x:v>
      </x:c>
      <x:c r="H78" s="8" t="n">
        <x:v>830</x:v>
      </x:c>
      <x:c r="I78" s="8" t="str">
        <x:v>A blank cell here is intentional. The source workbook has notes placed away from the nearest table.</x:v>
      </x:c>
      <x:c r="J78" s="8" t="n">
        <x:f>IF(G78="yes",1,0)</x:f>
        <x:v>1</x:v>
      </x:c>
      <x:c r="K78" s="8" t="n">
        <x:f>IF(G78="no",5,IF(E78&gt;800,3,1))</x:f>
        <x:v>3</x:v>
      </x:c>
      <x:c r="L78" s="8" t="str">
        <x:v>https://developer.apple.com/documentation/webkit/wkwebview</x:v>
      </x:c>
    </x:row>
    <x:row r="79">
      <x:c r="A79" s="8" t="str">
        <x:v>evt-00077</x:v>
      </x:c>
      <x:c r="B79" s="10" t="n">
        <x:v>46167.17796296296</x:v>
      </x:c>
      <x:c r="C79" s="8" t="str">
        <x:v>Windows</x:v>
      </x:c>
      <x:c r="D79" s="8" t="str">
        <x:v>file upload</x:v>
      </x:c>
      <x:c r="E79" s="12" t="n">
        <x:v>1109</x:v>
      </x:c>
      <x:c r="F79" s="12" t="n">
        <x:v>628.1</x:v>
      </x:c>
      <x:c r="G79" s="8" t="str">
        <x:v>yes</x:v>
      </x:c>
      <x:c r="H79" s="8" t="n">
        <x:v>640</x:v>
      </x:c>
      <x:c r="I79" s="8"/>
      <x:c r="J79" s="8" t="n">
        <x:f>IF(G79="yes",1,0)</x:f>
        <x:v>1</x:v>
      </x:c>
      <x:c r="K79" s="8" t="n">
        <x:f>IF(G79="no",5,IF(E79&gt;800,3,1))</x:f>
        <x:v>3</x:v>
      </x:c>
      <x:c r="L79" s="8"/>
    </x:row>
    <x:row r="80">
      <x:c r="A80" s="8" t="str">
        <x:v>evt-00078</x:v>
      </x:c>
      <x:c r="B80" s="10" t="n">
        <x:v>46199.22033564815</x:v>
      </x:c>
      <x:c r="C80" s="8" t="str">
        <x:v>Windows</x:v>
      </x:c>
      <x:c r="D80" s="8" t="str">
        <x:v>reload</x:v>
      </x:c>
      <x:c r="E80" s="12" t="n">
        <x:v>1417</x:v>
      </x:c>
      <x:c r="F80" s="12" t="n">
        <x:v>220.1</x:v>
      </x:c>
      <x:c r="G80" s="8" t="str">
        <x:v>yes</x:v>
      </x:c>
      <x:c r="H80" s="8" t="n">
        <x:v>130</x:v>
      </x:c>
      <x:c r="I80" s="8"/>
      <x:c r="J80" s="8" t="n">
        <x:f>IF(G80="yes",1,0)</x:f>
        <x:v>1</x:v>
      </x:c>
      <x:c r="K80" s="8" t="n">
        <x:f>IF(G80="no",5,IF(E80&gt;800,3,1))</x:f>
        <x:v>3</x:v>
      </x:c>
      <x:c r="L80" s="8" t="str">
        <x:v>https://developer.microsoft.com/en-us/microsoft-edge/webview2/</x:v>
      </x:c>
    </x:row>
    <x:row r="81">
      <x:c r="A81" s="8" t="str">
        <x:v>evt-00079</x:v>
      </x:c>
      <x:c r="B81" s="10" t="n">
        <x:v>46204.262708333335</x:v>
      </x:c>
      <x:c r="C81" s="8" t="str">
        <x:v>Android</x:v>
      </x:c>
      <x:c r="D81" s="8" t="str">
        <x:v>navigation</x:v>
      </x:c>
      <x:c r="E81" s="12" t="n">
        <x:v>1447</x:v>
      </x:c>
      <x:c r="F81" s="12" t="n">
        <x:v>442.1</x:v>
      </x:c>
      <x:c r="G81" s="8" t="str">
        <x:v>yes</x:v>
      </x:c>
      <x:c r="H81" s="8" t="n">
        <x:v>131</x:v>
      </x:c>
      <x:c r="I81" s="8" t="str">
        <x:v>Potential duplicate: this paragraph is repeated in another section to test deduplication and chunk metadata.</x:v>
      </x:c>
      <x:c r="J81" s="8" t="n">
        <x:f>IF(G81="yes",1,0)</x:f>
        <x:v>1</x:v>
      </x:c>
      <x:c r="K81" s="8" t="n">
        <x:f>IF(G81="no",5,IF(E81&gt;800,3,1))</x:f>
        <x:v>3</x:v>
      </x:c>
      <x:c r="L81" s="8"/>
    </x:row>
    <x:row r="82">
      <x:c r="A82" s="8" t="str">
        <x:v>evt-00080</x:v>
      </x:c>
      <x:c r="B82" s="10" t="n">
        <x:v>46236.305081018516</x:v>
      </x:c>
      <x:c r="C82" s="8" t="str">
        <x:v>Android</x:v>
      </x:c>
      <x:c r="D82" s="8" t="str">
        <x:v>download</x:v>
      </x:c>
      <x:c r="E82" s="12" t="n">
        <x:v>1168</x:v>
      </x:c>
      <x:c r="F82" s="12" t="n">
        <x:v>866.2</x:v>
      </x:c>
      <x:c r="G82" s="8" t="str">
        <x:v>yes</x:v>
      </x:c>
      <x:c r="H82" s="8" t="n">
        <x:v>382</x:v>
      </x:c>
      <x:c r="I82" s="8" t="str">
        <x:v>Observed in a local test run: the content rendered, but the console warning appeared twice.</x:v>
      </x:c>
      <x:c r="J82" s="8" t="n">
        <x:f>IF(G82="yes",1,0)</x:f>
        <x:v>1</x:v>
      </x:c>
      <x:c r="K82" s="8" t="n">
        <x:f>IF(G82="no",5,IF(E82&gt;800,3,1))</x:f>
        <x:v>3</x:v>
      </x:c>
      <x:c r="L82" s="8"/>
    </x:row>
    <x:row r="83">
      <x:c r="A83" s="8" t="str">
        <x:v>evt-00081</x:v>
      </x:c>
      <x:c r="B83" s="10" t="n">
        <x:v>46268.347453703704</x:v>
      </x:c>
      <x:c r="C83" s="8" t="str">
        <x:v>iOS</x:v>
      </x:c>
      <x:c r="D83" s="8" t="str">
        <x:v>file upload</x:v>
      </x:c>
      <x:c r="E83" s="12" t="n">
        <x:v>1117</x:v>
      </x:c>
      <x:c r="F83" s="12" t="n">
        <x:v>925.2</x:v>
      </x:c>
      <x:c r="G83" s="8" t="str">
        <x:v>yes</x:v>
      </x:c>
      <x:c r="H83" s="8" t="n">
        <x:v>766</x:v>
      </x:c>
      <x:c r="I83" s="8" t="str">
        <x:v>Follow-up: compare the result when the network security policy is relaxed versus when it is enforced.</x:v>
      </x:c>
      <x:c r="J83" s="8" t="n">
        <x:f>IF(G83="yes",1,0)</x:f>
        <x:v>1</x:v>
      </x:c>
      <x:c r="K83" s="8" t="n">
        <x:f>IF(G83="no",5,IF(E83&gt;800,3,1))</x:f>
        <x:v>3</x:v>
      </x:c>
      <x:c r="L83" s="8"/>
    </x:row>
    <x:row r="84">
      <x:c r="A84" s="8" t="str">
        <x:v>evt-00082</x:v>
      </x:c>
      <x:c r="B84" s="10" t="n">
        <x:v>46026.38982638889</x:v>
      </x:c>
      <x:c r="C84" s="8" t="str">
        <x:v>macOS</x:v>
      </x:c>
      <x:c r="D84" s="8" t="str">
        <x:v>cold launch</x:v>
      </x:c>
      <x:c r="E84" s="12" t="n">
        <x:v>529</x:v>
      </x:c>
      <x:c r="F84" s="12" t="n">
        <x:v>791.8</x:v>
      </x:c>
      <x:c r="G84" s="8" t="str">
        <x:v>yes</x:v>
      </x:c>
      <x:c r="H84" s="8" t="n">
        <x:v>760</x:v>
      </x:c>
      <x:c r="I84" s="8"/>
      <x:c r="J84" s="8" t="n">
        <x:f>IF(G84="yes",1,0)</x:f>
        <x:v>1</x:v>
      </x:c>
      <x:c r="K84" s="8" t="n">
        <x:f>IF(G84="no",5,IF(E84&gt;800,3,1))</x:f>
        <x:v>1</x:v>
      </x:c>
      <x:c r="L84" s="8"/>
    </x:row>
    <x:row r="85">
      <x:c r="A85" s="8" t="str">
        <x:v>evt-00083</x:v>
      </x:c>
      <x:c r="B85" s="10" t="n">
        <x:v>46058.43219907407</x:v>
      </x:c>
      <x:c r="C85" s="8" t="str">
        <x:v>Android</x:v>
      </x:c>
      <x:c r="D85" s="8" t="str">
        <x:v>large JSON</x:v>
      </x:c>
      <x:c r="E85" s="12" t="n">
        <x:v>1026</x:v>
      </x:c>
      <x:c r="F85" s="12" t="n">
        <x:v>833.1</x:v>
      </x:c>
      <x:c r="G85" s="8" t="str">
        <x:v>no</x:v>
      </x:c>
      <x:c r="H85" s="8" t="n">
        <x:v>517</x:v>
      </x:c>
      <x:c r="I85" s="8" t="str">
        <x:v>Follow-up: compare the result when the network security policy is relaxed versus when it is enforced.</x:v>
      </x:c>
      <x:c r="J85" s="8" t="n">
        <x:f>IF(G85="yes",1,0)</x:f>
        <x:v>0</x:v>
      </x:c>
      <x:c r="K85" s="8" t="n">
        <x:f>IF(G85="no",5,IF(E85&gt;800,3,1))</x:f>
        <x:v>5</x:v>
      </x:c>
      <x:c r="L85" s="8"/>
    </x:row>
    <x:row r="86">
      <x:c r="A86" s="8" t="str">
        <x:v>evt-00084</x:v>
      </x:c>
      <x:c r="B86" s="10" t="n">
        <x:v>46087.47457175926</x:v>
      </x:c>
      <x:c r="C86" s="8" t="str">
        <x:v>Android</x:v>
      </x:c>
      <x:c r="D86" s="8" t="str">
        <x:v>large JSON</x:v>
      </x:c>
      <x:c r="E86" s="12" t="n">
        <x:v>1196</x:v>
      </x:c>
      <x:c r="F86" s="12" t="n">
        <x:v>264.1</x:v>
      </x:c>
      <x:c r="G86" s="8" t="str">
        <x:v>yes</x:v>
      </x:c>
      <x:c r="H86" s="8" t="n">
        <x:v>567</x:v>
      </x:c>
      <x:c r="I86" s="8" t="str">
        <x:v>Potential duplicate: this paragraph is repeated in another section to test deduplication and chunk metadata.</x:v>
      </x:c>
      <x:c r="J86" s="8" t="n">
        <x:f>IF(G86="yes",1,0)</x:f>
        <x:v>1</x:v>
      </x:c>
      <x:c r="K86" s="8" t="n">
        <x:f>IF(G86="no",5,IF(E86&gt;800,3,1))</x:f>
        <x:v>3</x:v>
      </x:c>
      <x:c r="L86" s="8" t="str">
        <x:v>https://learn.microsoft.com/en-us/microsoft-edge/webview2/concepts/security</x:v>
      </x:c>
    </x:row>
    <x:row r="87">
      <x:c r="A87" s="8" t="str">
        <x:v>evt-00085</x:v>
      </x:c>
      <x:c r="B87" s="10" t="n">
        <x:v>46119.51694444445</x:v>
      </x:c>
      <x:c r="C87" s="8" t="str">
        <x:v>Linux</x:v>
      </x:c>
      <x:c r="D87" s="8" t="str">
        <x:v>navigation</x:v>
      </x:c>
      <x:c r="E87" s="12" t="n">
        <x:v>429</x:v>
      </x:c>
      <x:c r="F87" s="12" t="n">
        <x:v>834.1</x:v>
      </x:c>
      <x:c r="G87" s="8" t="str">
        <x:v>yes</x:v>
      </x:c>
      <x:c r="H87" s="8" t="n">
        <x:v>160</x:v>
      </x:c>
      <x:c r="I87" s="8"/>
      <x:c r="J87" s="8" t="n">
        <x:f>IF(G87="yes",1,0)</x:f>
        <x:v>1</x:v>
      </x:c>
      <x:c r="K87" s="8" t="n">
        <x:f>IF(G87="no",5,IF(E87&gt;800,3,1))</x:f>
        <x:v>1</x:v>
      </x:c>
      <x:c r="L87" s="8" t="str">
        <x:v>https://developer.apple.com/documentation/webkit/wkwebview</x:v>
      </x:c>
    </x:row>
    <x:row r="88">
      <x:c r="A88" s="8" t="str">
        <x:v>evt-00086</x:v>
      </x:c>
      <x:c r="B88" s="10" t="n">
        <x:v>46150.55931712963</x:v>
      </x:c>
      <x:c r="C88" s="8" t="str">
        <x:v>Android</x:v>
      </x:c>
      <x:c r="D88" s="8" t="str">
        <x:v>file upload</x:v>
      </x:c>
      <x:c r="E88" s="12" t="n">
        <x:v>123</x:v>
      </x:c>
      <x:c r="F88" s="12" t="n">
        <x:v>859.8</x:v>
      </x:c>
      <x:c r="G88" s="8" t="str">
        <x:v>yes</x:v>
      </x:c>
      <x:c r="H88" s="8" t="n">
        <x:v>370</x:v>
      </x:c>
      <x:c r="I88" s="8"/>
      <x:c r="J88" s="8" t="n">
        <x:f>IF(G88="yes",1,0)</x:f>
        <x:v>1</x:v>
      </x:c>
      <x:c r="K88" s="8" t="n">
        <x:f>IF(G88="no",5,IF(E88&gt;800,3,1))</x:f>
        <x:v>1</x:v>
      </x:c>
      <x:c r="L88" s="8"/>
    </x:row>
    <x:row r="89">
      <x:c r="A89" s="8" t="str">
        <x:v>evt-00087</x:v>
      </x:c>
      <x:c r="B89" s="10" t="n">
        <x:v>46182.601689814815</x:v>
      </x:c>
      <x:c r="C89" s="8" t="str">
        <x:v>Windows</x:v>
      </x:c>
      <x:c r="D89" s="8" t="str">
        <x:v>bridge message</x:v>
      </x:c>
      <x:c r="E89" s="12" t="n">
        <x:v>1308</x:v>
      </x:c>
      <x:c r="F89" s="12" t="n">
        <x:v>408.6</x:v>
      </x:c>
      <x:c r="G89" s="8" t="str">
        <x:v>yes</x:v>
      </x:c>
      <x:c r="H89" s="8" t="n">
        <x:v>78</x:v>
      </x:c>
      <x:c r="I89" s="8"/>
      <x:c r="J89" s="8" t="n">
        <x:f>IF(G89="yes",1,0)</x:f>
        <x:v>1</x:v>
      </x:c>
      <x:c r="K89" s="8" t="n">
        <x:f>IF(G89="no",5,IF(E89&gt;800,3,1))</x:f>
        <x:v>3</x:v>
      </x:c>
      <x:c r="L89" s="8" t="str">
        <x:v>https://developer.android.com/reference/android/webkit/WebView</x:v>
      </x:c>
    </x:row>
    <x:row r="90">
      <x:c r="A90" s="8" t="str">
        <x:v>evt-00088</x:v>
      </x:c>
      <x:c r="B90" s="10" t="n">
        <x:v>46213.6440625</x:v>
      </x:c>
      <x:c r="C90" s="8" t="str">
        <x:v>iOS</x:v>
      </x:c>
      <x:c r="D90" s="8" t="str">
        <x:v>bridge message</x:v>
      </x:c>
      <x:c r="E90" s="12" t="n">
        <x:v>1209</x:v>
      </x:c>
      <x:c r="F90" s="12" t="n">
        <x:v>150.7</x:v>
      </x:c>
      <x:c r="G90" s="8" t="str">
        <x:v>yes</x:v>
      </x:c>
      <x:c r="H90" s="8" t="n">
        <x:v>132</x:v>
      </x:c>
      <x:c r="I90" s="8"/>
      <x:c r="J90" s="8" t="n">
        <x:f>IF(G90="yes",1,0)</x:f>
        <x:v>1</x:v>
      </x:c>
      <x:c r="K90" s="8" t="n">
        <x:f>IF(G90="no",5,IF(E90&gt;800,3,1))</x:f>
        <x:v>3</x:v>
      </x:c>
      <x:c r="L90" s="8" t="str">
        <x:v>https://learn.microsoft.com/en-us/microsoft-edge/webview2/concepts/security</x:v>
      </x:c>
    </x:row>
    <x:row r="91">
      <x:c r="A91" s="8" t="str">
        <x:v>evt-00089</x:v>
      </x:c>
      <x:c r="B91" s="10" t="n">
        <x:v>46245.686435185184</x:v>
      </x:c>
      <x:c r="C91" s="8" t="str">
        <x:v>Android</x:v>
      </x:c>
      <x:c r="D91" s="8" t="str">
        <x:v>bridge message</x:v>
      </x:c>
      <x:c r="E91" s="12" t="n">
        <x:v>136</x:v>
      </x:c>
      <x:c r="F91" s="12" t="n">
        <x:v>220.7</x:v>
      </x:c>
      <x:c r="G91" s="8" t="str">
        <x:v>yes</x:v>
      </x:c>
      <x:c r="H91" s="8" t="n">
        <x:v>726</x:v>
      </x:c>
      <x:c r="I91" s="8" t="str">
        <x:v>The owner field was not captured in the original notes, so classification should remain conservative.</x:v>
      </x:c>
      <x:c r="J91" s="8" t="n">
        <x:f>IF(G91="yes",1,0)</x:f>
        <x:v>1</x:v>
      </x:c>
      <x:c r="K91" s="8" t="n">
        <x:f>IF(G91="no",5,IF(E91&gt;800,3,1))</x:f>
        <x:v>1</x:v>
      </x:c>
      <x:c r="L91" s="8" t="str">
        <x:v>https://developer.apple.com/documentation/webkit/wkwebview</x:v>
      </x:c>
    </x:row>
    <x:row r="92">
      <x:c r="A92" s="8" t="str">
        <x:v>evt-00090</x:v>
      </x:c>
      <x:c r="B92" s="10" t="n">
        <x:v>46277.72880787037</x:v>
      </x:c>
      <x:c r="C92" s="8" t="str">
        <x:v>Android</x:v>
      </x:c>
      <x:c r="D92" s="8" t="str">
        <x:v>reload</x:v>
      </x:c>
      <x:c r="E92" s="12" t="n">
        <x:v>872</x:v>
      </x:c>
      <x:c r="F92" s="12" t="n">
        <x:v>692.6</x:v>
      </x:c>
      <x:c r="G92" s="8" t="str">
        <x:v>yes</x:v>
      </x:c>
      <x:c r="H92" s="8" t="n">
        <x:v>589</x:v>
      </x:c>
      <x:c r="I92" s="8" t="str">
        <x:v>Follow-up: compare the result when the network security policy is relaxed versus when it is enforced.</x:v>
      </x:c>
      <x:c r="J92" s="8" t="n">
        <x:f>IF(G92="yes",1,0)</x:f>
        <x:v>1</x:v>
      </x:c>
      <x:c r="K92" s="8" t="n">
        <x:f>IF(G92="no",5,IF(E92&gt;800,3,1))</x:f>
        <x:v>3</x:v>
      </x:c>
      <x:c r="L92" s="8"/>
    </x:row>
    <x:row r="93">
      <x:c r="A93" s="8" t="str">
        <x:v>evt-00091</x:v>
      </x:c>
      <x:c r="B93" s="10" t="n">
        <x:v>46035.77118055556</x:v>
      </x:c>
      <x:c r="C93" s="8" t="str">
        <x:v>iOS</x:v>
      </x:c>
      <x:c r="D93" s="8" t="str">
        <x:v>reload</x:v>
      </x:c>
      <x:c r="E93" s="12" t="n">
        <x:v>1011</x:v>
      </x:c>
      <x:c r="F93" s="12" t="n">
        <x:v>634.2</x:v>
      </x:c>
      <x:c r="G93" s="8" t="str">
        <x:v>yes</x:v>
      </x:c>
      <x:c r="H93" s="8" t="n">
        <x:v>499</x:v>
      </x:c>
      <x:c r="I93" s="8" t="str">
        <x:v>Potential duplicate: this paragraph is repeated in another section to test deduplication and chunk metadata.</x:v>
      </x:c>
      <x:c r="J93" s="8" t="n">
        <x:f>IF(G93="yes",1,0)</x:f>
        <x:v>1</x:v>
      </x:c>
      <x:c r="K93" s="8" t="n">
        <x:f>IF(G93="no",5,IF(E93&gt;800,3,1))</x:f>
        <x:v>3</x:v>
      </x:c>
      <x:c r="L93" s="8" t="str">
        <x:v>https://github.com/react-native-webview/react-native-webview</x:v>
      </x:c>
    </x:row>
    <x:row r="94">
      <x:c r="A94" s="8" t="str">
        <x:v>evt-00092</x:v>
      </x:c>
      <x:c r="B94" s="10" t="n">
        <x:v>46067.81355324074</x:v>
      </x:c>
      <x:c r="C94" s="8" t="str">
        <x:v>Windows</x:v>
      </x:c>
      <x:c r="D94" s="8" t="str">
        <x:v>file upload</x:v>
      </x:c>
      <x:c r="E94" s="12" t="n">
        <x:v>263</x:v>
      </x:c>
      <x:c r="F94" s="12" t="n">
        <x:v>643.8</x:v>
      </x:c>
      <x:c r="G94" s="8" t="str">
        <x:v>yes</x:v>
      </x:c>
      <x:c r="H94" s="8" t="n">
        <x:v>865</x:v>
      </x:c>
      <x:c r="I94" s="8" t="str">
        <x:v>Verify behavior on a cold start and after the page reloads without destroying the native view.</x:v>
      </x:c>
      <x:c r="J94" s="8" t="n">
        <x:f>IF(G94="yes",1,0)</x:f>
        <x:v>1</x:v>
      </x:c>
      <x:c r="K94" s="8" t="n">
        <x:f>IF(G94="no",5,IF(E94&gt;800,3,1))</x:f>
        <x:v>1</x:v>
      </x:c>
      <x:c r="L94" s="8"/>
    </x:row>
    <x:row r="95">
      <x:c r="A95" s="8" t="str">
        <x:v>evt-00093</x:v>
      </x:c>
      <x:c r="B95" s="10" t="n">
        <x:v>46096.85592592593</x:v>
      </x:c>
      <x:c r="C95" s="8" t="str">
        <x:v>iOS</x:v>
      </x:c>
      <x:c r="D95" s="8" t="str">
        <x:v>cold launch</x:v>
      </x:c>
      <x:c r="E95" s="12" t="n">
        <x:v>794</x:v>
      </x:c>
      <x:c r="F95" s="12" t="n">
        <x:v>345.2</x:v>
      </x:c>
      <x:c r="G95" s="8" t="str">
        <x:v>yes</x:v>
      </x:c>
      <x:c r="H95" s="8" t="n">
        <x:v>500</x:v>
      </x:c>
      <x:c r="I95" s="8"/>
      <x:c r="J95" s="8" t="n">
        <x:f>IF(G95="yes",1,0)</x:f>
        <x:v>1</x:v>
      </x:c>
      <x:c r="K95" s="8" t="n">
        <x:f>IF(G95="no",5,IF(E95&gt;800,3,1))</x:f>
        <x:v>1</x:v>
      </x:c>
      <x:c r="L95" s="8"/>
    </x:row>
    <x:row r="96">
      <x:c r="A96" s="8" t="str">
        <x:v>evt-00094</x:v>
      </x:c>
      <x:c r="B96" s="10" t="n">
        <x:v>46128.89829861111</x:v>
      </x:c>
      <x:c r="C96" s="8" t="str">
        <x:v>Linux</x:v>
      </x:c>
      <x:c r="D96" s="8" t="str">
        <x:v>reload</x:v>
      </x:c>
      <x:c r="E96" s="12" t="n">
        <x:v>273</x:v>
      </x:c>
      <x:c r="F96" s="12" t="n">
        <x:v>907.6</x:v>
      </x:c>
      <x:c r="G96" s="8" t="str">
        <x:v>yes</x:v>
      </x:c>
      <x:c r="H96" s="8" t="n">
        <x:v>608</x:v>
      </x:c>
      <x:c r="I96" s="8"/>
      <x:c r="J96" s="8" t="n">
        <x:f>IF(G96="yes",1,0)</x:f>
        <x:v>1</x:v>
      </x:c>
      <x:c r="K96" s="8" t="n">
        <x:f>IF(G96="no",5,IF(E96&gt;800,3,1))</x:f>
        <x:v>1</x:v>
      </x:c>
      <x:c r="L96" s="8"/>
    </x:row>
    <x:row r="97">
      <x:c r="A97" s="8" t="str">
        <x:v>evt-00095</x:v>
      </x:c>
      <x:c r="B97" s="10" t="n">
        <x:v>46159.940671296295</x:v>
      </x:c>
      <x:c r="C97" s="8" t="str">
        <x:v>Android</x:v>
      </x:c>
      <x:c r="D97" s="8" t="str">
        <x:v>cold launch</x:v>
      </x:c>
      <x:c r="E97" s="12" t="n">
        <x:v>1393</x:v>
      </x:c>
      <x:c r="F97" s="12" t="n">
        <x:v>762</x:v>
      </x:c>
      <x:c r="G97" s="8" t="str">
        <x:v>no</x:v>
      </x:c>
      <x:c r="H97" s="8" t="n">
        <x:v>683</x:v>
      </x:c>
      <x:c r="I97" s="8"/>
      <x:c r="J97" s="8" t="n">
        <x:f>IF(G97="yes",1,0)</x:f>
        <x:v>0</x:v>
      </x:c>
      <x:c r="K97" s="8" t="n">
        <x:f>IF(G97="no",5,IF(E97&gt;800,3,1))</x:f>
        <x:v>5</x:v>
      </x:c>
      <x:c r="L97" s="8" t="str">
        <x:v>https://learn.microsoft.com/en-us/microsoft-edge/webview2/concepts/security</x:v>
      </x:c>
    </x:row>
    <x:row r="98">
      <x:c r="A98" s="8" t="str">
        <x:v>evt-00096</x:v>
      </x:c>
      <x:c r="B98" s="10" t="n">
        <x:v>46191.98304398148</x:v>
      </x:c>
      <x:c r="C98" s="8" t="str">
        <x:v>Linux</x:v>
      </x:c>
      <x:c r="D98" s="8" t="str">
        <x:v>large JSON</x:v>
      </x:c>
      <x:c r="E98" s="12" t="n">
        <x:v>1388</x:v>
      </x:c>
      <x:c r="F98" s="12" t="n">
        <x:v>268.4</x:v>
      </x:c>
      <x:c r="G98" s="8" t="str">
        <x:v>yes</x:v>
      </x:c>
      <x:c r="H98" s="8" t="n">
        <x:v>27</x:v>
      </x:c>
      <x:c r="I98" s="8" t="str">
        <x:v>Potential duplicate: this paragraph is repeated in another section to test deduplication and chunk metadata.</x:v>
      </x:c>
      <x:c r="J98" s="8" t="n">
        <x:f>IF(G98="yes",1,0)</x:f>
        <x:v>1</x:v>
      </x:c>
      <x:c r="K98" s="8" t="n">
        <x:f>IF(G98="no",5,IF(E98&gt;800,3,1))</x:f>
        <x:v>3</x:v>
      </x:c>
      <x:c r="L98" s="8" t="str">
        <x:v>https://developer.android.com/reference/android/webkit/WebView</x:v>
      </x:c>
    </x:row>
    <x:row r="99">
      <x:c r="A99" s="8" t="str">
        <x:v>evt-00097</x:v>
      </x:c>
      <x:c r="B99" s="10" t="n">
        <x:v>46222.025416666664</x:v>
      </x:c>
      <x:c r="C99" s="8" t="str">
        <x:v>Linux</x:v>
      </x:c>
      <x:c r="D99" s="8" t="str">
        <x:v>reload</x:v>
      </x:c>
      <x:c r="E99" s="12" t="n">
        <x:v>85</x:v>
      </x:c>
      <x:c r="F99" s="12" t="n">
        <x:v>312.3</x:v>
      </x:c>
      <x:c r="G99" s="8" t="str">
        <x:v>yes</x:v>
      </x:c>
      <x:c r="H99" s="8" t="n">
        <x:v>254</x:v>
      </x:c>
      <x:c r="I99" s="8"/>
      <x:c r="J99" s="8" t="n">
        <x:f>IF(G99="yes",1,0)</x:f>
        <x:v>1</x:v>
      </x:c>
      <x:c r="K99" s="8" t="n">
        <x:f>IF(G99="no",5,IF(E99&gt;800,3,1))</x:f>
        <x:v>1</x:v>
      </x:c>
      <x:c r="L99" s="8" t="str">
        <x:v>https://developer.microsoft.com/en-us/microsoft-edge/webview2/</x:v>
      </x:c>
    </x:row>
    <x:row r="100">
      <x:c r="A100" s="8" t="str">
        <x:v>evt-00098</x:v>
      </x:c>
      <x:c r="B100" s="10" t="n">
        <x:v>46254.06778935185</x:v>
      </x:c>
      <x:c r="C100" s="8" t="str">
        <x:v>macOS</x:v>
      </x:c>
      <x:c r="D100" s="8" t="str">
        <x:v>cold launch</x:v>
      </x:c>
      <x:c r="E100" s="12" t="n">
        <x:v>726</x:v>
      </x:c>
      <x:c r="F100" s="12" t="n">
        <x:v>935.4</x:v>
      </x:c>
      <x:c r="G100" s="8" t="str">
        <x:v>yes</x:v>
      </x:c>
      <x:c r="H100" s="8" t="n">
        <x:v>656</x:v>
      </x:c>
      <x:c r="I100" s="8"/>
      <x:c r="J100" s="8" t="n">
        <x:f>IF(G100="yes",1,0)</x:f>
        <x:v>1</x:v>
      </x:c>
      <x:c r="K100" s="8" t="n">
        <x:f>IF(G100="no",5,IF(E100&gt;800,3,1))</x:f>
        <x:v>1</x:v>
      </x:c>
      <x:c r="L100" s="8"/>
    </x:row>
    <x:row r="101">
      <x:c r="A101" s="8" t="str">
        <x:v>evt-00099</x:v>
      </x:c>
      <x:c r="B101" s="10" t="n">
        <x:v>46286.11016203704</x:v>
      </x:c>
      <x:c r="C101" s="8" t="str">
        <x:v>macOS</x:v>
      </x:c>
      <x:c r="D101" s="8" t="str">
        <x:v>bridge message</x:v>
      </x:c>
      <x:c r="E101" s="12" t="n">
        <x:v>1214</x:v>
      </x:c>
      <x:c r="F101" s="12" t="n">
        <x:v>810</x:v>
      </x:c>
      <x:c r="G101" s="8" t="str">
        <x:v>yes</x:v>
      </x:c>
      <x:c r="H101" s="8" t="n">
        <x:v>249</x:v>
      </x:c>
      <x:c r="I101" s="8"/>
      <x:c r="J101" s="8" t="n">
        <x:f>IF(G101="yes",1,0)</x:f>
        <x:v>1</x:v>
      </x:c>
      <x:c r="K101" s="8" t="n">
        <x:f>IF(G101="no",5,IF(E101&gt;800,3,1))</x:f>
        <x:v>3</x:v>
      </x:c>
      <x:c r="L101" s="8" t="str">
        <x:v>https://developer.android.com/reference/android/webkit/WebView</x:v>
      </x:c>
    </x:row>
    <x:row r="102">
      <x:c r="A102" s="8" t="str">
        <x:v>evt-00100</x:v>
      </x:c>
      <x:c r="B102" s="10" t="n">
        <x:v>46044.15253472222</x:v>
      </x:c>
      <x:c r="C102" s="8" t="str">
        <x:v>macOS</x:v>
      </x:c>
      <x:c r="D102" s="8" t="str">
        <x:v>large JSON</x:v>
      </x:c>
      <x:c r="E102" s="12" t="n">
        <x:v>24</x:v>
      </x:c>
      <x:c r="F102" s="12" t="n">
        <x:v>891.4</x:v>
      </x:c>
      <x:c r="G102" s="8" t="str">
        <x:v>yes</x:v>
      </x:c>
      <x:c r="H102" s="8" t="n">
        <x:v>636</x:v>
      </x:c>
      <x:c r="I102" s="8"/>
      <x:c r="J102" s="8" t="n">
        <x:f>IF(G102="yes",1,0)</x:f>
        <x:v>1</x:v>
      </x:c>
      <x:c r="K102" s="8" t="n">
        <x:f>IF(G102="no",5,IF(E102&gt;800,3,1))</x:f>
        <x:v>1</x:v>
      </x:c>
      <x:c r="L102" s="8"/>
    </x:row>
    <x:row r="103">
      <x:c r="A103" s="8"/>
      <x:c r="B103" s="10"/>
      <x:c r="C103" s="8"/>
      <x:c r="D103" s="8"/>
      <x:c r="E103" s="12"/>
      <x:c r="F103" s="12"/>
      <x:c r="G103" s="8"/>
      <x:c r="H103" s="8"/>
      <x:c r="I103" s="8"/>
      <x:c r="J103" s="8" t="n">
        <x:f>IF(G103="yes",1,0)</x:f>
        <x:v>0</x:v>
      </x:c>
      <x:c r="K103" s="8" t="n">
        <x:f>IF(G103="no",5,IF(E103&gt;800,3,1))</x:f>
        <x:v>1</x:v>
      </x:c>
      <x:c r="L103" s="8"/>
    </x:row>
    <x:row r="104">
      <x:c r="A104" s="8" t="str">
        <x:v>evt-00101</x:v>
      </x:c>
      <x:c r="B104" s="10" t="n">
        <x:v>46076.19490740741</x:v>
      </x:c>
      <x:c r="C104" s="8" t="str">
        <x:v>Android</x:v>
      </x:c>
      <x:c r="D104" s="8" t="str">
        <x:v>file upload</x:v>
      </x:c>
      <x:c r="E104" s="12" t="n">
        <x:v>443</x:v>
      </x:c>
      <x:c r="F104" s="12" t="n">
        <x:v>746.6</x:v>
      </x:c>
      <x:c r="G104" s="8" t="str">
        <x:v>yes</x:v>
      </x:c>
      <x:c r="H104" s="8" t="n">
        <x:v>768</x:v>
      </x:c>
      <x:c r="I104" s="8"/>
      <x:c r="J104" s="8" t="n">
        <x:f>IF(G104="yes",1,0)</x:f>
        <x:v>1</x:v>
      </x:c>
      <x:c r="K104" s="8" t="n">
        <x:f>IF(G104="no",5,IF(E104&gt;800,3,1))</x:f>
        <x:v>1</x:v>
      </x:c>
      <x:c r="L104" s="8"/>
    </x:row>
    <x:row r="105">
      <x:c r="A105" s="8" t="str">
        <x:v>evt-00102</x:v>
      </x:c>
      <x:c r="B105" s="10" t="n">
        <x:v>46105.237280092595</x:v>
      </x:c>
      <x:c r="C105" s="8" t="str">
        <x:v>iOS</x:v>
      </x:c>
      <x:c r="D105" s="8" t="str">
        <x:v>download</x:v>
      </x:c>
      <x:c r="E105" s="12" t="n">
        <x:v>1442</x:v>
      </x:c>
      <x:c r="F105" s="12" t="n">
        <x:v>489.8</x:v>
      </x:c>
      <x:c r="G105" s="8" t="str">
        <x:v>yes</x:v>
      </x:c>
      <x:c r="H105" s="8" t="n">
        <x:v>312</x:v>
      </x:c>
      <x:c r="I105" s="8"/>
      <x:c r="J105" s="8" t="n">
        <x:f>IF(G105="yes",1,0)</x:f>
        <x:v>1</x:v>
      </x:c>
      <x:c r="K105" s="8" t="n">
        <x:f>IF(G105="no",5,IF(E105&gt;800,3,1))</x:f>
        <x:v>3</x:v>
      </x:c>
      <x:c r="L105" s="8" t="str">
        <x:v>https://developer.microsoft.com/en-us/microsoft-edge/webview2/</x:v>
      </x:c>
    </x:row>
    <x:row r="106">
      <x:c r="A106" s="8" t="str">
        <x:v>evt-00103</x:v>
      </x:c>
      <x:c r="B106" s="10" t="n">
        <x:v>46137.279652777775</x:v>
      </x:c>
      <x:c r="C106" s="8" t="str">
        <x:v>iOS</x:v>
      </x:c>
      <x:c r="D106" s="8" t="str">
        <x:v>reload</x:v>
      </x:c>
      <x:c r="E106" s="12" t="n">
        <x:v>193</x:v>
      </x:c>
      <x:c r="F106" s="12" t="n">
        <x:v>212.2</x:v>
      </x:c>
      <x:c r="G106" s="8" t="str">
        <x:v>yes</x:v>
      </x:c>
      <x:c r="H106" s="8" t="n">
        <x:v>820</x:v>
      </x:c>
      <x:c r="I106" s="8" t="str">
        <x:v>The bridge callback is stable for small payloads, but large JSON messages show visible delay during navigation.</x:v>
      </x:c>
      <x:c r="J106" s="8" t="n">
        <x:f>IF(G106="yes",1,0)</x:f>
        <x:v>1</x:v>
      </x:c>
      <x:c r="K106" s="8" t="n">
        <x:f>IF(G106="no",5,IF(E106&gt;800,3,1))</x:f>
        <x:v>1</x:v>
      </x:c>
      <x:c r="L106" s="8"/>
    </x:row>
    <x:row r="107">
      <x:c r="A107" s="8" t="str">
        <x:v>evt-00104</x:v>
      </x:c>
      <x:c r="B107" s="10" t="n">
        <x:v>46168.32202546296</x:v>
      </x:c>
      <x:c r="C107" s="8" t="str">
        <x:v>macOS</x:v>
      </x:c>
      <x:c r="D107" s="8" t="str">
        <x:v>reload</x:v>
      </x:c>
      <x:c r="E107" s="12" t="n">
        <x:v>297</x:v>
      </x:c>
      <x:c r="F107" s="12" t="n">
        <x:v>116.3</x:v>
      </x:c>
      <x:c r="G107" s="8" t="str">
        <x:v>yes</x:v>
      </x:c>
      <x:c r="H107" s="8" t="n">
        <x:v>38</x:v>
      </x:c>
      <x:c r="I107" s="8"/>
      <x:c r="J107" s="8" t="n">
        <x:f>IF(G107="yes",1,0)</x:f>
        <x:v>1</x:v>
      </x:c>
      <x:c r="K107" s="8" t="n">
        <x:f>IF(G107="no",5,IF(E107&gt;800,3,1))</x:f>
        <x:v>1</x:v>
      </x:c>
      <x:c r="L107" s="8"/>
    </x:row>
    <x:row r="108">
      <x:c r="A108" s="8" t="str">
        <x:v>evt-00105</x:v>
      </x:c>
      <x:c r="B108" s="10" t="n">
        <x:v>46174.36439814815</x:v>
      </x:c>
      <x:c r="C108" s="8" t="str">
        <x:v>Windows</x:v>
      </x:c>
      <x:c r="D108" s="8" t="str">
        <x:v>large JSON</x:v>
      </x:c>
      <x:c r="E108" s="12" t="n">
        <x:v>880</x:v>
      </x:c>
      <x:c r="F108" s="12" t="n">
        <x:v>363.2</x:v>
      </x:c>
      <x:c r="G108" s="8" t="str">
        <x:v>yes</x:v>
      </x:c>
      <x:c r="H108" s="8" t="n">
        <x:v>514</x:v>
      </x:c>
      <x:c r="I108" s="8"/>
      <x:c r="J108" s="8" t="n">
        <x:f>IF(G108="yes",1,0)</x:f>
        <x:v>1</x:v>
      </x:c>
      <x:c r="K108" s="8" t="n">
        <x:f>IF(G108="no",5,IF(E108&gt;800,3,1))</x:f>
        <x:v>3</x:v>
      </x:c>
      <x:c r="L108" s="8" t="str">
        <x:v>https://learn.microsoft.com/en-us/microsoft-edge/webview2/concepts/security</x:v>
      </x:c>
    </x:row>
    <x:row r="109">
      <x:c r="A109" s="8" t="str">
        <x:v>evt-00106</x:v>
      </x:c>
      <x:c r="B109" s="10" t="n">
        <x:v>46205.40677083333</x:v>
      </x:c>
      <x:c r="C109" s="8" t="str">
        <x:v>macOS</x:v>
      </x:c>
      <x:c r="D109" s="8" t="str">
        <x:v>large JSON</x:v>
      </x:c>
      <x:c r="E109" s="12" t="n">
        <x:v>1117</x:v>
      </x:c>
      <x:c r="F109" s="12" t="n">
        <x:v>142.1</x:v>
      </x:c>
      <x:c r="G109" s="8" t="str">
        <x:v>yes</x:v>
      </x:c>
      <x:c r="H109" s="8" t="n">
        <x:v>432</x:v>
      </x:c>
      <x:c r="I109" s="8"/>
      <x:c r="J109" s="8" t="n">
        <x:f>IF(G109="yes",1,0)</x:f>
        <x:v>1</x:v>
      </x:c>
      <x:c r="K109" s="8" t="n">
        <x:f>IF(G109="no",5,IF(E109&gt;800,3,1))</x:f>
        <x:v>3</x:v>
      </x:c>
      <x:c r="L109" s="8" t="str">
        <x:v>https://developer.android.com/reference/android/webkit/WebView</x:v>
      </x:c>
    </x:row>
    <x:row r="110">
      <x:c r="A110" s="8" t="str">
        <x:v>evt-00107</x:v>
      </x:c>
      <x:c r="B110" s="10" t="n">
        <x:v>46237.44914351852</x:v>
      </x:c>
      <x:c r="C110" s="8" t="str">
        <x:v>iOS</x:v>
      </x:c>
      <x:c r="D110" s="8" t="str">
        <x:v>bridge message</x:v>
      </x:c>
      <x:c r="E110" s="12" t="n">
        <x:v>1160</x:v>
      </x:c>
      <x:c r="F110" s="12" t="n">
        <x:v>156.4</x:v>
      </x:c>
      <x:c r="G110" s="8" t="str">
        <x:v>yes</x:v>
      </x:c>
      <x:c r="H110" s="8" t="n">
        <x:v>420</x:v>
      </x:c>
      <x:c r="I110" s="8" t="str">
        <x:v>Observed in a local test run: the content rendered, but the console warning appeared twice.</x:v>
      </x:c>
      <x:c r="J110" s="8" t="n">
        <x:f>IF(G110="yes",1,0)</x:f>
        <x:v>1</x:v>
      </x:c>
      <x:c r="K110" s="8" t="n">
        <x:f>IF(G110="no",5,IF(E110&gt;800,3,1))</x:f>
        <x:v>3</x:v>
      </x:c>
      <x:c r="L110" s="8"/>
    </x:row>
    <x:row r="111">
      <x:c r="A111" s="8" t="str">
        <x:v>evt-00108</x:v>
      </x:c>
      <x:c r="B111" s="10" t="n">
        <x:v>46269.49151620371</x:v>
      </x:c>
      <x:c r="C111" s="8" t="str">
        <x:v>iOS</x:v>
      </x:c>
      <x:c r="D111" s="8" t="str">
        <x:v>file upload</x:v>
      </x:c>
      <x:c r="E111" s="12" t="n">
        <x:v>838</x:v>
      </x:c>
      <x:c r="F111" s="12" t="n">
        <x:v>348.7</x:v>
      </x:c>
      <x:c r="G111" s="8" t="str">
        <x:v>yes</x:v>
      </x:c>
      <x:c r="H111" s="8" t="n">
        <x:v>204</x:v>
      </x:c>
      <x:c r="I111" s="8"/>
      <x:c r="J111" s="8" t="n">
        <x:f>IF(G111="yes",1,0)</x:f>
        <x:v>1</x:v>
      </x:c>
      <x:c r="K111" s="8" t="n">
        <x:f>IF(G111="no",5,IF(E111&gt;800,3,1))</x:f>
        <x:v>3</x:v>
      </x:c>
      <x:c r="L111" s="8" t="str">
        <x:v>https://developer.apple.com/documentation/webkit/wkwebview</x:v>
      </x:c>
    </x:row>
    <x:row r="112">
      <x:c r="A112" s="8" t="str">
        <x:v>evt-00109</x:v>
      </x:c>
      <x:c r="B112" s="10" t="n">
        <x:v>46027.53388888889</x:v>
      </x:c>
      <x:c r="C112" s="8" t="str">
        <x:v>iOS</x:v>
      </x:c>
      <x:c r="D112" s="8" t="str">
        <x:v>file upload</x:v>
      </x:c>
      <x:c r="E112" s="12" t="n">
        <x:v>1084</x:v>
      </x:c>
      <x:c r="F112" s="12" t="n">
        <x:v>633.1</x:v>
      </x:c>
      <x:c r="G112" s="8" t="str">
        <x:v>yes</x:v>
      </x:c>
      <x:c r="H112" s="8" t="n">
        <x:v>476</x:v>
      </x:c>
      <x:c r="I112" s="8" t="str">
        <x:v>Potential duplicate: this paragraph is repeated in another section to test deduplication and chunk metadata.</x:v>
      </x:c>
      <x:c r="J112" s="8" t="n">
        <x:f>IF(G112="yes",1,0)</x:f>
        <x:v>1</x:v>
      </x:c>
      <x:c r="K112" s="8" t="n">
        <x:f>IF(G112="no",5,IF(E112&gt;800,3,1))</x:f>
        <x:v>3</x:v>
      </x:c>
      <x:c r="L112" s="8" t="str">
        <x:v>https://developer.apple.com/documentation/webkit/wkwebview</x:v>
      </x:c>
    </x:row>
    <x:row r="113">
      <x:c r="A113" s="8" t="str">
        <x:v>evt-00110</x:v>
      </x:c>
      <x:c r="B113" s="10" t="n">
        <x:v>46059.576261574075</x:v>
      </x:c>
      <x:c r="C113" s="8" t="str">
        <x:v>Windows</x:v>
      </x:c>
      <x:c r="D113" s="8" t="str">
        <x:v>reload</x:v>
      </x:c>
      <x:c r="E113" s="12" t="n">
        <x:v>657</x:v>
      </x:c>
      <x:c r="F113" s="12" t="n">
        <x:v>422.5</x:v>
      </x:c>
      <x:c r="G113" s="8" t="str">
        <x:v>yes</x:v>
      </x:c>
      <x:c r="H113" s="8" t="n">
        <x:v>397</x:v>
      </x:c>
      <x:c r="I113" s="8" t="str">
        <x:v>Potential duplicate: this paragraph is repeated in another section to test deduplication and chunk metadata.</x:v>
      </x:c>
      <x:c r="J113" s="8" t="n">
        <x:f>IF(G113="yes",1,0)</x:f>
        <x:v>1</x:v>
      </x:c>
      <x:c r="K113" s="8" t="n">
        <x:f>IF(G113="no",5,IF(E113&gt;800,3,1))</x:f>
        <x:v>1</x:v>
      </x:c>
      <x:c r="L113" s="8"/>
    </x:row>
    <x:row r="114">
      <x:c r="A114" s="8" t="str">
        <x:v>evt-00111</x:v>
      </x:c>
      <x:c r="B114" s="10" t="n">
        <x:v>46088.61863425926</x:v>
      </x:c>
      <x:c r="C114" s="8" t="str">
        <x:v>Windows</x:v>
      </x:c>
      <x:c r="D114" s="8" t="str">
        <x:v>cold launch</x:v>
      </x:c>
      <x:c r="E114" s="12" t="n">
        <x:v>1139</x:v>
      </x:c>
      <x:c r="F114" s="12" t="n">
        <x:v>617.6</x:v>
      </x:c>
      <x:c r="G114" s="8" t="str">
        <x:v>yes</x:v>
      </x:c>
      <x:c r="H114" s="8" t="n">
        <x:v>624</x:v>
      </x:c>
      <x:c r="I114" s="8" t="str">
        <x:v>A blank cell here is intentional. The source workbook has notes placed away from the nearest table.</x:v>
      </x:c>
      <x:c r="J114" s="8" t="n">
        <x:f>IF(G114="yes",1,0)</x:f>
        <x:v>1</x:v>
      </x:c>
      <x:c r="K114" s="8" t="n">
        <x:f>IF(G114="no",5,IF(E114&gt;800,3,1))</x:f>
        <x:v>3</x:v>
      </x:c>
      <x:c r="L114" s="8" t="str">
        <x:v>https://learn.microsoft.com/en-us/microsoft-edge/webview2/concepts/security</x:v>
      </x:c>
    </x:row>
    <x:row r="115">
      <x:c r="A115" s="8" t="str">
        <x:v>evt-00112</x:v>
      </x:c>
      <x:c r="B115" s="10" t="n">
        <x:v>46120.66100694444</x:v>
      </x:c>
      <x:c r="C115" s="8" t="str">
        <x:v>Windows</x:v>
      </x:c>
      <x:c r="D115" s="8" t="str">
        <x:v>reload</x:v>
      </x:c>
      <x:c r="E115" s="12" t="n">
        <x:v>209</x:v>
      </x:c>
      <x:c r="F115" s="12" t="n">
        <x:v>682.6</x:v>
      </x:c>
      <x:c r="G115" s="8" t="str">
        <x:v>yes</x:v>
      </x:c>
      <x:c r="H115" s="8" t="n">
        <x:v>46</x:v>
      </x:c>
      <x:c r="I115" s="8"/>
      <x:c r="J115" s="8" t="n">
        <x:f>IF(G115="yes",1,0)</x:f>
        <x:v>1</x:v>
      </x:c>
      <x:c r="K115" s="8" t="n">
        <x:f>IF(G115="no",5,IF(E115&gt;800,3,1))</x:f>
        <x:v>1</x:v>
      </x:c>
      <x:c r="L115" s="8" t="str">
        <x:v>https://github.com/react-native-webview/react-native-webview</x:v>
      </x:c>
    </x:row>
    <x:row r="116">
      <x:c r="A116" s="8" t="str">
        <x:v>evt-00113</x:v>
      </x:c>
      <x:c r="B116" s="10" t="n">
        <x:v>46151.70337962963</x:v>
      </x:c>
      <x:c r="C116" s="8" t="str">
        <x:v>macOS</x:v>
      </x:c>
      <x:c r="D116" s="8" t="str">
        <x:v>large JSON</x:v>
      </x:c>
      <x:c r="E116" s="12" t="n">
        <x:v>935</x:v>
      </x:c>
      <x:c r="F116" s="12" t="n">
        <x:v>459.3</x:v>
      </x:c>
      <x:c r="G116" s="8" t="str">
        <x:v>yes</x:v>
      </x:c>
      <x:c r="H116" s="8" t="n">
        <x:v>382</x:v>
      </x:c>
      <x:c r="I116" s="8"/>
      <x:c r="J116" s="8" t="n">
        <x:f>IF(G116="yes",1,0)</x:f>
        <x:v>1</x:v>
      </x:c>
      <x:c r="K116" s="8" t="n">
        <x:f>IF(G116="no",5,IF(E116&gt;800,3,1))</x:f>
        <x:v>3</x:v>
      </x:c>
      <x:c r="L116" s="8" t="str">
        <x:v>https://developer.apple.com/documentation/webkit/wkwebview</x:v>
      </x:c>
    </x:row>
    <x:row r="117">
      <x:c r="A117" s="8" t="str">
        <x:v>evt-00114</x:v>
      </x:c>
      <x:c r="B117" s="10" t="n">
        <x:v>46183.74575231481</x:v>
      </x:c>
      <x:c r="C117" s="8" t="str">
        <x:v>iOS</x:v>
      </x:c>
      <x:c r="D117" s="8" t="str">
        <x:v>large JSON</x:v>
      </x:c>
      <x:c r="E117" s="12" t="n">
        <x:v>764</x:v>
      </x:c>
      <x:c r="F117" s="12" t="n">
        <x:v>430.6</x:v>
      </x:c>
      <x:c r="G117" s="8" t="str">
        <x:v>no</x:v>
      </x:c>
      <x:c r="H117" s="8" t="n">
        <x:v>481</x:v>
      </x:c>
      <x:c r="I117" s="8"/>
      <x:c r="J117" s="8" t="n">
        <x:f>IF(G117="yes",1,0)</x:f>
        <x:v>0</x:v>
      </x:c>
      <x:c r="K117" s="8" t="n">
        <x:f>IF(G117="no",5,IF(E117&gt;800,3,1))</x:f>
        <x:v>5</x:v>
      </x:c>
      <x:c r="L117" s="8"/>
    </x:row>
    <x:row r="118">
      <x:c r="A118" s="8" t="str">
        <x:v>evt-00115</x:v>
      </x:c>
      <x:c r="B118" s="10" t="n">
        <x:v>46214.788125</x:v>
      </x:c>
      <x:c r="C118" s="8" t="str">
        <x:v>Windows</x:v>
      </x:c>
      <x:c r="D118" s="8" t="str">
        <x:v>reload</x:v>
      </x:c>
      <x:c r="E118" s="12" t="n">
        <x:v>306</x:v>
      </x:c>
      <x:c r="F118" s="12" t="n">
        <x:v>935.6</x:v>
      </x:c>
      <x:c r="G118" s="8" t="str">
        <x:v>yes</x:v>
      </x:c>
      <x:c r="H118" s="8" t="n">
        <x:v>545</x:v>
      </x:c>
      <x:c r="I118" s="8"/>
      <x:c r="J118" s="8" t="n">
        <x:f>IF(G118="yes",1,0)</x:f>
        <x:v>1</x:v>
      </x:c>
      <x:c r="K118" s="8" t="n">
        <x:f>IF(G118="no",5,IF(E118&gt;800,3,1))</x:f>
        <x:v>1</x:v>
      </x:c>
      <x:c r="L118" s="8"/>
    </x:row>
    <x:row r="119">
      <x:c r="A119" s="8" t="str">
        <x:v>evt-00116</x:v>
      </x:c>
      <x:c r="B119" s="10" t="n">
        <x:v>46246.83049768519</x:v>
      </x:c>
      <x:c r="C119" s="8" t="str">
        <x:v>Linux</x:v>
      </x:c>
      <x:c r="D119" s="8" t="str">
        <x:v>reload</x:v>
      </x:c>
      <x:c r="E119" s="12" t="n">
        <x:v>196</x:v>
      </x:c>
      <x:c r="F119" s="12" t="n">
        <x:v>515.3</x:v>
      </x:c>
      <x:c r="G119" s="8" t="str">
        <x:v>yes</x:v>
      </x:c>
      <x:c r="H119" s="8" t="n">
        <x:v>297</x:v>
      </x:c>
      <x:c r="I119" s="8" t="str">
        <x:v>The owner field was not captured in the original notes, so classification should remain conservative.</x:v>
      </x:c>
      <x:c r="J119" s="8" t="n">
        <x:f>IF(G119="yes",1,0)</x:f>
        <x:v>1</x:v>
      </x:c>
      <x:c r="K119" s="8" t="n">
        <x:f>IF(G119="no",5,IF(E119&gt;800,3,1))</x:f>
        <x:v>1</x:v>
      </x:c>
      <x:c r="L119" s="8"/>
    </x:row>
    <x:row r="120">
      <x:c r="A120" s="8" t="str">
        <x:v>evt-00117</x:v>
      </x:c>
      <x:c r="B120" s="10" t="n">
        <x:v>46278.87287037037</x:v>
      </x:c>
      <x:c r="C120" s="8" t="str">
        <x:v>Windows</x:v>
      </x:c>
      <x:c r="D120" s="8" t="str">
        <x:v>large JSON</x:v>
      </x:c>
      <x:c r="E120" s="12" t="n">
        <x:v>1365</x:v>
      </x:c>
      <x:c r="F120" s="12" t="n">
        <x:v>654.5</x:v>
      </x:c>
      <x:c r="G120" s="8" t="str">
        <x:v>yes</x:v>
      </x:c>
      <x:c r="H120" s="8" t="n">
        <x:v>541</x:v>
      </x:c>
      <x:c r="I120" s="8" t="str">
        <x:v>Verify behavior on a cold start and after the page reloads without destroying the native view.</x:v>
      </x:c>
      <x:c r="J120" s="8" t="n">
        <x:f>IF(G120="yes",1,0)</x:f>
        <x:v>1</x:v>
      </x:c>
      <x:c r="K120" s="8" t="n">
        <x:f>IF(G120="no",5,IF(E120&gt;800,3,1))</x:f>
        <x:v>3</x:v>
      </x:c>
      <x:c r="L120" s="8"/>
    </x:row>
    <x:row r="121">
      <x:c r="A121" s="8" t="str">
        <x:v>evt-00118</x:v>
      </x:c>
      <x:c r="B121" s="10" t="n">
        <x:v>46036.915243055555</x:v>
      </x:c>
      <x:c r="C121" s="8" t="str">
        <x:v>Linux</x:v>
      </x:c>
      <x:c r="D121" s="8" t="str">
        <x:v>large JSON</x:v>
      </x:c>
      <x:c r="E121" s="12" t="n">
        <x:v>1391</x:v>
      </x:c>
      <x:c r="F121" s="12" t="n">
        <x:v>425.8</x:v>
      </x:c>
      <x:c r="G121" s="8" t="str">
        <x:v>yes</x:v>
      </x:c>
      <x:c r="H121" s="8" t="n">
        <x:v>376</x:v>
      </x:c>
      <x:c r="I121" s="8" t="str">
        <x:v>Potential duplicate: this paragraph is repeated in another section to test deduplication and chunk metadata.</x:v>
      </x:c>
      <x:c r="J121" s="8" t="n">
        <x:f>IF(G121="yes",1,0)</x:f>
        <x:v>1</x:v>
      </x:c>
      <x:c r="K121" s="8" t="n">
        <x:f>IF(G121="no",5,IF(E121&gt;800,3,1))</x:f>
        <x:v>3</x:v>
      </x:c>
      <x:c r="L121" s="8" t="str">
        <x:v>https://learn.microsoft.com/en-us/microsoft-edge/webview2/concepts/security</x:v>
      </x:c>
    </x:row>
    <x:row r="122">
      <x:c r="A122" s="8" t="str">
        <x:v>evt-00119</x:v>
      </x:c>
      <x:c r="B122" s="10" t="n">
        <x:v>46068.95761574074</x:v>
      </x:c>
      <x:c r="C122" s="8" t="str">
        <x:v>macOS</x:v>
      </x:c>
      <x:c r="D122" s="8" t="str">
        <x:v>reload</x:v>
      </x:c>
      <x:c r="E122" s="12" t="n">
        <x:v>528</x:v>
      </x:c>
      <x:c r="F122" s="12" t="n">
        <x:v>612.6</x:v>
      </x:c>
      <x:c r="G122" s="8" t="str">
        <x:v>yes</x:v>
      </x:c>
      <x:c r="H122" s="8" t="n">
        <x:v>827</x:v>
      </x:c>
      <x:c r="I122" s="8"/>
      <x:c r="J122" s="8" t="n">
        <x:f>IF(G122="yes",1,0)</x:f>
        <x:v>1</x:v>
      </x:c>
      <x:c r="K122" s="8" t="n">
        <x:f>IF(G122="no",5,IF(E122&gt;800,3,1))</x:f>
        <x:v>1</x:v>
      </x:c>
      <x:c r="L122" s="8"/>
    </x:row>
    <x:row r="123">
      <x:c r="A123" s="8" t="str">
        <x:v>evt-00120</x:v>
      </x:c>
      <x:c r="B123" s="10" t="n">
        <x:v>46097.99998842592</x:v>
      </x:c>
      <x:c r="C123" s="8" t="str">
        <x:v>Android</x:v>
      </x:c>
      <x:c r="D123" s="8" t="str">
        <x:v>cold launch</x:v>
      </x:c>
      <x:c r="E123" s="12" t="n">
        <x:v>735</x:v>
      </x:c>
      <x:c r="F123" s="12" t="n">
        <x:v>488.3</x:v>
      </x:c>
      <x:c r="G123" s="8" t="str">
        <x:v>yes</x:v>
      </x:c>
      <x:c r="H123" s="8" t="n">
        <x:v>101</x:v>
      </x:c>
      <x:c r="I123" s="8" t="str">
        <x:v>This sentence is long enough to exercise wrapping and downstream chunk boundaries in Markdown output.</x:v>
      </x:c>
      <x:c r="J123" s="8" t="n">
        <x:f>IF(G123="yes",1,0)</x:f>
        <x:v>1</x:v>
      </x:c>
      <x:c r="K123" s="8" t="n">
        <x:f>IF(G123="no",5,IF(E123&gt;800,3,1))</x:f>
        <x:v>1</x:v>
      </x:c>
      <x:c r="L123" s="8" t="str">
        <x:v>https://learn.microsoft.com/en-us/microsoft-edge/webview2/concepts/security</x:v>
      </x:c>
    </x:row>
    <x:row r="124">
      <x:c r="A124" s="8" t="str">
        <x:v>evt-00121</x:v>
      </x:c>
      <x:c r="B124" s="10" t="n">
        <x:v>46129</x:v>
      </x:c>
      <x:c r="C124" s="8" t="str">
        <x:v>Android</x:v>
      </x:c>
      <x:c r="D124" s="8" t="str">
        <x:v>file upload</x:v>
      </x:c>
      <x:c r="E124" s="12" t="n">
        <x:v>17</x:v>
      </x:c>
      <x:c r="F124" s="12" t="n">
        <x:v>173.8</x:v>
      </x:c>
      <x:c r="G124" s="8" t="str">
        <x:v>yes</x:v>
      </x:c>
      <x:c r="H124" s="8" t="n">
        <x:v>58</x:v>
      </x:c>
      <x:c r="I124" s="8" t="str">
        <x:v>Potential duplicate: this paragraph is repeated in another section to test deduplication and chunk metadata.</x:v>
      </x:c>
      <x:c r="J124" s="8" t="n">
        <x:f>IF(G124="yes",1,0)</x:f>
        <x:v>1</x:v>
      </x:c>
      <x:c r="K124" s="8" t="n">
        <x:f>IF(G124="no",5,IF(E124&gt;800,3,1))</x:f>
        <x:v>1</x:v>
      </x:c>
      <x:c r="L124" s="8"/>
    </x:row>
    <x:row r="125">
      <x:c r="A125" s="8" t="str">
        <x:v>evt-00122</x:v>
      </x:c>
      <x:c r="B125" s="10" t="n">
        <x:v>46160.04237268519</x:v>
      </x:c>
      <x:c r="C125" s="8" t="str">
        <x:v>Windows</x:v>
      </x:c>
      <x:c r="D125" s="8" t="str">
        <x:v>large JSON</x:v>
      </x:c>
      <x:c r="E125" s="12" t="n">
        <x:v>931</x:v>
      </x:c>
      <x:c r="F125" s="12" t="n">
        <x:v>520.5</x:v>
      </x:c>
      <x:c r="G125" s="8" t="str">
        <x:v>yes</x:v>
      </x:c>
      <x:c r="H125" s="8" t="n">
        <x:v>812</x:v>
      </x:c>
      <x:c r="I125" s="8"/>
      <x:c r="J125" s="8" t="n">
        <x:f>IF(G125="yes",1,0)</x:f>
        <x:v>1</x:v>
      </x:c>
      <x:c r="K125" s="8" t="n">
        <x:f>IF(G125="no",5,IF(E125&gt;800,3,1))</x:f>
        <x:v>3</x:v>
      </x:c>
      <x:c r="L125" s="8"/>
    </x:row>
    <x:row r="126">
      <x:c r="A126" s="8" t="str">
        <x:v>evt-00123</x:v>
      </x:c>
      <x:c r="B126" s="10" t="n">
        <x:v>46192.08474537037</x:v>
      </x:c>
      <x:c r="C126" s="8" t="str">
        <x:v>iOS</x:v>
      </x:c>
      <x:c r="D126" s="8" t="str">
        <x:v>large JSON</x:v>
      </x:c>
      <x:c r="E126" s="12" t="n">
        <x:v>972</x:v>
      </x:c>
      <x:c r="F126" s="12" t="n">
        <x:v>125.6</x:v>
      </x:c>
      <x:c r="G126" s="8" t="str">
        <x:v>yes</x:v>
      </x:c>
      <x:c r="H126" s="8" t="n">
        <x:v>456</x:v>
      </x:c>
      <x:c r="I126" s="8" t="str">
        <x:v>Verify behavior on a cold start and after the page reloads without destroying the native view.</x:v>
      </x:c>
      <x:c r="J126" s="8" t="n">
        <x:f>IF(G126="yes",1,0)</x:f>
        <x:v>1</x:v>
      </x:c>
      <x:c r="K126" s="8" t="n">
        <x:f>IF(G126="no",5,IF(E126&gt;800,3,1))</x:f>
        <x:v>3</x:v>
      </x:c>
      <x:c r="L126" s="8" t="str">
        <x:v>https://developer.apple.com/documentation/webkit/wkwebview</x:v>
      </x:c>
    </x:row>
    <x:row r="127">
      <x:c r="A127" s="8" t="str">
        <x:v>evt-00124</x:v>
      </x:c>
      <x:c r="B127" s="10" t="n">
        <x:v>46223.127118055556</x:v>
      </x:c>
      <x:c r="C127" s="8" t="str">
        <x:v>macOS</x:v>
      </x:c>
      <x:c r="D127" s="8" t="str">
        <x:v>navigation</x:v>
      </x:c>
      <x:c r="E127" s="12" t="n">
        <x:v>666</x:v>
      </x:c>
      <x:c r="F127" s="12" t="n">
        <x:v>614.6</x:v>
      </x:c>
      <x:c r="G127" s="8" t="str">
        <x:v>yes</x:v>
      </x:c>
      <x:c r="H127" s="8" t="n">
        <x:v>594</x:v>
      </x:c>
      <x:c r="I127" s="8" t="str">
        <x:v>Observed in a local test run: the content rendered, but the console warning appeared twice.</x:v>
      </x:c>
      <x:c r="J127" s="8" t="n">
        <x:f>IF(G127="yes",1,0)</x:f>
        <x:v>1</x:v>
      </x:c>
      <x:c r="K127" s="8" t="n">
        <x:f>IF(G127="no",5,IF(E127&gt;800,3,1))</x:f>
        <x:v>1</x:v>
      </x:c>
      <x:c r="L127" s="8" t="str">
        <x:v>https://developer.android.com/reference/android/webkit/WebView</x:v>
      </x:c>
    </x:row>
    <x:row r="128">
      <x:c r="A128" s="8" t="str">
        <x:v>evt-00125</x:v>
      </x:c>
      <x:c r="B128" s="10" t="n">
        <x:v>46255.169490740744</x:v>
      </x:c>
      <x:c r="C128" s="8" t="str">
        <x:v>macOS</x:v>
      </x:c>
      <x:c r="D128" s="8" t="str">
        <x:v>reload</x:v>
      </x:c>
      <x:c r="E128" s="12" t="n">
        <x:v>1268</x:v>
      </x:c>
      <x:c r="F128" s="12" t="n">
        <x:v>761</x:v>
      </x:c>
      <x:c r="G128" s="8" t="str">
        <x:v>yes</x:v>
      </x:c>
      <x:c r="H128" s="8" t="n">
        <x:v>655</x:v>
      </x:c>
      <x:c r="I128" s="8" t="str">
        <x:v>Verify behavior on a cold start and after the page reloads without destroying the native view.</x:v>
      </x:c>
      <x:c r="J128" s="8" t="n">
        <x:f>IF(G128="yes",1,0)</x:f>
        <x:v>1</x:v>
      </x:c>
      <x:c r="K128" s="8" t="n">
        <x:f>IF(G128="no",5,IF(E128&gt;800,3,1))</x:f>
        <x:v>3</x:v>
      </x:c>
      <x:c r="L128" s="8"/>
    </x:row>
    <x:row r="129">
      <x:c r="A129" s="8" t="str">
        <x:v>evt-00126</x:v>
      </x:c>
      <x:c r="B129" s="10" t="n">
        <x:v>46287.211863425924</x:v>
      </x:c>
      <x:c r="C129" s="8" t="str">
        <x:v>Windows</x:v>
      </x:c>
      <x:c r="D129" s="8" t="str">
        <x:v>file upload</x:v>
      </x:c>
      <x:c r="E129" s="12" t="n">
        <x:v>1342</x:v>
      </x:c>
      <x:c r="F129" s="12" t="n">
        <x:v>537.8</x:v>
      </x:c>
      <x:c r="G129" s="8" t="str">
        <x:v>yes</x:v>
      </x:c>
      <x:c r="H129" s="8" t="n">
        <x:v>848</x:v>
      </x:c>
      <x:c r="I129" s="8"/>
      <x:c r="J129" s="8" t="n">
        <x:f>IF(G129="yes",1,0)</x:f>
        <x:v>1</x:v>
      </x:c>
      <x:c r="K129" s="8" t="n">
        <x:f>IF(G129="no",5,IF(E129&gt;800,3,1))</x:f>
        <x:v>3</x:v>
      </x:c>
      <x:c r="L129" s="8" t="str">
        <x:v>https://github.com/react-native-webview/react-native-webview</x:v>
      </x:c>
    </x:row>
    <x:row r="130">
      <x:c r="A130" s="8" t="str">
        <x:v>evt-00127</x:v>
      </x:c>
      <x:c r="B130" s="10" t="n">
        <x:v>46045.25423611111</x:v>
      </x:c>
      <x:c r="C130" s="8" t="str">
        <x:v>Android</x:v>
      </x:c>
      <x:c r="D130" s="8" t="str">
        <x:v>cold launch</x:v>
      </x:c>
      <x:c r="E130" s="12" t="n">
        <x:v>641</x:v>
      </x:c>
      <x:c r="F130" s="12" t="n">
        <x:v>658.3</x:v>
      </x:c>
      <x:c r="G130" s="8" t="str">
        <x:v>no</x:v>
      </x:c>
      <x:c r="H130" s="8" t="n">
        <x:v>104</x:v>
      </x:c>
      <x:c r="I130" s="8"/>
      <x:c r="J130" s="8" t="n">
        <x:f>IF(G130="yes",1,0)</x:f>
        <x:v>0</x:v>
      </x:c>
      <x:c r="K130" s="8" t="n">
        <x:f>IF(G130="no",5,IF(E130&gt;800,3,1))</x:f>
        <x:v>5</x:v>
      </x:c>
      <x:c r="L130" s="8" t="str">
        <x:v>https://learn.microsoft.com/en-us/microsoft-edge/webview2/concepts/security</x:v>
      </x:c>
    </x:row>
    <x:row r="131">
      <x:c r="A131" s="8" t="str">
        <x:v>evt-00128</x:v>
      </x:c>
      <x:c r="B131" s="10" t="n">
        <x:v>46077.2966087963</x:v>
      </x:c>
      <x:c r="C131" s="8" t="str">
        <x:v>macOS</x:v>
      </x:c>
      <x:c r="D131" s="8" t="str">
        <x:v>cold launch</x:v>
      </x:c>
      <x:c r="E131" s="12" t="n">
        <x:v>709</x:v>
      </x:c>
      <x:c r="F131" s="12" t="n">
        <x:v>867.2</x:v>
      </x:c>
      <x:c r="G131" s="8" t="str">
        <x:v>yes</x:v>
      </x:c>
      <x:c r="H131" s="8" t="n">
        <x:v>53</x:v>
      </x:c>
      <x:c r="I131" s="8"/>
      <x:c r="J131" s="8" t="n">
        <x:f>IF(G131="yes",1,0)</x:f>
        <x:v>1</x:v>
      </x:c>
      <x:c r="K131" s="8" t="n">
        <x:f>IF(G131="no",5,IF(E131&gt;800,3,1))</x:f>
        <x:v>1</x:v>
      </x:c>
      <x:c r="L131" s="8"/>
    </x:row>
    <x:row r="132">
      <x:c r="A132" s="8" t="str">
        <x:v>evt-00129</x:v>
      </x:c>
      <x:c r="B132" s="10" t="n">
        <x:v>46106.33898148148</x:v>
      </x:c>
      <x:c r="C132" s="8" t="str">
        <x:v>macOS</x:v>
      </x:c>
      <x:c r="D132" s="8" t="str">
        <x:v>large JSON</x:v>
      </x:c>
      <x:c r="E132" s="12" t="n">
        <x:v>1225</x:v>
      </x:c>
      <x:c r="F132" s="12" t="n">
        <x:v>377</x:v>
      </x:c>
      <x:c r="G132" s="8" t="str">
        <x:v>yes</x:v>
      </x:c>
      <x:c r="H132" s="8" t="n">
        <x:v>896</x:v>
      </x:c>
      <x:c r="I132" s="8" t="str">
        <x:v>A blank cell here is intentional. The source workbook has notes placed away from the nearest table.</x:v>
      </x:c>
      <x:c r="J132" s="8" t="n">
        <x:f>IF(G132="yes",1,0)</x:f>
        <x:v>1</x:v>
      </x:c>
      <x:c r="K132" s="8" t="n">
        <x:f>IF(G132="no",5,IF(E132&gt;800,3,1))</x:f>
        <x:v>3</x:v>
      </x:c>
      <x:c r="L132" s="8" t="str">
        <x:v>https://github.com/react-native-webview/react-native-webview</x:v>
      </x:c>
    </x:row>
    <x:row r="133">
      <x:c r="A133" s="8" t="str">
        <x:v>evt-00130</x:v>
      </x:c>
      <x:c r="B133" s="10" t="n">
        <x:v>46138.38135416667</x:v>
      </x:c>
      <x:c r="C133" s="8" t="str">
        <x:v>macOS</x:v>
      </x:c>
      <x:c r="D133" s="8" t="str">
        <x:v>download</x:v>
      </x:c>
      <x:c r="E133" s="12" t="n">
        <x:v>115</x:v>
      </x:c>
      <x:c r="F133" s="12" t="n">
        <x:v>797.9</x:v>
      </x:c>
      <x:c r="G133" s="8" t="str">
        <x:v>yes</x:v>
      </x:c>
      <x:c r="H133" s="8" t="n">
        <x:v>407</x:v>
      </x:c>
      <x:c r="I133" s="8" t="str">
        <x:v>Verify behavior on a cold start and after the page reloads without destroying the native view.</x:v>
      </x:c>
      <x:c r="J133" s="8" t="n">
        <x:f>IF(G133="yes",1,0)</x:f>
        <x:v>1</x:v>
      </x:c>
      <x:c r="K133" s="8" t="n">
        <x:f>IF(G133="no",5,IF(E133&gt;800,3,1))</x:f>
        <x:v>1</x:v>
      </x:c>
      <x:c r="L133" s="8"/>
    </x:row>
    <x:row r="134">
      <x:c r="A134" s="8" t="str">
        <x:v>evt-00131</x:v>
      </x:c>
      <x:c r="B134" s="10" t="n">
        <x:v>46143.423726851855</x:v>
      </x:c>
      <x:c r="C134" s="8" t="str">
        <x:v>Linux</x:v>
      </x:c>
      <x:c r="D134" s="8" t="str">
        <x:v>download</x:v>
      </x:c>
      <x:c r="E134" s="12" t="n">
        <x:v>264</x:v>
      </x:c>
      <x:c r="F134" s="12" t="n">
        <x:v>243.4</x:v>
      </x:c>
      <x:c r="G134" s="8" t="str">
        <x:v>no</x:v>
      </x:c>
      <x:c r="H134" s="8" t="n">
        <x:v>824</x:v>
      </x:c>
      <x:c r="I134" s="8"/>
      <x:c r="J134" s="8" t="n">
        <x:f>IF(G134="yes",1,0)</x:f>
        <x:v>0</x:v>
      </x:c>
      <x:c r="K134" s="8" t="n">
        <x:f>IF(G134="no",5,IF(E134&gt;800,3,1))</x:f>
        <x:v>5</x:v>
      </x:c>
      <x:c r="L134" s="8"/>
    </x:row>
    <x:row r="135">
      <x:c r="A135" s="8" t="str">
        <x:v>evt-00132</x:v>
      </x:c>
      <x:c r="B135" s="10" t="n">
        <x:v>46175.466099537036</x:v>
      </x:c>
      <x:c r="C135" s="8" t="str">
        <x:v>Linux</x:v>
      </x:c>
      <x:c r="D135" s="8" t="str">
        <x:v>file upload</x:v>
      </x:c>
      <x:c r="E135" s="12" t="n">
        <x:v>934</x:v>
      </x:c>
      <x:c r="F135" s="12" t="n">
        <x:v>754.3</x:v>
      </x:c>
      <x:c r="G135" s="8" t="str">
        <x:v>yes</x:v>
      </x:c>
      <x:c r="H135" s="8" t="n">
        <x:v>66</x:v>
      </x:c>
      <x:c r="I135" s="8"/>
      <x:c r="J135" s="8" t="n">
        <x:f>IF(G135="yes",1,0)</x:f>
        <x:v>1</x:v>
      </x:c>
      <x:c r="K135" s="8" t="n">
        <x:f>IF(G135="no",5,IF(E135&gt;800,3,1))</x:f>
        <x:v>3</x:v>
      </x:c>
      <x:c r="L135" s="8" t="str">
        <x:v>https://learn.microsoft.com/en-us/microsoft-edge/webview2/concepts/security</x:v>
      </x:c>
    </x:row>
    <x:row r="136">
      <x:c r="A136" s="8" t="str">
        <x:v>evt-00133</x:v>
      </x:c>
      <x:c r="B136" s="10" t="n">
        <x:v>46206.508472222224</x:v>
      </x:c>
      <x:c r="C136" s="8" t="str">
        <x:v>iOS</x:v>
      </x:c>
      <x:c r="D136" s="8" t="str">
        <x:v>reload</x:v>
      </x:c>
      <x:c r="E136" s="12" t="n">
        <x:v>403</x:v>
      </x:c>
      <x:c r="F136" s="12" t="n">
        <x:v>681.8</x:v>
      </x:c>
      <x:c r="G136" s="8" t="str">
        <x:v>yes</x:v>
      </x:c>
      <x:c r="H136" s="8" t="n">
        <x:v>655</x:v>
      </x:c>
      <x:c r="I136" s="8" t="str">
        <x:v>Follow-up: compare the result when the network security policy is relaxed versus when it is enforced.</x:v>
      </x:c>
      <x:c r="J136" s="8" t="n">
        <x:f>IF(G136="yes",1,0)</x:f>
        <x:v>1</x:v>
      </x:c>
      <x:c r="K136" s="8" t="n">
        <x:f>IF(G136="no",5,IF(E136&gt;800,3,1))</x:f>
        <x:v>1</x:v>
      </x:c>
      <x:c r="L136" s="8"/>
    </x:row>
    <x:row r="137">
      <x:c r="A137" s="8" t="str">
        <x:v>evt-00134</x:v>
      </x:c>
      <x:c r="B137" s="10" t="n">
        <x:v>46238.550844907404</x:v>
      </x:c>
      <x:c r="C137" s="8" t="str">
        <x:v>Windows</x:v>
      </x:c>
      <x:c r="D137" s="8" t="str">
        <x:v>large JSON</x:v>
      </x:c>
      <x:c r="E137" s="12" t="n">
        <x:v>730</x:v>
      </x:c>
      <x:c r="F137" s="12" t="n">
        <x:v>913.2</x:v>
      </x:c>
      <x:c r="G137" s="8" t="str">
        <x:v>yes</x:v>
      </x:c>
      <x:c r="H137" s="8" t="n">
        <x:v>215</x:v>
      </x:c>
      <x:c r="I137" s="8"/>
      <x:c r="J137" s="8" t="n">
        <x:f>IF(G137="yes",1,0)</x:f>
        <x:v>1</x:v>
      </x:c>
      <x:c r="K137" s="8" t="n">
        <x:f>IF(G137="no",5,IF(E137&gt;800,3,1))</x:f>
        <x:v>1</x:v>
      </x:c>
      <x:c r="L137" s="8" t="str">
        <x:v>https://developer.android.com/reference/android/webkit/WebView</x:v>
      </x:c>
    </x:row>
    <x:row r="138">
      <x:c r="A138" s="8" t="str">
        <x:v>evt-00135</x:v>
      </x:c>
      <x:c r="B138" s="10" t="n">
        <x:v>46270.59321759259</x:v>
      </x:c>
      <x:c r="C138" s="8" t="str">
        <x:v>Windows</x:v>
      </x:c>
      <x:c r="D138" s="8" t="str">
        <x:v>file upload</x:v>
      </x:c>
      <x:c r="E138" s="12" t="n">
        <x:v>1172</x:v>
      </x:c>
      <x:c r="F138" s="12" t="n">
        <x:v>441.2</x:v>
      </x:c>
      <x:c r="G138" s="8" t="str">
        <x:v>yes</x:v>
      </x:c>
      <x:c r="H138" s="8" t="n">
        <x:v>113</x:v>
      </x:c>
      <x:c r="I138" s="8" t="str">
        <x:v>The bridge callback is stable for small payloads, but large JSON messages show visible delay during navigation.</x:v>
      </x:c>
      <x:c r="J138" s="8" t="n">
        <x:f>IF(G138="yes",1,0)</x:f>
        <x:v>1</x:v>
      </x:c>
      <x:c r="K138" s="8" t="n">
        <x:f>IF(G138="no",5,IF(E138&gt;800,3,1))</x:f>
        <x:v>3</x:v>
      </x:c>
      <x:c r="L138" s="8"/>
    </x:row>
    <x:row r="139">
      <x:c r="A139" s="8" t="str">
        <x:v>evt-00136</x:v>
      </x:c>
      <x:c r="B139" s="10" t="n">
        <x:v>46028.63559027778</x:v>
      </x:c>
      <x:c r="C139" s="8" t="str">
        <x:v>macOS</x:v>
      </x:c>
      <x:c r="D139" s="8" t="str">
        <x:v>bridge message</x:v>
      </x:c>
      <x:c r="E139" s="12" t="n">
        <x:v>638</x:v>
      </x:c>
      <x:c r="F139" s="12" t="n">
        <x:v>362</x:v>
      </x:c>
      <x:c r="G139" s="8" t="str">
        <x:v>yes</x:v>
      </x:c>
      <x:c r="H139" s="8" t="n">
        <x:v>42</x:v>
      </x:c>
      <x:c r="I139" s="8" t="str">
        <x:v>The owner field was not captured in the original notes, so classification should remain conservative.</x:v>
      </x:c>
      <x:c r="J139" s="8" t="n">
        <x:f>IF(G139="yes",1,0)</x:f>
        <x:v>1</x:v>
      </x:c>
      <x:c r="K139" s="8" t="n">
        <x:f>IF(G139="no",5,IF(E139&gt;800,3,1))</x:f>
        <x:v>1</x:v>
      </x:c>
      <x:c r="L139" s="8" t="str">
        <x:v>https://developer.android.com/reference/android/webkit/WebView</x:v>
      </x:c>
    </x:row>
    <x:row r="140">
      <x:c r="A140" s="8" t="str">
        <x:v>evt-00137</x:v>
      </x:c>
      <x:c r="B140" s="10" t="n">
        <x:v>46060.67796296296</x:v>
      </x:c>
      <x:c r="C140" s="8" t="str">
        <x:v>macOS</x:v>
      </x:c>
      <x:c r="D140" s="8" t="str">
        <x:v>bridge message</x:v>
      </x:c>
      <x:c r="E140" s="12" t="n">
        <x:v>85</x:v>
      </x:c>
      <x:c r="F140" s="12" t="n">
        <x:v>189.6</x:v>
      </x:c>
      <x:c r="G140" s="8" t="str">
        <x:v>no</x:v>
      </x:c>
      <x:c r="H140" s="8" t="n">
        <x:v>763</x:v>
      </x:c>
      <x:c r="I140" s="8"/>
      <x:c r="J140" s="8" t="n">
        <x:f>IF(G140="yes",1,0)</x:f>
        <x:v>0</x:v>
      </x:c>
      <x:c r="K140" s="8" t="n">
        <x:f>IF(G140="no",5,IF(E140&gt;800,3,1))</x:f>
        <x:v>5</x:v>
      </x:c>
      <x:c r="L140" s="8" t="str">
        <x:v>https://github.com/react-native-webview/react-native-webview</x:v>
      </x:c>
    </x:row>
    <x:row r="141">
      <x:c r="A141" s="8" t="str">
        <x:v>evt-00138</x:v>
      </x:c>
      <x:c r="B141" s="10" t="n">
        <x:v>46089.72033564815</x:v>
      </x:c>
      <x:c r="C141" s="8" t="str">
        <x:v>macOS</x:v>
      </x:c>
      <x:c r="D141" s="8" t="str">
        <x:v>navigation</x:v>
      </x:c>
      <x:c r="E141" s="12" t="n">
        <x:v>227</x:v>
      </x:c>
      <x:c r="F141" s="12" t="n">
        <x:v>494.3</x:v>
      </x:c>
      <x:c r="G141" s="8" t="str">
        <x:v>yes</x:v>
      </x:c>
      <x:c r="H141" s="8" t="n">
        <x:v>673</x:v>
      </x:c>
      <x:c r="I141" s="8"/>
      <x:c r="J141" s="8" t="n">
        <x:f>IF(G141="yes",1,0)</x:f>
        <x:v>1</x:v>
      </x:c>
      <x:c r="K141" s="8" t="n">
        <x:f>IF(G141="no",5,IF(E141&gt;800,3,1))</x:f>
        <x:v>1</x:v>
      </x:c>
      <x:c r="L141" s="8"/>
    </x:row>
    <x:row r="142">
      <x:c r="A142" s="8" t="str">
        <x:v>evt-00139</x:v>
      </x:c>
      <x:c r="B142" s="10" t="n">
        <x:v>46121.762708333335</x:v>
      </x:c>
      <x:c r="C142" s="8" t="str">
        <x:v>Linux</x:v>
      </x:c>
      <x:c r="D142" s="8" t="str">
        <x:v>cold launch</x:v>
      </x:c>
      <x:c r="E142" s="12" t="n">
        <x:v>396</x:v>
      </x:c>
      <x:c r="F142" s="12" t="n">
        <x:v>903.7</x:v>
      </x:c>
      <x:c r="G142" s="8" t="str">
        <x:v>no</x:v>
      </x:c>
      <x:c r="H142" s="8" t="n">
        <x:v>520</x:v>
      </x:c>
      <x:c r="I142" s="8"/>
      <x:c r="J142" s="8" t="n">
        <x:f>IF(G142="yes",1,0)</x:f>
        <x:v>0</x:v>
      </x:c>
      <x:c r="K142" s="8" t="n">
        <x:f>IF(G142="no",5,IF(E142&gt;800,3,1))</x:f>
        <x:v>5</x:v>
      </x:c>
      <x:c r="L142" s="8"/>
    </x:row>
    <x:row r="143">
      <x:c r="A143" s="8" t="str">
        <x:v>evt-00140</x:v>
      </x:c>
      <x:c r="B143" s="10" t="n">
        <x:v>46152.805081018516</x:v>
      </x:c>
      <x:c r="C143" s="8" t="str">
        <x:v>iOS</x:v>
      </x:c>
      <x:c r="D143" s="8" t="str">
        <x:v>reload</x:v>
      </x:c>
      <x:c r="E143" s="12" t="n">
        <x:v>754</x:v>
      </x:c>
      <x:c r="F143" s="12" t="n">
        <x:v>529.4</x:v>
      </x:c>
      <x:c r="G143" s="8" t="str">
        <x:v>yes</x:v>
      </x:c>
      <x:c r="H143" s="8" t="n">
        <x:v>276</x:v>
      </x:c>
      <x:c r="I143" s="8" t="str">
        <x:v>This sentence is long enough to exercise wrapping and downstream chunk boundaries in Markdown output.</x:v>
      </x:c>
      <x:c r="J143" s="8" t="n">
        <x:f>IF(G143="yes",1,0)</x:f>
        <x:v>1</x:v>
      </x:c>
      <x:c r="K143" s="8" t="n">
        <x:f>IF(G143="no",5,IF(E143&gt;800,3,1))</x:f>
        <x:v>1</x:v>
      </x:c>
      <x:c r="L143" s="8"/>
    </x:row>
    <x:row r="144">
      <x:c r="A144" s="8" t="str">
        <x:v>evt-00141</x:v>
      </x:c>
      <x:c r="B144" s="10" t="n">
        <x:v>46184.847453703704</x:v>
      </x:c>
      <x:c r="C144" s="8" t="str">
        <x:v>iOS</x:v>
      </x:c>
      <x:c r="D144" s="8" t="str">
        <x:v>large JSON</x:v>
      </x:c>
      <x:c r="E144" s="12" t="n">
        <x:v>1276</x:v>
      </x:c>
      <x:c r="F144" s="12" t="n">
        <x:v>551.6</x:v>
      </x:c>
      <x:c r="G144" s="8" t="str">
        <x:v>yes</x:v>
      </x:c>
      <x:c r="H144" s="8" t="n">
        <x:v>879</x:v>
      </x:c>
      <x:c r="I144" s="8"/>
      <x:c r="J144" s="8" t="n">
        <x:f>IF(G144="yes",1,0)</x:f>
        <x:v>1</x:v>
      </x:c>
      <x:c r="K144" s="8" t="n">
        <x:f>IF(G144="no",5,IF(E144&gt;800,3,1))</x:f>
        <x:v>3</x:v>
      </x:c>
      <x:c r="L144" s="8"/>
    </x:row>
    <x:row r="145">
      <x:c r="A145" s="8" t="str">
        <x:v>evt-00142</x:v>
      </x:c>
      <x:c r="B145" s="10" t="n">
        <x:v>46215.88982638889</x:v>
      </x:c>
      <x:c r="C145" s="8" t="str">
        <x:v>iOS</x:v>
      </x:c>
      <x:c r="D145" s="8" t="str">
        <x:v>file upload</x:v>
      </x:c>
      <x:c r="E145" s="12" t="n">
        <x:v>1103</x:v>
      </x:c>
      <x:c r="F145" s="12" t="n">
        <x:v>302.6</x:v>
      </x:c>
      <x:c r="G145" s="8" t="str">
        <x:v>yes</x:v>
      </x:c>
      <x:c r="H145" s="8" t="n">
        <x:v>896</x:v>
      </x:c>
      <x:c r="I145" s="8"/>
      <x:c r="J145" s="8" t="n">
        <x:f>IF(G145="yes",1,0)</x:f>
        <x:v>1</x:v>
      </x:c>
      <x:c r="K145" s="8" t="n">
        <x:f>IF(G145="no",5,IF(E145&gt;800,3,1))</x:f>
        <x:v>3</x:v>
      </x:c>
      <x:c r="L145" s="8" t="str">
        <x:v>https://developer.microsoft.com/en-us/microsoft-edge/webview2/</x:v>
      </x:c>
    </x:row>
    <x:row r="146">
      <x:c r="A146" s="8" t="str">
        <x:v>evt-00143</x:v>
      </x:c>
      <x:c r="B146" s="10" t="n">
        <x:v>46247.93219907407</x:v>
      </x:c>
      <x:c r="C146" s="8" t="str">
        <x:v>Android</x:v>
      </x:c>
      <x:c r="D146" s="8" t="str">
        <x:v>navigation</x:v>
      </x:c>
      <x:c r="E146" s="12" t="n">
        <x:v>674</x:v>
      </x:c>
      <x:c r="F146" s="12" t="n">
        <x:v>786.1</x:v>
      </x:c>
      <x:c r="G146" s="8" t="str">
        <x:v>yes</x:v>
      </x:c>
      <x:c r="H146" s="8" t="n">
        <x:v>287</x:v>
      </x:c>
      <x:c r="I146" s="8"/>
      <x:c r="J146" s="8" t="n">
        <x:f>IF(G146="yes",1,0)</x:f>
        <x:v>1</x:v>
      </x:c>
      <x:c r="K146" s="8" t="n">
        <x:f>IF(G146="no",5,IF(E146&gt;800,3,1))</x:f>
        <x:v>1</x:v>
      </x:c>
      <x:c r="L146" s="8"/>
    </x:row>
    <x:row r="147">
      <x:c r="A147" s="8" t="str">
        <x:v>evt-00144</x:v>
      </x:c>
      <x:c r="B147" s="10" t="n">
        <x:v>46279.97457175926</x:v>
      </x:c>
      <x:c r="C147" s="8" t="str">
        <x:v>macOS</x:v>
      </x:c>
      <x:c r="D147" s="8" t="str">
        <x:v>download</x:v>
      </x:c>
      <x:c r="E147" s="12" t="n">
        <x:v>1209</x:v>
      </x:c>
      <x:c r="F147" s="12" t="n">
        <x:v>431.1</x:v>
      </x:c>
      <x:c r="G147" s="8" t="str">
        <x:v>yes</x:v>
      </x:c>
      <x:c r="H147" s="8" t="n">
        <x:v>675</x:v>
      </x:c>
      <x:c r="I147" s="8"/>
      <x:c r="J147" s="8" t="n">
        <x:f>IF(G147="yes",1,0)</x:f>
        <x:v>1</x:v>
      </x:c>
      <x:c r="K147" s="8" t="n">
        <x:f>IF(G147="no",5,IF(E147&gt;800,3,1))</x:f>
        <x:v>3</x:v>
      </x:c>
      <x:c r="L147" s="8"/>
    </x:row>
    <x:row r="148">
      <x:c r="A148" s="8" t="str">
        <x:v>evt-00145</x:v>
      </x:c>
      <x:c r="B148" s="10" t="n">
        <x:v>46037.01694444445</x:v>
      </x:c>
      <x:c r="C148" s="8" t="str">
        <x:v>iOS</x:v>
      </x:c>
      <x:c r="D148" s="8" t="str">
        <x:v>cold launch</x:v>
      </x:c>
      <x:c r="E148" s="12" t="n">
        <x:v>60</x:v>
      </x:c>
      <x:c r="F148" s="12" t="n">
        <x:v>916.5</x:v>
      </x:c>
      <x:c r="G148" s="8" t="str">
        <x:v>yes</x:v>
      </x:c>
      <x:c r="H148" s="8" t="n">
        <x:v>634</x:v>
      </x:c>
      <x:c r="I148" s="8"/>
      <x:c r="J148" s="8" t="n">
        <x:f>IF(G148="yes",1,0)</x:f>
        <x:v>1</x:v>
      </x:c>
      <x:c r="K148" s="8" t="n">
        <x:f>IF(G148="no",5,IF(E148&gt;800,3,1))</x:f>
        <x:v>1</x:v>
      </x:c>
      <x:c r="L148" s="8" t="str">
        <x:v>https://github.com/react-native-webview/react-native-webview</x:v>
      </x:c>
    </x:row>
    <x:row r="149">
      <x:c r="A149" s="8" t="str">
        <x:v>evt-00146</x:v>
      </x:c>
      <x:c r="B149" s="10" t="n">
        <x:v>46069.05931712963</x:v>
      </x:c>
      <x:c r="C149" s="8" t="str">
        <x:v>Linux</x:v>
      </x:c>
      <x:c r="D149" s="8" t="str">
        <x:v>large JSON</x:v>
      </x:c>
      <x:c r="E149" s="12" t="n">
        <x:v>626</x:v>
      </x:c>
      <x:c r="F149" s="12" t="n">
        <x:v>313.6</x:v>
      </x:c>
      <x:c r="G149" s="8" t="str">
        <x:v>yes</x:v>
      </x:c>
      <x:c r="H149" s="8" t="n">
        <x:v>174</x:v>
      </x:c>
      <x:c r="I149" s="8" t="str">
        <x:v>Potential duplicate: this paragraph is repeated in another section to test deduplication and chunk metadata.</x:v>
      </x:c>
      <x:c r="J149" s="8" t="n">
        <x:f>IF(G149="yes",1,0)</x:f>
        <x:v>1</x:v>
      </x:c>
      <x:c r="K149" s="8" t="n">
        <x:f>IF(G149="no",5,IF(E149&gt;800,3,1))</x:f>
        <x:v>1</x:v>
      </x:c>
      <x:c r="L149" s="8"/>
    </x:row>
    <x:row r="150">
      <x:c r="A150" s="8" t="str">
        <x:v>evt-00147</x:v>
      </x:c>
      <x:c r="B150" s="10" t="n">
        <x:v>46098.101689814815</x:v>
      </x:c>
      <x:c r="C150" s="8" t="str">
        <x:v>Windows</x:v>
      </x:c>
      <x:c r="D150" s="8" t="str">
        <x:v>reload</x:v>
      </x:c>
      <x:c r="E150" s="12" t="n">
        <x:v>1286</x:v>
      </x:c>
      <x:c r="F150" s="12" t="n">
        <x:v>273.4</x:v>
      </x:c>
      <x:c r="G150" s="8" t="str">
        <x:v>yes</x:v>
      </x:c>
      <x:c r="H150" s="8" t="n">
        <x:v>119</x:v>
      </x:c>
      <x:c r="I150" s="8"/>
      <x:c r="J150" s="8" t="n">
        <x:f>IF(G150="yes",1,0)</x:f>
        <x:v>1</x:v>
      </x:c>
      <x:c r="K150" s="8" t="n">
        <x:f>IF(G150="no",5,IF(E150&gt;800,3,1))</x:f>
        <x:v>3</x:v>
      </x:c>
      <x:c r="L150" s="8" t="str">
        <x:v>https://learn.microsoft.com/en-us/microsoft-edge/webview2/concepts/security</x:v>
      </x:c>
    </x:row>
    <x:row r="151">
      <x:c r="A151" s="8" t="str">
        <x:v>evt-00148</x:v>
      </x:c>
      <x:c r="B151" s="10" t="n">
        <x:v>46130.1440625</x:v>
      </x:c>
      <x:c r="C151" s="8" t="str">
        <x:v>Linux</x:v>
      </x:c>
      <x:c r="D151" s="8" t="str">
        <x:v>file upload</x:v>
      </x:c>
      <x:c r="E151" s="12" t="n">
        <x:v>845</x:v>
      </x:c>
      <x:c r="F151" s="12" t="n">
        <x:v>96.5</x:v>
      </x:c>
      <x:c r="G151" s="8" t="str">
        <x:v>yes</x:v>
      </x:c>
      <x:c r="H151" s="8" t="n">
        <x:v>903</x:v>
      </x:c>
      <x:c r="I151" s="8"/>
      <x:c r="J151" s="8" t="n">
        <x:f>IF(G151="yes",1,0)</x:f>
        <x:v>1</x:v>
      </x:c>
      <x:c r="K151" s="8" t="n">
        <x:f>IF(G151="no",5,IF(E151&gt;800,3,1))</x:f>
        <x:v>3</x:v>
      </x:c>
      <x:c r="L151" s="8" t="str">
        <x:v>https://learn.microsoft.com/en-us/microsoft-edge/webview2/concepts/security</x:v>
      </x:c>
    </x:row>
    <x:row r="152">
      <x:c r="A152" s="8" t="str">
        <x:v>evt-00149</x:v>
      </x:c>
      <x:c r="B152" s="10" t="n">
        <x:v>46161.186435185184</x:v>
      </x:c>
      <x:c r="C152" s="8" t="str">
        <x:v>Android</x:v>
      </x:c>
      <x:c r="D152" s="8" t="str">
        <x:v>cold launch</x:v>
      </x:c>
      <x:c r="E152" s="12" t="n">
        <x:v>1279</x:v>
      </x:c>
      <x:c r="F152" s="12" t="n">
        <x:v>422.3</x:v>
      </x:c>
      <x:c r="G152" s="8" t="str">
        <x:v>yes</x:v>
      </x:c>
      <x:c r="H152" s="8" t="n">
        <x:v>530</x:v>
      </x:c>
      <x:c r="I152" s="8"/>
      <x:c r="J152" s="8" t="n">
        <x:f>IF(G152="yes",1,0)</x:f>
        <x:v>1</x:v>
      </x:c>
      <x:c r="K152" s="8" t="n">
        <x:f>IF(G152="no",5,IF(E152&gt;800,3,1))</x:f>
        <x:v>3</x:v>
      </x:c>
      <x:c r="L152" s="8"/>
    </x:row>
    <x:row r="153">
      <x:c r="A153" s="8" t="str">
        <x:v>evt-00150</x:v>
      </x:c>
      <x:c r="B153" s="10" t="n">
        <x:v>46193.22880787037</x:v>
      </x:c>
      <x:c r="C153" s="8" t="str">
        <x:v>macOS</x:v>
      </x:c>
      <x:c r="D153" s="8" t="str">
        <x:v>download</x:v>
      </x:c>
      <x:c r="E153" s="12" t="n">
        <x:v>743</x:v>
      </x:c>
      <x:c r="F153" s="12" t="n">
        <x:v>876.4</x:v>
      </x:c>
      <x:c r="G153" s="8" t="str">
        <x:v>yes</x:v>
      </x:c>
      <x:c r="H153" s="8" t="n">
        <x:v>893</x:v>
      </x:c>
      <x:c r="I153" s="8"/>
      <x:c r="J153" s="8" t="n">
        <x:f>IF(G153="yes",1,0)</x:f>
        <x:v>1</x:v>
      </x:c>
      <x:c r="K153" s="8" t="n">
        <x:f>IF(G153="no",5,IF(E153&gt;800,3,1))</x:f>
        <x:v>1</x:v>
      </x:c>
      <x:c r="L153" s="8"/>
    </x:row>
    <x:row r="154">
      <x:c r="A154" s="8" t="str">
        <x:v>evt-00151</x:v>
      </x:c>
      <x:c r="B154" s="10" t="n">
        <x:v>46224.27118055556</x:v>
      </x:c>
      <x:c r="C154" s="8" t="str">
        <x:v>macOS</x:v>
      </x:c>
      <x:c r="D154" s="8" t="str">
        <x:v>navigation</x:v>
      </x:c>
      <x:c r="E154" s="12" t="n">
        <x:v>585</x:v>
      </x:c>
      <x:c r="F154" s="12" t="n">
        <x:v>549.2</x:v>
      </x:c>
      <x:c r="G154" s="8" t="str">
        <x:v>yes</x:v>
      </x:c>
      <x:c r="H154" s="8" t="n">
        <x:v>279</x:v>
      </x:c>
      <x:c r="I154" s="8"/>
      <x:c r="J154" s="8" t="n">
        <x:f>IF(G154="yes",1,0)</x:f>
        <x:v>1</x:v>
      </x:c>
      <x:c r="K154" s="8" t="n">
        <x:f>IF(G154="no",5,IF(E154&gt;800,3,1))</x:f>
        <x:v>1</x:v>
      </x:c>
      <x:c r="L154" s="8" t="str">
        <x:v>https://github.com/react-native-webview/react-native-webview</x:v>
      </x:c>
    </x:row>
    <x:row r="155">
      <x:c r="A155" s="8" t="str">
        <x:v>evt-00152</x:v>
      </x:c>
      <x:c r="B155" s="10" t="n">
        <x:v>46256.31355324074</x:v>
      </x:c>
      <x:c r="C155" s="8" t="str">
        <x:v>iOS</x:v>
      </x:c>
      <x:c r="D155" s="8" t="str">
        <x:v>navigation</x:v>
      </x:c>
      <x:c r="E155" s="12" t="n">
        <x:v>580</x:v>
      </x:c>
      <x:c r="F155" s="12" t="n">
        <x:v>235.2</x:v>
      </x:c>
      <x:c r="G155" s="8" t="str">
        <x:v>yes</x:v>
      </x:c>
      <x:c r="H155" s="8" t="n">
        <x:v>472</x:v>
      </x:c>
      <x:c r="I155" s="8" t="str">
        <x:v>The owner field was not captured in the original notes, so classification should remain conservative.</x:v>
      </x:c>
      <x:c r="J155" s="8" t="n">
        <x:f>IF(G155="yes",1,0)</x:f>
        <x:v>1</x:v>
      </x:c>
      <x:c r="K155" s="8" t="n">
        <x:f>IF(G155="no",5,IF(E155&gt;800,3,1))</x:f>
        <x:v>1</x:v>
      </x:c>
      <x:c r="L155" s="8"/>
    </x:row>
    <x:row r="156">
      <x:c r="A156" s="8" t="str">
        <x:v>evt-00153</x:v>
      </x:c>
      <x:c r="B156" s="10" t="n">
        <x:v>46288.35592592593</x:v>
      </x:c>
      <x:c r="C156" s="8" t="str">
        <x:v>Windows</x:v>
      </x:c>
      <x:c r="D156" s="8" t="str">
        <x:v>file upload</x:v>
      </x:c>
      <x:c r="E156" s="12" t="n">
        <x:v>203</x:v>
      </x:c>
      <x:c r="F156" s="12" t="n">
        <x:v>583.8</x:v>
      </x:c>
      <x:c r="G156" s="8" t="str">
        <x:v>yes</x:v>
      </x:c>
      <x:c r="H156" s="8" t="n">
        <x:v>598</x:v>
      </x:c>
      <x:c r="I156" s="8"/>
      <x:c r="J156" s="8" t="n">
        <x:f>IF(G156="yes",1,0)</x:f>
        <x:v>1</x:v>
      </x:c>
      <x:c r="K156" s="8" t="n">
        <x:f>IF(G156="no",5,IF(E156&gt;800,3,1))</x:f>
        <x:v>1</x:v>
      </x:c>
      <x:c r="L156" s="8"/>
    </x:row>
    <x:row r="157">
      <x:c r="A157" s="8" t="str">
        <x:v>evt-00154</x:v>
      </x:c>
      <x:c r="B157" s="10" t="n">
        <x:v>46046.39829861111</x:v>
      </x:c>
      <x:c r="C157" s="8" t="str">
        <x:v>Linux</x:v>
      </x:c>
      <x:c r="D157" s="8" t="str">
        <x:v>cold launch</x:v>
      </x:c>
      <x:c r="E157" s="12" t="n">
        <x:v>1083</x:v>
      </x:c>
      <x:c r="F157" s="12" t="n">
        <x:v>739.9</x:v>
      </x:c>
      <x:c r="G157" s="8" t="str">
        <x:v>yes</x:v>
      </x:c>
      <x:c r="H157" s="8" t="n">
        <x:v>117</x:v>
      </x:c>
      <x:c r="I157" s="8"/>
      <x:c r="J157" s="8" t="n">
        <x:f>IF(G157="yes",1,0)</x:f>
        <x:v>1</x:v>
      </x:c>
      <x:c r="K157" s="8" t="n">
        <x:f>IF(G157="no",5,IF(E157&gt;800,3,1))</x:f>
        <x:v>3</x:v>
      </x:c>
      <x:c r="L157" s="8"/>
    </x:row>
    <x:row r="158">
      <x:c r="A158" s="8" t="str">
        <x:v>evt-00155</x:v>
      </x:c>
      <x:c r="B158" s="10" t="n">
        <x:v>46078.440671296295</x:v>
      </x:c>
      <x:c r="C158" s="8" t="str">
        <x:v>Linux</x:v>
      </x:c>
      <x:c r="D158" s="8" t="str">
        <x:v>navigation</x:v>
      </x:c>
      <x:c r="E158" s="12" t="n">
        <x:v>1431</x:v>
      </x:c>
      <x:c r="F158" s="12" t="n">
        <x:v>133</x:v>
      </x:c>
      <x:c r="G158" s="8" t="str">
        <x:v>yes</x:v>
      </x:c>
      <x:c r="H158" s="8" t="n">
        <x:v>96</x:v>
      </x:c>
      <x:c r="I158" s="8" t="str">
        <x:v>A blank cell here is intentional. The source workbook has notes placed away from the nearest table.</x:v>
      </x:c>
      <x:c r="J158" s="8" t="n">
        <x:f>IF(G158="yes",1,0)</x:f>
        <x:v>1</x:v>
      </x:c>
      <x:c r="K158" s="8" t="n">
        <x:f>IF(G158="no",5,IF(E158&gt;800,3,1))</x:f>
        <x:v>3</x:v>
      </x:c>
      <x:c r="L158" s="8"/>
    </x:row>
    <x:row r="159">
      <x:c r="A159" s="8" t="str">
        <x:v>evt-00156</x:v>
      </x:c>
      <x:c r="B159" s="10" t="n">
        <x:v>46107.48304398148</x:v>
      </x:c>
      <x:c r="C159" s="8" t="str">
        <x:v>Linux</x:v>
      </x:c>
      <x:c r="D159" s="8" t="str">
        <x:v>large JSON</x:v>
      </x:c>
      <x:c r="E159" s="12" t="n">
        <x:v>1373</x:v>
      </x:c>
      <x:c r="F159" s="12" t="n">
        <x:v>834.8</x:v>
      </x:c>
      <x:c r="G159" s="8" t="str">
        <x:v>yes</x:v>
      </x:c>
      <x:c r="H159" s="8" t="n">
        <x:v>614</x:v>
      </x:c>
      <x:c r="I159" s="8"/>
      <x:c r="J159" s="8" t="n">
        <x:f>IF(G159="yes",1,0)</x:f>
        <x:v>1</x:v>
      </x:c>
      <x:c r="K159" s="8" t="n">
        <x:f>IF(G159="no",5,IF(E159&gt;800,3,1))</x:f>
        <x:v>3</x:v>
      </x:c>
      <x:c r="L159" s="8"/>
    </x:row>
    <x:row r="160">
      <x:c r="A160" s="8" t="str">
        <x:v>evt-00157</x:v>
      </x:c>
      <x:c r="B160" s="10" t="n">
        <x:v>46113.525416666664</x:v>
      </x:c>
      <x:c r="C160" s="8" t="str">
        <x:v>iOS</x:v>
      </x:c>
      <x:c r="D160" s="8" t="str">
        <x:v>cold launch</x:v>
      </x:c>
      <x:c r="E160" s="12" t="n">
        <x:v>1422</x:v>
      </x:c>
      <x:c r="F160" s="12" t="n">
        <x:v>493.6</x:v>
      </x:c>
      <x:c r="G160" s="8" t="str">
        <x:v>yes</x:v>
      </x:c>
      <x:c r="H160" s="8" t="n">
        <x:v>215</x:v>
      </x:c>
      <x:c r="I160" s="8" t="str">
        <x:v>Verify behavior on a cold start and after the page reloads without destroying the native view.</x:v>
      </x:c>
      <x:c r="J160" s="8" t="n">
        <x:f>IF(G160="yes",1,0)</x:f>
        <x:v>1</x:v>
      </x:c>
      <x:c r="K160" s="8" t="n">
        <x:f>IF(G160="no",5,IF(E160&gt;800,3,1))</x:f>
        <x:v>3</x:v>
      </x:c>
      <x:c r="L160" s="8" t="str">
        <x:v>https://developer.apple.com/documentation/webkit/wkwebview</x:v>
      </x:c>
    </x:row>
    <x:row r="161">
      <x:c r="A161" s="8" t="str">
        <x:v>evt-00158</x:v>
      </x:c>
      <x:c r="B161" s="10" t="n">
        <x:v>46144.56778935185</x:v>
      </x:c>
      <x:c r="C161" s="8" t="str">
        <x:v>iOS</x:v>
      </x:c>
      <x:c r="D161" s="8" t="str">
        <x:v>bridge message</x:v>
      </x:c>
      <x:c r="E161" s="12" t="n">
        <x:v>1295</x:v>
      </x:c>
      <x:c r="F161" s="12" t="n">
        <x:v>92.2</x:v>
      </x:c>
      <x:c r="G161" s="8" t="str">
        <x:v>yes</x:v>
      </x:c>
      <x:c r="H161" s="8" t="n">
        <x:v>567</x:v>
      </x:c>
      <x:c r="I161" s="8"/>
      <x:c r="J161" s="8" t="n">
        <x:f>IF(G161="yes",1,0)</x:f>
        <x:v>1</x:v>
      </x:c>
      <x:c r="K161" s="8" t="n">
        <x:f>IF(G161="no",5,IF(E161&gt;800,3,1))</x:f>
        <x:v>3</x:v>
      </x:c>
      <x:c r="L161" s="8" t="str">
        <x:v>https://developer.microsoft.com/en-us/microsoft-edge/webview2/</x:v>
      </x:c>
    </x:row>
    <x:row r="162">
      <x:c r="A162" s="8" t="str">
        <x:v>evt-00159</x:v>
      </x:c>
      <x:c r="B162" s="10" t="n">
        <x:v>46176.61016203704</x:v>
      </x:c>
      <x:c r="C162" s="8" t="str">
        <x:v>iOS</x:v>
      </x:c>
      <x:c r="D162" s="8" t="str">
        <x:v>file upload</x:v>
      </x:c>
      <x:c r="E162" s="12" t="n">
        <x:v>1061</x:v>
      </x:c>
      <x:c r="F162" s="12" t="n">
        <x:v>129.3</x:v>
      </x:c>
      <x:c r="G162" s="8" t="str">
        <x:v>yes</x:v>
      </x:c>
      <x:c r="H162" s="8" t="n">
        <x:v>608</x:v>
      </x:c>
      <x:c r="I162" s="8"/>
      <x:c r="J162" s="8" t="n">
        <x:f>IF(G162="yes",1,0)</x:f>
        <x:v>1</x:v>
      </x:c>
      <x:c r="K162" s="8" t="n">
        <x:f>IF(G162="no",5,IF(E162&gt;800,3,1))</x:f>
        <x:v>3</x:v>
      </x:c>
      <x:c r="L162" s="8" t="str">
        <x:v>https://developer.android.com/reference/android/webkit/WebView</x:v>
      </x:c>
    </x:row>
    <x:row r="163">
      <x:c r="A163" s="8" t="str">
        <x:v>evt-00160</x:v>
      </x:c>
      <x:c r="B163" s="10" t="n">
        <x:v>46207.65253472222</x:v>
      </x:c>
      <x:c r="C163" s="8" t="str">
        <x:v>Linux</x:v>
      </x:c>
      <x:c r="D163" s="8" t="str">
        <x:v>cold launch</x:v>
      </x:c>
      <x:c r="E163" s="12" t="n">
        <x:v>1208</x:v>
      </x:c>
      <x:c r="F163" s="12" t="n">
        <x:v>832.1</x:v>
      </x:c>
      <x:c r="G163" s="8" t="str">
        <x:v>no</x:v>
      </x:c>
      <x:c r="H163" s="8" t="n">
        <x:v>154</x:v>
      </x:c>
      <x:c r="I163" s="8" t="str">
        <x:v>Observed in a local test run: the content rendered, but the console warning appeared twice.</x:v>
      </x:c>
      <x:c r="J163" s="8" t="n">
        <x:f>IF(G163="yes",1,0)</x:f>
        <x:v>0</x:v>
      </x:c>
      <x:c r="K163" s="8" t="n">
        <x:f>IF(G163="no",5,IF(E163&gt;800,3,1))</x:f>
        <x:v>5</x:v>
      </x:c>
      <x:c r="L163" s="8" t="str">
        <x:v>https://developer.microsoft.com/en-us/microsoft-edge/webview2/</x:v>
      </x:c>
    </x:row>
    <x:row r="164">
      <x:c r="A164" s="8" t="str">
        <x:v>evt-00161</x:v>
      </x:c>
      <x:c r="B164" s="10" t="n">
        <x:v>46239.69490740741</x:v>
      </x:c>
      <x:c r="C164" s="8" t="str">
        <x:v>iOS</x:v>
      </x:c>
      <x:c r="D164" s="8" t="str">
        <x:v>navigation</x:v>
      </x:c>
      <x:c r="E164" s="12" t="n">
        <x:v>327</x:v>
      </x:c>
      <x:c r="F164" s="12" t="n">
        <x:v>278</x:v>
      </x:c>
      <x:c r="G164" s="8" t="str">
        <x:v>yes</x:v>
      </x:c>
      <x:c r="H164" s="8" t="n">
        <x:v>286</x:v>
      </x:c>
      <x:c r="I164" s="8"/>
      <x:c r="J164" s="8" t="n">
        <x:f>IF(G164="yes",1,0)</x:f>
        <x:v>1</x:v>
      </x:c>
      <x:c r="K164" s="8" t="n">
        <x:f>IF(G164="no",5,IF(E164&gt;800,3,1))</x:f>
        <x:v>1</x:v>
      </x:c>
      <x:c r="L164" s="8" t="str">
        <x:v>https://learn.microsoft.com/en-us/microsoft-edge/webview2/concepts/security</x:v>
      </x:c>
    </x:row>
    <x:row r="165">
      <x:c r="A165" s="8" t="str">
        <x:v>evt-00162</x:v>
      </x:c>
      <x:c r="B165" s="10" t="n">
        <x:v>46271.737280092595</x:v>
      </x:c>
      <x:c r="C165" s="8" t="str">
        <x:v>iOS</x:v>
      </x:c>
      <x:c r="D165" s="8" t="str">
        <x:v>large JSON</x:v>
      </x:c>
      <x:c r="E165" s="12" t="n">
        <x:v>411</x:v>
      </x:c>
      <x:c r="F165" s="12" t="n">
        <x:v>476.9</x:v>
      </x:c>
      <x:c r="G165" s="8" t="str">
        <x:v>yes</x:v>
      </x:c>
      <x:c r="H165" s="8" t="n">
        <x:v>472</x:v>
      </x:c>
      <x:c r="I165" s="8"/>
      <x:c r="J165" s="8" t="n">
        <x:f>IF(G165="yes",1,0)</x:f>
        <x:v>1</x:v>
      </x:c>
      <x:c r="K165" s="8" t="n">
        <x:f>IF(G165="no",5,IF(E165&gt;800,3,1))</x:f>
        <x:v>1</x:v>
      </x:c>
      <x:c r="L165" s="8"/>
    </x:row>
    <x:row r="166">
      <x:c r="A166" s="8" t="str">
        <x:v>evt-00163</x:v>
      </x:c>
      <x:c r="B166" s="10" t="n">
        <x:v>46029.779652777775</x:v>
      </x:c>
      <x:c r="C166" s="8" t="str">
        <x:v>Linux</x:v>
      </x:c>
      <x:c r="D166" s="8" t="str">
        <x:v>navigation</x:v>
      </x:c>
      <x:c r="E166" s="12" t="n">
        <x:v>686</x:v>
      </x:c>
      <x:c r="F166" s="12" t="n">
        <x:v>844.9</x:v>
      </x:c>
      <x:c r="G166" s="8" t="str">
        <x:v>yes</x:v>
      </x:c>
      <x:c r="H166" s="8" t="n">
        <x:v>894</x:v>
      </x:c>
      <x:c r="I166" s="8"/>
      <x:c r="J166" s="8" t="n">
        <x:f>IF(G166="yes",1,0)</x:f>
        <x:v>1</x:v>
      </x:c>
      <x:c r="K166" s="8" t="n">
        <x:f>IF(G166="no",5,IF(E166&gt;800,3,1))</x:f>
        <x:v>1</x:v>
      </x:c>
      <x:c r="L166" s="8"/>
    </x:row>
    <x:row r="167">
      <x:c r="A167" s="8" t="str">
        <x:v>evt-00164</x:v>
      </x:c>
      <x:c r="B167" s="10" t="n">
        <x:v>46061.82202546296</x:v>
      </x:c>
      <x:c r="C167" s="8" t="str">
        <x:v>iOS</x:v>
      </x:c>
      <x:c r="D167" s="8" t="str">
        <x:v>reload</x:v>
      </x:c>
      <x:c r="E167" s="12" t="n">
        <x:v>1025</x:v>
      </x:c>
      <x:c r="F167" s="12" t="n">
        <x:v>305.3</x:v>
      </x:c>
      <x:c r="G167" s="8" t="str">
        <x:v>yes</x:v>
      </x:c>
      <x:c r="H167" s="8" t="n">
        <x:v>121</x:v>
      </x:c>
      <x:c r="I167" s="8"/>
      <x:c r="J167" s="8" t="n">
        <x:f>IF(G167="yes",1,0)</x:f>
        <x:v>1</x:v>
      </x:c>
      <x:c r="K167" s="8" t="n">
        <x:f>IF(G167="no",5,IF(E167&gt;800,3,1))</x:f>
        <x:v>3</x:v>
      </x:c>
      <x:c r="L167" s="8"/>
    </x:row>
    <x:row r="168">
      <x:c r="A168" s="8" t="str">
        <x:v>evt-00165</x:v>
      </x:c>
      <x:c r="B168" s="10" t="n">
        <x:v>46090.86439814815</x:v>
      </x:c>
      <x:c r="C168" s="8" t="str">
        <x:v>Linux</x:v>
      </x:c>
      <x:c r="D168" s="8" t="str">
        <x:v>bridge message</x:v>
      </x:c>
      <x:c r="E168" s="12" t="n">
        <x:v>758</x:v>
      </x:c>
      <x:c r="F168" s="12" t="n">
        <x:v>815.5</x:v>
      </x:c>
      <x:c r="G168" s="8" t="str">
        <x:v>yes</x:v>
      </x:c>
      <x:c r="H168" s="8" t="n">
        <x:v>576</x:v>
      </x:c>
      <x:c r="I168" s="8" t="str">
        <x:v>This sentence is long enough to exercise wrapping and downstream chunk boundaries in Markdown output.</x:v>
      </x:c>
      <x:c r="J168" s="8" t="n">
        <x:f>IF(G168="yes",1,0)</x:f>
        <x:v>1</x:v>
      </x:c>
      <x:c r="K168" s="8" t="n">
        <x:f>IF(G168="no",5,IF(E168&gt;800,3,1))</x:f>
        <x:v>1</x:v>
      </x:c>
      <x:c r="L168" s="8"/>
    </x:row>
    <x:row r="169">
      <x:c r="A169" s="8" t="str">
        <x:v>evt-00166</x:v>
      </x:c>
      <x:c r="B169" s="10" t="n">
        <x:v>46122.90677083333</x:v>
      </x:c>
      <x:c r="C169" s="8" t="str">
        <x:v>Linux</x:v>
      </x:c>
      <x:c r="D169" s="8" t="str">
        <x:v>reload</x:v>
      </x:c>
      <x:c r="E169" s="12" t="n">
        <x:v>1191</x:v>
      </x:c>
      <x:c r="F169" s="12" t="n">
        <x:v>891.4</x:v>
      </x:c>
      <x:c r="G169" s="8" t="str">
        <x:v>yes</x:v>
      </x:c>
      <x:c r="H169" s="8" t="n">
        <x:v>218</x:v>
      </x:c>
      <x:c r="I169" s="8" t="str">
        <x:v>Observed in a local test run: the content rendered, but the console warning appeared twice.</x:v>
      </x:c>
      <x:c r="J169" s="8" t="n">
        <x:f>IF(G169="yes",1,0)</x:f>
        <x:v>1</x:v>
      </x:c>
      <x:c r="K169" s="8" t="n">
        <x:f>IF(G169="no",5,IF(E169&gt;800,3,1))</x:f>
        <x:v>3</x:v>
      </x:c>
      <x:c r="L169" s="8"/>
    </x:row>
    <x:row r="170">
      <x:c r="A170" s="8" t="str">
        <x:v>evt-00167</x:v>
      </x:c>
      <x:c r="B170" s="10" t="n">
        <x:v>46153.94914351852</x:v>
      </x:c>
      <x:c r="C170" s="8" t="str">
        <x:v>Windows</x:v>
      </x:c>
      <x:c r="D170" s="8" t="str">
        <x:v>bridge message</x:v>
      </x:c>
      <x:c r="E170" s="12" t="n">
        <x:v>167</x:v>
      </x:c>
      <x:c r="F170" s="12" t="n">
        <x:v>650.1</x:v>
      </x:c>
      <x:c r="G170" s="8" t="str">
        <x:v>yes</x:v>
      </x:c>
      <x:c r="H170" s="8" t="n">
        <x:v>735</x:v>
      </x:c>
      <x:c r="I170" s="8" t="str">
        <x:v>The bridge callback is stable for small payloads, but large JSON messages show visible delay during navigation.</x:v>
      </x:c>
      <x:c r="J170" s="8" t="n">
        <x:f>IF(G170="yes",1,0)</x:f>
        <x:v>1</x:v>
      </x:c>
      <x:c r="K170" s="8" t="n">
        <x:f>IF(G170="no",5,IF(E170&gt;800,3,1))</x:f>
        <x:v>1</x:v>
      </x:c>
      <x:c r="L170" s="8"/>
    </x:row>
    <x:row r="171">
      <x:c r="A171" s="8" t="str">
        <x:v>evt-00168</x:v>
      </x:c>
      <x:c r="B171" s="10" t="n">
        <x:v>46185.99151620371</x:v>
      </x:c>
      <x:c r="C171" s="8" t="str">
        <x:v>macOS</x:v>
      </x:c>
      <x:c r="D171" s="8" t="str">
        <x:v>navigation</x:v>
      </x:c>
      <x:c r="E171" s="12" t="n">
        <x:v>1157</x:v>
      </x:c>
      <x:c r="F171" s="12" t="n">
        <x:v>641</x:v>
      </x:c>
      <x:c r="G171" s="8" t="str">
        <x:v>no</x:v>
      </x:c>
      <x:c r="H171" s="8" t="n">
        <x:v>339</x:v>
      </x:c>
      <x:c r="I171" s="8"/>
      <x:c r="J171" s="8" t="n">
        <x:f>IF(G171="yes",1,0)</x:f>
        <x:v>0</x:v>
      </x:c>
      <x:c r="K171" s="8" t="n">
        <x:f>IF(G171="no",5,IF(E171&gt;800,3,1))</x:f>
        <x:v>5</x:v>
      </x:c>
      <x:c r="L171" s="8"/>
    </x:row>
    <x:row r="172">
      <x:c r="A172" s="8" t="str">
        <x:v>evt-00169</x:v>
      </x:c>
      <x:c r="B172" s="10" t="n">
        <x:v>46216.03388888889</x:v>
      </x:c>
      <x:c r="C172" s="8" t="str">
        <x:v>Windows</x:v>
      </x:c>
      <x:c r="D172" s="8" t="str">
        <x:v>reload</x:v>
      </x:c>
      <x:c r="E172" s="12" t="n">
        <x:v>888</x:v>
      </x:c>
      <x:c r="F172" s="12" t="n">
        <x:v>926.9</x:v>
      </x:c>
      <x:c r="G172" s="8" t="str">
        <x:v>yes</x:v>
      </x:c>
      <x:c r="H172" s="8" t="n">
        <x:v>875</x:v>
      </x:c>
      <x:c r="I172" s="8" t="str">
        <x:v>The owner field was not captured in the original notes, so classification should remain conservative.</x:v>
      </x:c>
      <x:c r="J172" s="8" t="n">
        <x:f>IF(G172="yes",1,0)</x:f>
        <x:v>1</x:v>
      </x:c>
      <x:c r="K172" s="8" t="n">
        <x:f>IF(G172="no",5,IF(E172&gt;800,3,1))</x:f>
        <x:v>3</x:v>
      </x:c>
      <x:c r="L172" s="8" t="str">
        <x:v>https://developer.microsoft.com/en-us/microsoft-edge/webview2/</x:v>
      </x:c>
    </x:row>
    <x:row r="173">
      <x:c r="A173" s="8" t="str">
        <x:v>evt-00170</x:v>
      </x:c>
      <x:c r="B173" s="10" t="n">
        <x:v>46248.076261574075</x:v>
      </x:c>
      <x:c r="C173" s="8" t="str">
        <x:v>Windows</x:v>
      </x:c>
      <x:c r="D173" s="8" t="str">
        <x:v>bridge message</x:v>
      </x:c>
      <x:c r="E173" s="12" t="n">
        <x:v>550</x:v>
      </x:c>
      <x:c r="F173" s="12" t="n">
        <x:v>344.3</x:v>
      </x:c>
      <x:c r="G173" s="8" t="str">
        <x:v>yes</x:v>
      </x:c>
      <x:c r="H173" s="8" t="n">
        <x:v>225</x:v>
      </x:c>
      <x:c r="I173" s="8"/>
      <x:c r="J173" s="8" t="n">
        <x:f>IF(G173="yes",1,0)</x:f>
        <x:v>1</x:v>
      </x:c>
      <x:c r="K173" s="8" t="n">
        <x:f>IF(G173="no",5,IF(E173&gt;800,3,1))</x:f>
        <x:v>1</x:v>
      </x:c>
      <x:c r="L173" s="8"/>
    </x:row>
    <x:row r="174">
      <x:c r="A174" s="8" t="str">
        <x:v>evt-00171</x:v>
      </x:c>
      <x:c r="B174" s="10" t="n">
        <x:v>46280.11863425926</x:v>
      </x:c>
      <x:c r="C174" s="8" t="str">
        <x:v>Android</x:v>
      </x:c>
      <x:c r="D174" s="8" t="str">
        <x:v>navigation</x:v>
      </x:c>
      <x:c r="E174" s="12" t="n">
        <x:v>1012</x:v>
      </x:c>
      <x:c r="F174" s="12" t="n">
        <x:v>601.8</x:v>
      </x:c>
      <x:c r="G174" s="8" t="str">
        <x:v>yes</x:v>
      </x:c>
      <x:c r="H174" s="8" t="n">
        <x:v>398</x:v>
      </x:c>
      <x:c r="I174" s="8"/>
      <x:c r="J174" s="8" t="n">
        <x:f>IF(G174="yes",1,0)</x:f>
        <x:v>1</x:v>
      </x:c>
      <x:c r="K174" s="8" t="n">
        <x:f>IF(G174="no",5,IF(E174&gt;800,3,1))</x:f>
        <x:v>3</x:v>
      </x:c>
      <x:c r="L174" s="8"/>
    </x:row>
    <x:row r="175">
      <x:c r="A175" s="8" t="str">
        <x:v>evt-00172</x:v>
      </x:c>
      <x:c r="B175" s="10" t="n">
        <x:v>46038.16100694444</x:v>
      </x:c>
      <x:c r="C175" s="8" t="str">
        <x:v>Android</x:v>
      </x:c>
      <x:c r="D175" s="8" t="str">
        <x:v>cold launch</x:v>
      </x:c>
      <x:c r="E175" s="12" t="n">
        <x:v>962</x:v>
      </x:c>
      <x:c r="F175" s="12" t="n">
        <x:v>253.4</x:v>
      </x:c>
      <x:c r="G175" s="8" t="str">
        <x:v>yes</x:v>
      </x:c>
      <x:c r="H175" s="8" t="n">
        <x:v>410</x:v>
      </x:c>
      <x:c r="I175" s="8"/>
      <x:c r="J175" s="8" t="n">
        <x:f>IF(G175="yes",1,0)</x:f>
        <x:v>1</x:v>
      </x:c>
      <x:c r="K175" s="8" t="n">
        <x:f>IF(G175="no",5,IF(E175&gt;800,3,1))</x:f>
        <x:v>3</x:v>
      </x:c>
      <x:c r="L175" s="8"/>
    </x:row>
    <x:row r="176">
      <x:c r="A176" s="8" t="str">
        <x:v>evt-00173</x:v>
      </x:c>
      <x:c r="B176" s="10" t="n">
        <x:v>46070.20337962963</x:v>
      </x:c>
      <x:c r="C176" s="8" t="str">
        <x:v>macOS</x:v>
      </x:c>
      <x:c r="D176" s="8" t="str">
        <x:v>reload</x:v>
      </x:c>
      <x:c r="E176" s="12" t="n">
        <x:v>730</x:v>
      </x:c>
      <x:c r="F176" s="12" t="n">
        <x:v>272.8</x:v>
      </x:c>
      <x:c r="G176" s="8" t="str">
        <x:v>yes</x:v>
      </x:c>
      <x:c r="H176" s="8" t="n">
        <x:v>857</x:v>
      </x:c>
      <x:c r="I176" s="8" t="str">
        <x:v>Potential duplicate: this paragraph is repeated in another section to test deduplication and chunk metadata.</x:v>
      </x:c>
      <x:c r="J176" s="8" t="n">
        <x:f>IF(G176="yes",1,0)</x:f>
        <x:v>1</x:v>
      </x:c>
      <x:c r="K176" s="8" t="n">
        <x:f>IF(G176="no",5,IF(E176&gt;800,3,1))</x:f>
        <x:v>1</x:v>
      </x:c>
      <x:c r="L176" s="8"/>
    </x:row>
    <x:row r="177">
      <x:c r="A177" s="8" t="str">
        <x:v>evt-00174</x:v>
      </x:c>
      <x:c r="B177" s="10" t="n">
        <x:v>46099.24575231481</x:v>
      </x:c>
      <x:c r="C177" s="8" t="str">
        <x:v>iOS</x:v>
      </x:c>
      <x:c r="D177" s="8" t="str">
        <x:v>large JSON</x:v>
      </x:c>
      <x:c r="E177" s="12" t="n">
        <x:v>157</x:v>
      </x:c>
      <x:c r="F177" s="12" t="n">
        <x:v>919.8</x:v>
      </x:c>
      <x:c r="G177" s="8" t="str">
        <x:v>yes</x:v>
      </x:c>
      <x:c r="H177" s="8" t="n">
        <x:v>61</x:v>
      </x:c>
      <x:c r="I177" s="8"/>
      <x:c r="J177" s="8" t="n">
        <x:f>IF(G177="yes",1,0)</x:f>
        <x:v>1</x:v>
      </x:c>
      <x:c r="K177" s="8" t="n">
        <x:f>IF(G177="no",5,IF(E177&gt;800,3,1))</x:f>
        <x:v>1</x:v>
      </x:c>
      <x:c r="L177" s="8"/>
    </x:row>
    <x:row r="178">
      <x:c r="A178" s="8" t="str">
        <x:v>evt-00175</x:v>
      </x:c>
      <x:c r="B178" s="10" t="n">
        <x:v>46131.288125</x:v>
      </x:c>
      <x:c r="C178" s="8" t="str">
        <x:v>Android</x:v>
      </x:c>
      <x:c r="D178" s="8" t="str">
        <x:v>large JSON</x:v>
      </x:c>
      <x:c r="E178" s="12" t="n">
        <x:v>851</x:v>
      </x:c>
      <x:c r="F178" s="12" t="n">
        <x:v>349.1</x:v>
      </x:c>
      <x:c r="G178" s="8" t="str">
        <x:v>yes</x:v>
      </x:c>
      <x:c r="H178" s="8" t="n">
        <x:v>658</x:v>
      </x:c>
      <x:c r="I178" s="8" t="str">
        <x:v>This sentence is long enough to exercise wrapping and downstream chunk boundaries in Markdown output.</x:v>
      </x:c>
      <x:c r="J178" s="8" t="n">
        <x:f>IF(G178="yes",1,0)</x:f>
        <x:v>1</x:v>
      </x:c>
      <x:c r="K178" s="8" t="n">
        <x:f>IF(G178="no",5,IF(E178&gt;800,3,1))</x:f>
        <x:v>3</x:v>
      </x:c>
      <x:c r="L178" s="8" t="str">
        <x:v>https://learn.microsoft.com/en-us/microsoft-edge/webview2/concepts/security</x:v>
      </x:c>
    </x:row>
    <x:row r="179">
      <x:c r="A179" s="8" t="str">
        <x:v>evt-00176</x:v>
      </x:c>
      <x:c r="B179" s="10" t="n">
        <x:v>46162.33049768519</x:v>
      </x:c>
      <x:c r="C179" s="8" t="str">
        <x:v>Windows</x:v>
      </x:c>
      <x:c r="D179" s="8" t="str">
        <x:v>bridge message</x:v>
      </x:c>
      <x:c r="E179" s="12" t="n">
        <x:v>1183</x:v>
      </x:c>
      <x:c r="F179" s="12" t="n">
        <x:v>713.3</x:v>
      </x:c>
      <x:c r="G179" s="8" t="str">
        <x:v>yes</x:v>
      </x:c>
      <x:c r="H179" s="8" t="n">
        <x:v>485</x:v>
      </x:c>
      <x:c r="I179" s="8" t="str">
        <x:v>Observed in a local test run: the content rendered, but the console warning appeared twice.</x:v>
      </x:c>
      <x:c r="J179" s="8" t="n">
        <x:f>IF(G179="yes",1,0)</x:f>
        <x:v>1</x:v>
      </x:c>
      <x:c r="K179" s="8" t="n">
        <x:f>IF(G179="no",5,IF(E179&gt;800,3,1))</x:f>
        <x:v>3</x:v>
      </x:c>
      <x:c r="L179" s="8"/>
    </x:row>
    <x:row r="180">
      <x:c r="A180" s="8" t="str">
        <x:v>evt-00177</x:v>
      </x:c>
      <x:c r="B180" s="10" t="n">
        <x:v>46194.37287037037</x:v>
      </x:c>
      <x:c r="C180" s="8" t="str">
        <x:v>Windows</x:v>
      </x:c>
      <x:c r="D180" s="8" t="str">
        <x:v>large JSON</x:v>
      </x:c>
      <x:c r="E180" s="12" t="n">
        <x:v>1076</x:v>
      </x:c>
      <x:c r="F180" s="12" t="n">
        <x:v>421.2</x:v>
      </x:c>
      <x:c r="G180" s="8" t="str">
        <x:v>yes</x:v>
      </x:c>
      <x:c r="H180" s="8" t="n">
        <x:v>424</x:v>
      </x:c>
      <x:c r="I180" s="8"/>
      <x:c r="J180" s="8" t="n">
        <x:f>IF(G180="yes",1,0)</x:f>
        <x:v>1</x:v>
      </x:c>
      <x:c r="K180" s="8" t="n">
        <x:f>IF(G180="no",5,IF(E180&gt;800,3,1))</x:f>
        <x:v>3</x:v>
      </x:c>
      <x:c r="L180" s="8" t="str">
        <x:v>https://learn.microsoft.com/en-us/microsoft-edge/webview2/concepts/security</x:v>
      </x:c>
    </x:row>
    <x:row r="181">
      <x:c r="A181" s="8" t="str">
        <x:v>evt-00178</x:v>
      </x:c>
      <x:c r="B181" s="10" t="n">
        <x:v>46225.415243055555</x:v>
      </x:c>
      <x:c r="C181" s="8" t="str">
        <x:v>Linux</x:v>
      </x:c>
      <x:c r="D181" s="8" t="str">
        <x:v>large JSON</x:v>
      </x:c>
      <x:c r="E181" s="12" t="n">
        <x:v>204</x:v>
      </x:c>
      <x:c r="F181" s="12" t="n">
        <x:v>186.3</x:v>
      </x:c>
      <x:c r="G181" s="8" t="str">
        <x:v>yes</x:v>
      </x:c>
      <x:c r="H181" s="8" t="n">
        <x:v>479</x:v>
      </x:c>
      <x:c r="I181" s="8" t="str">
        <x:v>This sentence is long enough to exercise wrapping and downstream chunk boundaries in Markdown output.</x:v>
      </x:c>
      <x:c r="J181" s="8" t="n">
        <x:f>IF(G181="yes",1,0)</x:f>
        <x:v>1</x:v>
      </x:c>
      <x:c r="K181" s="8" t="n">
        <x:f>IF(G181="no",5,IF(E181&gt;800,3,1))</x:f>
        <x:v>1</x:v>
      </x:c>
      <x:c r="L181" s="8"/>
    </x:row>
    <x:row r="182">
      <x:c r="A182" s="8" t="str">
        <x:v>evt-00179</x:v>
      </x:c>
      <x:c r="B182" s="10" t="n">
        <x:v>46257.45761574074</x:v>
      </x:c>
      <x:c r="C182" s="8" t="str">
        <x:v>macOS</x:v>
      </x:c>
      <x:c r="D182" s="8" t="str">
        <x:v>file upload</x:v>
      </x:c>
      <x:c r="E182" s="12" t="n">
        <x:v>706</x:v>
      </x:c>
      <x:c r="F182" s="12" t="n">
        <x:v>584.5</x:v>
      </x:c>
      <x:c r="G182" s="8" t="str">
        <x:v>no</x:v>
      </x:c>
      <x:c r="H182" s="8" t="n">
        <x:v>528</x:v>
      </x:c>
      <x:c r="I182" s="8"/>
      <x:c r="J182" s="8" t="n">
        <x:f>IF(G182="yes",1,0)</x:f>
        <x:v>0</x:v>
      </x:c>
      <x:c r="K182" s="8" t="n">
        <x:f>IF(G182="no",5,IF(E182&gt;800,3,1))</x:f>
        <x:v>5</x:v>
      </x:c>
      <x:c r="L182" s="8"/>
    </x:row>
    <x:row r="183">
      <x:c r="A183" s="8" t="str">
        <x:v>evt-00180</x:v>
      </x:c>
      <x:c r="B183" s="10" t="n">
        <x:v>46289.49998842592</x:v>
      </x:c>
      <x:c r="C183" s="8" t="str">
        <x:v>macOS</x:v>
      </x:c>
      <x:c r="D183" s="8" t="str">
        <x:v>file upload</x:v>
      </x:c>
      <x:c r="E183" s="12" t="n">
        <x:v>507</x:v>
      </x:c>
      <x:c r="F183" s="12" t="n">
        <x:v>904.3</x:v>
      </x:c>
      <x:c r="G183" s="8" t="str">
        <x:v>yes</x:v>
      </x:c>
      <x:c r="H183" s="8" t="n">
        <x:v>291</x:v>
      </x:c>
      <x:c r="I183" s="8"/>
      <x:c r="J183" s="8" t="n">
        <x:f>IF(G183="yes",1,0)</x:f>
        <x:v>1</x:v>
      </x:c>
      <x:c r="K183" s="8" t="n">
        <x:f>IF(G183="no",5,IF(E183&gt;800,3,1))</x:f>
        <x:v>1</x:v>
      </x:c>
      <x:c r="L183" s="8"/>
    </x:row>
    <x:row r="184">
      <x:c r="A184" s="8" t="str">
        <x:v>evt-00181</x:v>
      </x:c>
      <x:c r="B184" s="10" t="n">
        <x:v>46047.5</x:v>
      </x:c>
      <x:c r="C184" s="8" t="str">
        <x:v>Linux</x:v>
      </x:c>
      <x:c r="D184" s="8" t="str">
        <x:v>navigation</x:v>
      </x:c>
      <x:c r="E184" s="12" t="n">
        <x:v>1003</x:v>
      </x:c>
      <x:c r="F184" s="12" t="n">
        <x:v>930.4</x:v>
      </x:c>
      <x:c r="G184" s="8" t="str">
        <x:v>yes</x:v>
      </x:c>
      <x:c r="H184" s="8" t="n">
        <x:v>36</x:v>
      </x:c>
      <x:c r="I184" s="8" t="str">
        <x:v>Follow-up: compare the result when the network security policy is relaxed versus when it is enforced.</x:v>
      </x:c>
      <x:c r="J184" s="8" t="n">
        <x:f>IF(G184="yes",1,0)</x:f>
        <x:v>1</x:v>
      </x:c>
      <x:c r="K184" s="8" t="n">
        <x:f>IF(G184="no",5,IF(E184&gt;800,3,1))</x:f>
        <x:v>3</x:v>
      </x:c>
      <x:c r="L184" s="8" t="str">
        <x:v>https://learn.microsoft.com/en-us/microsoft-edge/webview2/concepts/security</x:v>
      </x:c>
    </x:row>
    <x:row r="185">
      <x:c r="A185" s="8" t="str">
        <x:v>evt-00182</x:v>
      </x:c>
      <x:c r="B185" s="10" t="n">
        <x:v>46079.54237268519</x:v>
      </x:c>
      <x:c r="C185" s="8" t="str">
        <x:v>Linux</x:v>
      </x:c>
      <x:c r="D185" s="8" t="str">
        <x:v>bridge message</x:v>
      </x:c>
      <x:c r="E185" s="12" t="n">
        <x:v>1357</x:v>
      </x:c>
      <x:c r="F185" s="12" t="n">
        <x:v>808.9</x:v>
      </x:c>
      <x:c r="G185" s="8" t="str">
        <x:v>yes</x:v>
      </x:c>
      <x:c r="H185" s="8" t="n">
        <x:v>228</x:v>
      </x:c>
      <x:c r="I185" s="8" t="str">
        <x:v>The bridge callback is stable for small payloads, but large JSON messages show visible delay during navigation.</x:v>
      </x:c>
      <x:c r="J185" s="8" t="n">
        <x:f>IF(G185="yes",1,0)</x:f>
        <x:v>1</x:v>
      </x:c>
      <x:c r="K185" s="8" t="n">
        <x:f>IF(G185="no",5,IF(E185&gt;800,3,1))</x:f>
        <x:v>3</x:v>
      </x:c>
      <x:c r="L185" s="8" t="str">
        <x:v>https://developer.android.com/reference/android/webkit/WebView</x:v>
      </x:c>
    </x:row>
    <x:row r="186">
      <x:c r="A186" s="8" t="str">
        <x:v>evt-00183</x:v>
      </x:c>
      <x:c r="B186" s="10" t="n">
        <x:v>46082.58474537037</x:v>
      </x:c>
      <x:c r="C186" s="8" t="str">
        <x:v>Windows</x:v>
      </x:c>
      <x:c r="D186" s="8" t="str">
        <x:v>download</x:v>
      </x:c>
      <x:c r="E186" s="12" t="n">
        <x:v>102</x:v>
      </x:c>
      <x:c r="F186" s="12" t="n">
        <x:v>176.6</x:v>
      </x:c>
      <x:c r="G186" s="8" t="str">
        <x:v>no</x:v>
      </x:c>
      <x:c r="H186" s="8" t="n">
        <x:v>158</x:v>
      </x:c>
      <x:c r="I186" s="8" t="str">
        <x:v>This sentence is long enough to exercise wrapping and downstream chunk boundaries in Markdown output.</x:v>
      </x:c>
      <x:c r="J186" s="8" t="n">
        <x:f>IF(G186="yes",1,0)</x:f>
        <x:v>0</x:v>
      </x:c>
      <x:c r="K186" s="8" t="n">
        <x:f>IF(G186="no",5,IF(E186&gt;800,3,1))</x:f>
        <x:v>5</x:v>
      </x:c>
      <x:c r="L186" s="8" t="str">
        <x:v>https://learn.microsoft.com/en-us/microsoft-edge/webview2/concepts/security</x:v>
      </x:c>
    </x:row>
    <x:row r="187">
      <x:c r="A187" s="8" t="str">
        <x:v>evt-00184</x:v>
      </x:c>
      <x:c r="B187" s="10" t="n">
        <x:v>46114.627118055556</x:v>
      </x:c>
      <x:c r="C187" s="8" t="str">
        <x:v>Linux</x:v>
      </x:c>
      <x:c r="D187" s="8" t="str">
        <x:v>download</x:v>
      </x:c>
      <x:c r="E187" s="12" t="n">
        <x:v>350</x:v>
      </x:c>
      <x:c r="F187" s="12" t="n">
        <x:v>934.1</x:v>
      </x:c>
      <x:c r="G187" s="8" t="str">
        <x:v>yes</x:v>
      </x:c>
      <x:c r="H187" s="8" t="n">
        <x:v>748</x:v>
      </x:c>
      <x:c r="I187" s="8"/>
      <x:c r="J187" s="8" t="n">
        <x:f>IF(G187="yes",1,0)</x:f>
        <x:v>1</x:v>
      </x:c>
      <x:c r="K187" s="8" t="n">
        <x:f>IF(G187="no",5,IF(E187&gt;800,3,1))</x:f>
        <x:v>1</x:v>
      </x:c>
      <x:c r="L187" s="8" t="str">
        <x:v>https://learn.microsoft.com/en-us/microsoft-edge/webview2/concepts/security</x:v>
      </x:c>
    </x:row>
    <x:row r="188">
      <x:c r="A188" s="8" t="str">
        <x:v>evt-00185</x:v>
      </x:c>
      <x:c r="B188" s="10" t="n">
        <x:v>46145.669490740744</x:v>
      </x:c>
      <x:c r="C188" s="8" t="str">
        <x:v>Linux</x:v>
      </x:c>
      <x:c r="D188" s="8" t="str">
        <x:v>download</x:v>
      </x:c>
      <x:c r="E188" s="12" t="n">
        <x:v>197</x:v>
      </x:c>
      <x:c r="F188" s="12" t="n">
        <x:v>581.6</x:v>
      </x:c>
      <x:c r="G188" s="8" t="str">
        <x:v>yes</x:v>
      </x:c>
      <x:c r="H188" s="8" t="n">
        <x:v>490</x:v>
      </x:c>
      <x:c r="I188" s="8" t="str">
        <x:v>Verify behavior on a cold start and after the page reloads without destroying the native view.</x:v>
      </x:c>
      <x:c r="J188" s="8" t="n">
        <x:f>IF(G188="yes",1,0)</x:f>
        <x:v>1</x:v>
      </x:c>
      <x:c r="K188" s="8" t="n">
        <x:f>IF(G188="no",5,IF(E188&gt;800,3,1))</x:f>
        <x:v>1</x:v>
      </x:c>
      <x:c r="L188" s="8"/>
    </x:row>
    <x:row r="189">
      <x:c r="A189" s="8" t="str">
        <x:v>evt-00186</x:v>
      </x:c>
      <x:c r="B189" s="10" t="n">
        <x:v>46177.711863425924</x:v>
      </x:c>
      <x:c r="C189" s="8" t="str">
        <x:v>Windows</x:v>
      </x:c>
      <x:c r="D189" s="8" t="str">
        <x:v>reload</x:v>
      </x:c>
      <x:c r="E189" s="12" t="n">
        <x:v>1371</x:v>
      </x:c>
      <x:c r="F189" s="12" t="n">
        <x:v>852.7</x:v>
      </x:c>
      <x:c r="G189" s="8" t="str">
        <x:v>yes</x:v>
      </x:c>
      <x:c r="H189" s="8" t="n">
        <x:v>396</x:v>
      </x:c>
      <x:c r="I189" s="8" t="str">
        <x:v>Follow-up: compare the result when the network security policy is relaxed versus when it is enforced.</x:v>
      </x:c>
      <x:c r="J189" s="8" t="n">
        <x:f>IF(G189="yes",1,0)</x:f>
        <x:v>1</x:v>
      </x:c>
      <x:c r="K189" s="8" t="n">
        <x:f>IF(G189="no",5,IF(E189&gt;800,3,1))</x:f>
        <x:v>3</x:v>
      </x:c>
      <x:c r="L189" s="8"/>
    </x:row>
    <x:row r="190">
      <x:c r="A190" s="8" t="str">
        <x:v>evt-00187</x:v>
      </x:c>
      <x:c r="B190" s="10" t="n">
        <x:v>46208.75423611111</x:v>
      </x:c>
      <x:c r="C190" s="8" t="str">
        <x:v>Android</x:v>
      </x:c>
      <x:c r="D190" s="8" t="str">
        <x:v>cold launch</x:v>
      </x:c>
      <x:c r="E190" s="12" t="n">
        <x:v>323</x:v>
      </x:c>
      <x:c r="F190" s="12" t="n">
        <x:v>839.8</x:v>
      </x:c>
      <x:c r="G190" s="8" t="str">
        <x:v>yes</x:v>
      </x:c>
      <x:c r="H190" s="8" t="n">
        <x:v>338</x:v>
      </x:c>
      <x:c r="I190" s="8" t="str">
        <x:v>Verify behavior on a cold start and after the page reloads without destroying the native view.</x:v>
      </x:c>
      <x:c r="J190" s="8" t="n">
        <x:f>IF(G190="yes",1,0)</x:f>
        <x:v>1</x:v>
      </x:c>
      <x:c r="K190" s="8" t="n">
        <x:f>IF(G190="no",5,IF(E190&gt;800,3,1))</x:f>
        <x:v>1</x:v>
      </x:c>
      <x:c r="L190" s="8"/>
    </x:row>
    <x:row r="191">
      <x:c r="A191" s="8" t="str">
        <x:v>evt-00188</x:v>
      </x:c>
      <x:c r="B191" s="10" t="n">
        <x:v>46240.7966087963</x:v>
      </x:c>
      <x:c r="C191" s="8" t="str">
        <x:v>macOS</x:v>
      </x:c>
      <x:c r="D191" s="8" t="str">
        <x:v>cold launch</x:v>
      </x:c>
      <x:c r="E191" s="12" t="n">
        <x:v>1292</x:v>
      </x:c>
      <x:c r="F191" s="12" t="n">
        <x:v>497.2</x:v>
      </x:c>
      <x:c r="G191" s="8" t="str">
        <x:v>yes</x:v>
      </x:c>
      <x:c r="H191" s="8" t="n">
        <x:v>83</x:v>
      </x:c>
      <x:c r="I191" s="8" t="str">
        <x:v>Verify behavior on a cold start and after the page reloads without destroying the native view.</x:v>
      </x:c>
      <x:c r="J191" s="8" t="n">
        <x:f>IF(G191="yes",1,0)</x:f>
        <x:v>1</x:v>
      </x:c>
      <x:c r="K191" s="8" t="n">
        <x:f>IF(G191="no",5,IF(E191&gt;800,3,1))</x:f>
        <x:v>3</x:v>
      </x:c>
      <x:c r="L191" s="8" t="str">
        <x:v>https://developer.apple.com/documentation/webkit/wkwebview</x:v>
      </x:c>
    </x:row>
    <x:row r="192">
      <x:c r="A192" s="8" t="str">
        <x:v>evt-00189</x:v>
      </x:c>
      <x:c r="B192" s="10" t="n">
        <x:v>46272.83898148148</x:v>
      </x:c>
      <x:c r="C192" s="8" t="str">
        <x:v>Linux</x:v>
      </x:c>
      <x:c r="D192" s="8" t="str">
        <x:v>download</x:v>
      </x:c>
      <x:c r="E192" s="12" t="n">
        <x:v>580</x:v>
      </x:c>
      <x:c r="F192" s="12" t="n">
        <x:v>859.6</x:v>
      </x:c>
      <x:c r="G192" s="8" t="str">
        <x:v>no</x:v>
      </x:c>
      <x:c r="H192" s="8" t="n">
        <x:v>867</x:v>
      </x:c>
      <x:c r="I192" s="8"/>
      <x:c r="J192" s="8" t="n">
        <x:f>IF(G192="yes",1,0)</x:f>
        <x:v>0</x:v>
      </x:c>
      <x:c r="K192" s="8" t="n">
        <x:f>IF(G192="no",5,IF(E192&gt;800,3,1))</x:f>
        <x:v>5</x:v>
      </x:c>
      <x:c r="L192" s="8" t="str">
        <x:v>https://developer.apple.com/documentation/webkit/wkwebview</x:v>
      </x:c>
    </x:row>
    <x:row r="193">
      <x:c r="A193" s="8" t="str">
        <x:v>evt-00190</x:v>
      </x:c>
      <x:c r="B193" s="10" t="n">
        <x:v>46030.88135416667</x:v>
      </x:c>
      <x:c r="C193" s="8" t="str">
        <x:v>iOS</x:v>
      </x:c>
      <x:c r="D193" s="8" t="str">
        <x:v>file upload</x:v>
      </x:c>
      <x:c r="E193" s="12" t="n">
        <x:v>425</x:v>
      </x:c>
      <x:c r="F193" s="12" t="n">
        <x:v>842.5</x:v>
      </x:c>
      <x:c r="G193" s="8" t="str">
        <x:v>yes</x:v>
      </x:c>
      <x:c r="H193" s="8" t="n">
        <x:v>341</x:v>
      </x:c>
      <x:c r="I193" s="8" t="str">
        <x:v>Potential duplicate: this paragraph is repeated in another section to test deduplication and chunk metadata.</x:v>
      </x:c>
      <x:c r="J193" s="8" t="n">
        <x:f>IF(G193="yes",1,0)</x:f>
        <x:v>1</x:v>
      </x:c>
      <x:c r="K193" s="8" t="n">
        <x:f>IF(G193="no",5,IF(E193&gt;800,3,1))</x:f>
        <x:v>1</x:v>
      </x:c>
      <x:c r="L193" s="8"/>
    </x:row>
    <x:row r="194">
      <x:c r="A194" s="8" t="str">
        <x:v>evt-00191</x:v>
      </x:c>
      <x:c r="B194" s="10" t="n">
        <x:v>46062.923726851855</x:v>
      </x:c>
      <x:c r="C194" s="8" t="str">
        <x:v>Android</x:v>
      </x:c>
      <x:c r="D194" s="8" t="str">
        <x:v>large JSON</x:v>
      </x:c>
      <x:c r="E194" s="12" t="n">
        <x:v>216</x:v>
      </x:c>
      <x:c r="F194" s="12" t="n">
        <x:v>281.6</x:v>
      </x:c>
      <x:c r="G194" s="8" t="str">
        <x:v>no</x:v>
      </x:c>
      <x:c r="H194" s="8" t="n">
        <x:v>457</x:v>
      </x:c>
      <x:c r="I194" s="8" t="str">
        <x:v>The owner field was not captured in the original notes, so classification should remain conservative.</x:v>
      </x:c>
      <x:c r="J194" s="8" t="n">
        <x:f>IF(G194="yes",1,0)</x:f>
        <x:v>0</x:v>
      </x:c>
      <x:c r="K194" s="8" t="n">
        <x:f>IF(G194="no",5,IF(E194&gt;800,3,1))</x:f>
        <x:v>5</x:v>
      </x:c>
      <x:c r="L194" s="8"/>
    </x:row>
    <x:row r="195">
      <x:c r="A195" s="8" t="str">
        <x:v>evt-00192</x:v>
      </x:c>
      <x:c r="B195" s="10" t="n">
        <x:v>46091.966099537036</x:v>
      </x:c>
      <x:c r="C195" s="8" t="str">
        <x:v>iOS</x:v>
      </x:c>
      <x:c r="D195" s="8" t="str">
        <x:v>bridge message</x:v>
      </x:c>
      <x:c r="E195" s="12" t="n">
        <x:v>201</x:v>
      </x:c>
      <x:c r="F195" s="12" t="n">
        <x:v>700.2</x:v>
      </x:c>
      <x:c r="G195" s="8" t="str">
        <x:v>yes</x:v>
      </x:c>
      <x:c r="H195" s="8" t="n">
        <x:v>732</x:v>
      </x:c>
      <x:c r="I195" s="8"/>
      <x:c r="J195" s="8" t="n">
        <x:f>IF(G195="yes",1,0)</x:f>
        <x:v>1</x:v>
      </x:c>
      <x:c r="K195" s="8" t="n">
        <x:f>IF(G195="no",5,IF(E195&gt;800,3,1))</x:f>
        <x:v>1</x:v>
      </x:c>
      <x:c r="L195" s="8" t="str">
        <x:v>https://developer.android.com/reference/android/webkit/WebView</x:v>
      </x:c>
    </x:row>
    <x:row r="196">
      <x:c r="A196" s="8" t="str">
        <x:v>evt-00193</x:v>
      </x:c>
      <x:c r="B196" s="10" t="n">
        <x:v>46123.008472222224</x:v>
      </x:c>
      <x:c r="C196" s="8" t="str">
        <x:v>Linux</x:v>
      </x:c>
      <x:c r="D196" s="8" t="str">
        <x:v>reload</x:v>
      </x:c>
      <x:c r="E196" s="12" t="n">
        <x:v>1320</x:v>
      </x:c>
      <x:c r="F196" s="12" t="n">
        <x:v>908.8</x:v>
      </x:c>
      <x:c r="G196" s="8" t="str">
        <x:v>yes</x:v>
      </x:c>
      <x:c r="H196" s="8" t="n">
        <x:v>322</x:v>
      </x:c>
      <x:c r="I196" s="8"/>
      <x:c r="J196" s="8" t="n">
        <x:f>IF(G196="yes",1,0)</x:f>
        <x:v>1</x:v>
      </x:c>
      <x:c r="K196" s="8" t="n">
        <x:f>IF(G196="no",5,IF(E196&gt;800,3,1))</x:f>
        <x:v>3</x:v>
      </x:c>
      <x:c r="L196" s="8" t="str">
        <x:v>https://github.com/react-native-webview/react-native-webview</x:v>
      </x:c>
    </x:row>
    <x:row r="197">
      <x:c r="A197" s="8" t="str">
        <x:v>evt-00194</x:v>
      </x:c>
      <x:c r="B197" s="10" t="n">
        <x:v>46154.050844907404</x:v>
      </x:c>
      <x:c r="C197" s="8" t="str">
        <x:v>Android</x:v>
      </x:c>
      <x:c r="D197" s="8" t="str">
        <x:v>download</x:v>
      </x:c>
      <x:c r="E197" s="12" t="n">
        <x:v>711</x:v>
      </x:c>
      <x:c r="F197" s="12" t="n">
        <x:v>821.1</x:v>
      </x:c>
      <x:c r="G197" s="8" t="str">
        <x:v>yes</x:v>
      </x:c>
      <x:c r="H197" s="8" t="n">
        <x:v>654</x:v>
      </x:c>
      <x:c r="I197" s="8"/>
      <x:c r="J197" s="8" t="n">
        <x:f>IF(G197="yes",1,0)</x:f>
        <x:v>1</x:v>
      </x:c>
      <x:c r="K197" s="8" t="n">
        <x:f>IF(G197="no",5,IF(E197&gt;800,3,1))</x:f>
        <x:v>1</x:v>
      </x:c>
      <x:c r="L197" s="8" t="str">
        <x:v>https://developer.apple.com/documentation/webkit/wkwebview</x:v>
      </x:c>
    </x:row>
    <x:row r="198">
      <x:c r="A198" s="8" t="str">
        <x:v>evt-00195</x:v>
      </x:c>
      <x:c r="B198" s="10" t="n">
        <x:v>46186.09321759259</x:v>
      </x:c>
      <x:c r="C198" s="8" t="str">
        <x:v>Linux</x:v>
      </x:c>
      <x:c r="D198" s="8" t="str">
        <x:v>large JSON</x:v>
      </x:c>
      <x:c r="E198" s="12" t="n">
        <x:v>909</x:v>
      </x:c>
      <x:c r="F198" s="12" t="n">
        <x:v>571.5</x:v>
      </x:c>
      <x:c r="G198" s="8" t="str">
        <x:v>yes</x:v>
      </x:c>
      <x:c r="H198" s="8" t="n">
        <x:v>534</x:v>
      </x:c>
      <x:c r="I198" s="8" t="str">
        <x:v>A blank cell here is intentional. The source workbook has notes placed away from the nearest table.</x:v>
      </x:c>
      <x:c r="J198" s="8" t="n">
        <x:f>IF(G198="yes",1,0)</x:f>
        <x:v>1</x:v>
      </x:c>
      <x:c r="K198" s="8" t="n">
        <x:f>IF(G198="no",5,IF(E198&gt;800,3,1))</x:f>
        <x:v>3</x:v>
      </x:c>
      <x:c r="L198" s="8"/>
    </x:row>
    <x:row r="199">
      <x:c r="A199" s="8" t="str">
        <x:v>evt-00196</x:v>
      </x:c>
      <x:c r="B199" s="10" t="n">
        <x:v>46217.13559027778</x:v>
      </x:c>
      <x:c r="C199" s="8" t="str">
        <x:v>Linux</x:v>
      </x:c>
      <x:c r="D199" s="8" t="str">
        <x:v>bridge message</x:v>
      </x:c>
      <x:c r="E199" s="12" t="n">
        <x:v>404</x:v>
      </x:c>
      <x:c r="F199" s="12" t="n">
        <x:v>93.7</x:v>
      </x:c>
      <x:c r="G199" s="8" t="str">
        <x:v>yes</x:v>
      </x:c>
      <x:c r="H199" s="8" t="n">
        <x:v>169</x:v>
      </x:c>
      <x:c r="I199" s="8" t="str">
        <x:v>A blank cell here is intentional. The source workbook has notes placed away from the nearest table.</x:v>
      </x:c>
      <x:c r="J199" s="8" t="n">
        <x:f>IF(G199="yes",1,0)</x:f>
        <x:v>1</x:v>
      </x:c>
      <x:c r="K199" s="8" t="n">
        <x:f>IF(G199="no",5,IF(E199&gt;800,3,1))</x:f>
        <x:v>1</x:v>
      </x:c>
      <x:c r="L199" s="8"/>
    </x:row>
    <x:row r="200">
      <x:c r="A200" s="8" t="str">
        <x:v>evt-00197</x:v>
      </x:c>
      <x:c r="B200" s="10" t="n">
        <x:v>46249.17796296296</x:v>
      </x:c>
      <x:c r="C200" s="8" t="str">
        <x:v>macOS</x:v>
      </x:c>
      <x:c r="D200" s="8" t="str">
        <x:v>cold launch</x:v>
      </x:c>
      <x:c r="E200" s="12" t="n">
        <x:v>38</x:v>
      </x:c>
      <x:c r="F200" s="12" t="n">
        <x:v>576.3</x:v>
      </x:c>
      <x:c r="G200" s="8" t="str">
        <x:v>yes</x:v>
      </x:c>
      <x:c r="H200" s="8" t="n">
        <x:v>261</x:v>
      </x:c>
      <x:c r="I200" s="8" t="str">
        <x:v>Potential duplicate: this paragraph is repeated in another section to test deduplication and chunk metadata.</x:v>
      </x:c>
      <x:c r="J200" s="8" t="n">
        <x:f>IF(G200="yes",1,0)</x:f>
        <x:v>1</x:v>
      </x:c>
      <x:c r="K200" s="8" t="n">
        <x:f>IF(G200="no",5,IF(E200&gt;800,3,1))</x:f>
        <x:v>1</x:v>
      </x:c>
      <x:c r="L200" s="8"/>
    </x:row>
    <x:row r="201">
      <x:c r="A201" s="8" t="str">
        <x:v>evt-00198</x:v>
      </x:c>
      <x:c r="B201" s="10" t="n">
        <x:v>46281.22033564815</x:v>
      </x:c>
      <x:c r="C201" s="8" t="str">
        <x:v>iOS</x:v>
      </x:c>
      <x:c r="D201" s="8" t="str">
        <x:v>file upload</x:v>
      </x:c>
      <x:c r="E201" s="12" t="n">
        <x:v>121</x:v>
      </x:c>
      <x:c r="F201" s="12" t="n">
        <x:v>849.4</x:v>
      </x:c>
      <x:c r="G201" s="8" t="str">
        <x:v>yes</x:v>
      </x:c>
      <x:c r="H201" s="8" t="n">
        <x:v>263</x:v>
      </x:c>
      <x:c r="I201" s="8"/>
      <x:c r="J201" s="8" t="n">
        <x:f>IF(G201="yes",1,0)</x:f>
        <x:v>1</x:v>
      </x:c>
      <x:c r="K201" s="8" t="n">
        <x:f>IF(G201="no",5,IF(E201&gt;800,3,1))</x:f>
        <x:v>1</x:v>
      </x:c>
      <x:c r="L201" s="8"/>
    </x:row>
    <x:row r="202">
      <x:c r="A202" s="8" t="str">
        <x:v>evt-00199</x:v>
      </x:c>
      <x:c r="B202" s="10" t="n">
        <x:v>46039.262708333335</x:v>
      </x:c>
      <x:c r="C202" s="8" t="str">
        <x:v>macOS</x:v>
      </x:c>
      <x:c r="D202" s="8" t="str">
        <x:v>large JSON</x:v>
      </x:c>
      <x:c r="E202" s="12" t="n">
        <x:v>196</x:v>
      </x:c>
      <x:c r="F202" s="12" t="n">
        <x:v>188.5</x:v>
      </x:c>
      <x:c r="G202" s="8" t="str">
        <x:v>yes</x:v>
      </x:c>
      <x:c r="H202" s="8" t="n">
        <x:v>675</x:v>
      </x:c>
      <x:c r="I202" s="8"/>
      <x:c r="J202" s="8" t="n">
        <x:f>IF(G202="yes",1,0)</x:f>
        <x:v>1</x:v>
      </x:c>
      <x:c r="K202" s="8" t="n">
        <x:f>IF(G202="no",5,IF(E202&gt;800,3,1))</x:f>
        <x:v>1</x:v>
      </x:c>
      <x:c r="L202" s="8"/>
    </x:row>
    <x:row r="203">
      <x:c r="A203" s="8" t="str">
        <x:v>evt-00200</x:v>
      </x:c>
      <x:c r="B203" s="10" t="n">
        <x:v>46071.305081018516</x:v>
      </x:c>
      <x:c r="C203" s="8" t="str">
        <x:v>iOS</x:v>
      </x:c>
      <x:c r="D203" s="8" t="str">
        <x:v>file upload</x:v>
      </x:c>
      <x:c r="E203" s="12" t="n">
        <x:v>1223</x:v>
      </x:c>
      <x:c r="F203" s="12" t="n">
        <x:v>889</x:v>
      </x:c>
      <x:c r="G203" s="8" t="str">
        <x:v>yes</x:v>
      </x:c>
      <x:c r="H203" s="8" t="n">
        <x:v>744</x:v>
      </x:c>
      <x:c r="I203" s="8" t="str">
        <x:v>Potential duplicate: this paragraph is repeated in another section to test deduplication and chunk metadata.</x:v>
      </x:c>
      <x:c r="J203" s="8" t="n">
        <x:f>IF(G203="yes",1,0)</x:f>
        <x:v>1</x:v>
      </x:c>
      <x:c r="K203" s="8" t="n">
        <x:f>IF(G203="no",5,IF(E203&gt;800,3,1))</x:f>
        <x:v>3</x:v>
      </x:c>
      <x:c r="L203" s="8"/>
    </x:row>
    <x:row r="204">
      <x:c r="A204" s="8"/>
      <x:c r="B204" s="10"/>
      <x:c r="C204" s="8"/>
      <x:c r="D204" s="8"/>
      <x:c r="E204" s="12"/>
      <x:c r="F204" s="12"/>
      <x:c r="G204" s="8"/>
      <x:c r="H204" s="8"/>
      <x:c r="I204" s="8"/>
      <x:c r="J204" s="8" t="n">
        <x:f>IF(G204="yes",1,0)</x:f>
        <x:v>0</x:v>
      </x:c>
      <x:c r="K204" s="8" t="n">
        <x:f>IF(G204="no",5,IF(E204&gt;800,3,1))</x:f>
        <x:v>1</x:v>
      </x:c>
      <x:c r="L204" s="8"/>
    </x:row>
    <x:row r="205">
      <x:c r="A205" s="8" t="str">
        <x:v>evt-00201</x:v>
      </x:c>
      <x:c r="B205" s="10" t="n">
        <x:v>46100.347453703704</x:v>
      </x:c>
      <x:c r="C205" s="8" t="str">
        <x:v>iOS</x:v>
      </x:c>
      <x:c r="D205" s="8" t="str">
        <x:v>bridge message</x:v>
      </x:c>
      <x:c r="E205" s="12" t="n">
        <x:v>150</x:v>
      </x:c>
      <x:c r="F205" s="12" t="n">
        <x:v>493.7</x:v>
      </x:c>
      <x:c r="G205" s="8" t="str">
        <x:v>yes</x:v>
      </x:c>
      <x:c r="H205" s="8" t="n">
        <x:v>400</x:v>
      </x:c>
      <x:c r="I205" s="8"/>
      <x:c r="J205" s="8" t="n">
        <x:f>IF(G205="yes",1,0)</x:f>
        <x:v>1</x:v>
      </x:c>
      <x:c r="K205" s="8" t="n">
        <x:f>IF(G205="no",5,IF(E205&gt;800,3,1))</x:f>
        <x:v>1</x:v>
      </x:c>
      <x:c r="L205" s="8" t="str">
        <x:v>https://developer.android.com/reference/android/webkit/WebView</x:v>
      </x:c>
    </x:row>
    <x:row r="206">
      <x:c r="A206" s="8" t="str">
        <x:v>evt-00202</x:v>
      </x:c>
      <x:c r="B206" s="10" t="n">
        <x:v>46132.38982638889</x:v>
      </x:c>
      <x:c r="C206" s="8" t="str">
        <x:v>Windows</x:v>
      </x:c>
      <x:c r="D206" s="8" t="str">
        <x:v>file upload</x:v>
      </x:c>
      <x:c r="E206" s="12" t="n">
        <x:v>1355</x:v>
      </x:c>
      <x:c r="F206" s="12" t="n">
        <x:v>284.9</x:v>
      </x:c>
      <x:c r="G206" s="8" t="str">
        <x:v>yes</x:v>
      </x:c>
      <x:c r="H206" s="8" t="n">
        <x:v>824</x:v>
      </x:c>
      <x:c r="I206" s="8"/>
      <x:c r="J206" s="8" t="n">
        <x:f>IF(G206="yes",1,0)</x:f>
        <x:v>1</x:v>
      </x:c>
      <x:c r="K206" s="8" t="n">
        <x:f>IF(G206="no",5,IF(E206&gt;800,3,1))</x:f>
        <x:v>3</x:v>
      </x:c>
      <x:c r="L206" s="8" t="str">
        <x:v>https://learn.microsoft.com/en-us/microsoft-edge/webview2/concepts/security</x:v>
      </x:c>
    </x:row>
    <x:row r="207">
      <x:c r="A207" s="8" t="str">
        <x:v>evt-00203</x:v>
      </x:c>
      <x:c r="B207" s="10" t="n">
        <x:v>46163.43219907407</x:v>
      </x:c>
      <x:c r="C207" s="8" t="str">
        <x:v>Android</x:v>
      </x:c>
      <x:c r="D207" s="8" t="str">
        <x:v>cold launch</x:v>
      </x:c>
      <x:c r="E207" s="12" t="n">
        <x:v>1360</x:v>
      </x:c>
      <x:c r="F207" s="12" t="n">
        <x:v>445.9</x:v>
      </x:c>
      <x:c r="G207" s="8" t="str">
        <x:v>yes</x:v>
      </x:c>
      <x:c r="H207" s="8" t="n">
        <x:v>451</x:v>
      </x:c>
      <x:c r="I207" s="8"/>
      <x:c r="J207" s="8" t="n">
        <x:f>IF(G207="yes",1,0)</x:f>
        <x:v>1</x:v>
      </x:c>
      <x:c r="K207" s="8" t="n">
        <x:f>IF(G207="no",5,IF(E207&gt;800,3,1))</x:f>
        <x:v>3</x:v>
      </x:c>
      <x:c r="L207" s="8"/>
    </x:row>
    <x:row r="208">
      <x:c r="A208" s="8" t="str">
        <x:v>evt-00204</x:v>
      </x:c>
      <x:c r="B208" s="10" t="n">
        <x:v>46195.47457175926</x:v>
      </x:c>
      <x:c r="C208" s="8" t="str">
        <x:v>Android</x:v>
      </x:c>
      <x:c r="D208" s="8" t="str">
        <x:v>bridge message</x:v>
      </x:c>
      <x:c r="E208" s="12" t="n">
        <x:v>1223</x:v>
      </x:c>
      <x:c r="F208" s="12" t="n">
        <x:v>518.6</x:v>
      </x:c>
      <x:c r="G208" s="8" t="str">
        <x:v>yes</x:v>
      </x:c>
      <x:c r="H208" s="8" t="n">
        <x:v>311</x:v>
      </x:c>
      <x:c r="I208" s="8" t="str">
        <x:v>This sentence is long enough to exercise wrapping and downstream chunk boundaries in Markdown output.</x:v>
      </x:c>
      <x:c r="J208" s="8" t="n">
        <x:f>IF(G208="yes",1,0)</x:f>
        <x:v>1</x:v>
      </x:c>
      <x:c r="K208" s="8" t="n">
        <x:f>IF(G208="no",5,IF(E208&gt;800,3,1))</x:f>
        <x:v>3</x:v>
      </x:c>
      <x:c r="L208" s="8" t="str">
        <x:v>https://developer.android.com/reference/android/webkit/WebView</x:v>
      </x:c>
    </x:row>
    <x:row r="209">
      <x:c r="A209" s="8" t="str">
        <x:v>evt-00205</x:v>
      </x:c>
      <x:c r="B209" s="10" t="n">
        <x:v>46226.51694444445</x:v>
      </x:c>
      <x:c r="C209" s="8" t="str">
        <x:v>Linux</x:v>
      </x:c>
      <x:c r="D209" s="8" t="str">
        <x:v>navigation</x:v>
      </x:c>
      <x:c r="E209" s="12" t="n">
        <x:v>1014</x:v>
      </x:c>
      <x:c r="F209" s="12" t="n">
        <x:v>330</x:v>
      </x:c>
      <x:c r="G209" s="8" t="str">
        <x:v>yes</x:v>
      </x:c>
      <x:c r="H209" s="8" t="n">
        <x:v>530</x:v>
      </x:c>
      <x:c r="I209" s="8"/>
      <x:c r="J209" s="8" t="n">
        <x:f>IF(G209="yes",1,0)</x:f>
        <x:v>1</x:v>
      </x:c>
      <x:c r="K209" s="8" t="n">
        <x:f>IF(G209="no",5,IF(E209&gt;800,3,1))</x:f>
        <x:v>3</x:v>
      </x:c>
      <x:c r="L209" s="8" t="str">
        <x:v>https://github.com/react-native-webview/react-native-webview</x:v>
      </x:c>
    </x:row>
    <x:row r="210">
      <x:c r="A210" s="8" t="str">
        <x:v>evt-00206</x:v>
      </x:c>
      <x:c r="B210" s="10" t="n">
        <x:v>46258.55931712963</x:v>
      </x:c>
      <x:c r="C210" s="8" t="str">
        <x:v>iOS</x:v>
      </x:c>
      <x:c r="D210" s="8" t="str">
        <x:v>large JSON</x:v>
      </x:c>
      <x:c r="E210" s="12" t="n">
        <x:v>284</x:v>
      </x:c>
      <x:c r="F210" s="12" t="n">
        <x:v>95.5</x:v>
      </x:c>
      <x:c r="G210" s="8" t="str">
        <x:v>yes</x:v>
      </x:c>
      <x:c r="H210" s="8" t="n">
        <x:v>837</x:v>
      </x:c>
      <x:c r="I210" s="8"/>
      <x:c r="J210" s="8" t="n">
        <x:f>IF(G210="yes",1,0)</x:f>
        <x:v>1</x:v>
      </x:c>
      <x:c r="K210" s="8" t="n">
        <x:f>IF(G210="no",5,IF(E210&gt;800,3,1))</x:f>
        <x:v>1</x:v>
      </x:c>
      <x:c r="L210" s="8"/>
    </x:row>
    <x:row r="211">
      <x:c r="A211" s="8" t="str">
        <x:v>evt-00207</x:v>
      </x:c>
      <x:c r="B211" s="10" t="n">
        <x:v>46290.601689814815</x:v>
      </x:c>
      <x:c r="C211" s="8" t="str">
        <x:v>iOS</x:v>
      </x:c>
      <x:c r="D211" s="8" t="str">
        <x:v>bridge message</x:v>
      </x:c>
      <x:c r="E211" s="12" t="n">
        <x:v>56</x:v>
      </x:c>
      <x:c r="F211" s="12" t="n">
        <x:v>472.5</x:v>
      </x:c>
      <x:c r="G211" s="8" t="str">
        <x:v>yes</x:v>
      </x:c>
      <x:c r="H211" s="8" t="n">
        <x:v>740</x:v>
      </x:c>
      <x:c r="I211" s="8"/>
      <x:c r="J211" s="8" t="n">
        <x:f>IF(G211="yes",1,0)</x:f>
        <x:v>1</x:v>
      </x:c>
      <x:c r="K211" s="8" t="n">
        <x:f>IF(G211="no",5,IF(E211&gt;800,3,1))</x:f>
        <x:v>1</x:v>
      </x:c>
      <x:c r="L211" s="8" t="str">
        <x:v>https://developer.apple.com/documentation/webkit/wkwebview</x:v>
      </x:c>
    </x:row>
    <x:row r="212">
      <x:c r="A212" s="8" t="str">
        <x:v>evt-00208</x:v>
      </x:c>
      <x:c r="B212" s="10" t="n">
        <x:v>46048.6440625</x:v>
      </x:c>
      <x:c r="C212" s="8" t="str">
        <x:v>iOS</x:v>
      </x:c>
      <x:c r="D212" s="8" t="str">
        <x:v>reload</x:v>
      </x:c>
      <x:c r="E212" s="12" t="n">
        <x:v>1292</x:v>
      </x:c>
      <x:c r="F212" s="12" t="n">
        <x:v>774.3</x:v>
      </x:c>
      <x:c r="G212" s="8" t="str">
        <x:v>yes</x:v>
      </x:c>
      <x:c r="H212" s="8" t="n">
        <x:v>415</x:v>
      </x:c>
      <x:c r="I212" s="8"/>
      <x:c r="J212" s="8" t="n">
        <x:f>IF(G212="yes",1,0)</x:f>
        <x:v>1</x:v>
      </x:c>
      <x:c r="K212" s="8" t="n">
        <x:f>IF(G212="no",5,IF(E212&gt;800,3,1))</x:f>
        <x:v>3</x:v>
      </x:c>
      <x:c r="L212" s="8" t="str">
        <x:v>https://developer.microsoft.com/en-us/microsoft-edge/webview2/</x:v>
      </x:c>
    </x:row>
    <x:row r="213">
      <x:c r="A213" s="8" t="str">
        <x:v>evt-00209</x:v>
      </x:c>
      <x:c r="B213" s="10" t="n">
        <x:v>46054.686435185184</x:v>
      </x:c>
      <x:c r="C213" s="8" t="str">
        <x:v>Windows</x:v>
      </x:c>
      <x:c r="D213" s="8" t="str">
        <x:v>bridge message</x:v>
      </x:c>
      <x:c r="E213" s="12" t="n">
        <x:v>991</x:v>
      </x:c>
      <x:c r="F213" s="12" t="n">
        <x:v>595.1</x:v>
      </x:c>
      <x:c r="G213" s="8" t="str">
        <x:v>no</x:v>
      </x:c>
      <x:c r="H213" s="8" t="n">
        <x:v>760</x:v>
      </x:c>
      <x:c r="I213" s="8" t="str">
        <x:v>Follow-up: compare the result when the network security policy is relaxed versus when it is enforced.</x:v>
      </x:c>
      <x:c r="J213" s="8" t="n">
        <x:f>IF(G213="yes",1,0)</x:f>
        <x:v>0</x:v>
      </x:c>
      <x:c r="K213" s="8" t="n">
        <x:f>IF(G213="no",5,IF(E213&gt;800,3,1))</x:f>
        <x:v>5</x:v>
      </x:c>
      <x:c r="L213" s="8"/>
    </x:row>
    <x:row r="214">
      <x:c r="A214" s="8" t="str">
        <x:v>evt-00210</x:v>
      </x:c>
      <x:c r="B214" s="10" t="n">
        <x:v>46083.72880787037</x:v>
      </x:c>
      <x:c r="C214" s="8" t="str">
        <x:v>Android</x:v>
      </x:c>
      <x:c r="D214" s="8" t="str">
        <x:v>large JSON</x:v>
      </x:c>
      <x:c r="E214" s="12" t="n">
        <x:v>1087</x:v>
      </x:c>
      <x:c r="F214" s="12" t="n">
        <x:v>665.3</x:v>
      </x:c>
      <x:c r="G214" s="8" t="str">
        <x:v>yes</x:v>
      </x:c>
      <x:c r="H214" s="8" t="n">
        <x:v>324</x:v>
      </x:c>
      <x:c r="I214" s="8"/>
      <x:c r="J214" s="8" t="n">
        <x:f>IF(G214="yes",1,0)</x:f>
        <x:v>1</x:v>
      </x:c>
      <x:c r="K214" s="8" t="n">
        <x:f>IF(G214="no",5,IF(E214&gt;800,3,1))</x:f>
        <x:v>3</x:v>
      </x:c>
      <x:c r="L214" s="8"/>
    </x:row>
    <x:row r="215">
      <x:c r="A215" s="8" t="str">
        <x:v>evt-00211</x:v>
      </x:c>
      <x:c r="B215" s="10" t="n">
        <x:v>46115.77118055556</x:v>
      </x:c>
      <x:c r="C215" s="8" t="str">
        <x:v>Linux</x:v>
      </x:c>
      <x:c r="D215" s="8" t="str">
        <x:v>file upload</x:v>
      </x:c>
      <x:c r="E215" s="12" t="n">
        <x:v>1382</x:v>
      </x:c>
      <x:c r="F215" s="12" t="n">
        <x:v>329.9</x:v>
      </x:c>
      <x:c r="G215" s="8" t="str">
        <x:v>yes</x:v>
      </x:c>
      <x:c r="H215" s="8" t="n">
        <x:v>809</x:v>
      </x:c>
      <x:c r="I215" s="8" t="str">
        <x:v>The bridge callback is stable for small payloads, but large JSON messages show visible delay during navigation.</x:v>
      </x:c>
      <x:c r="J215" s="8" t="n">
        <x:f>IF(G215="yes",1,0)</x:f>
        <x:v>1</x:v>
      </x:c>
      <x:c r="K215" s="8" t="n">
        <x:f>IF(G215="no",5,IF(E215&gt;800,3,1))</x:f>
        <x:v>3</x:v>
      </x:c>
      <x:c r="L215" s="8"/>
    </x:row>
    <x:row r="216">
      <x:c r="A216" s="8" t="str">
        <x:v>evt-00212</x:v>
      </x:c>
      <x:c r="B216" s="10" t="n">
        <x:v>46146.81355324074</x:v>
      </x:c>
      <x:c r="C216" s="8" t="str">
        <x:v>macOS</x:v>
      </x:c>
      <x:c r="D216" s="8" t="str">
        <x:v>cold launch</x:v>
      </x:c>
      <x:c r="E216" s="12" t="n">
        <x:v>1268</x:v>
      </x:c>
      <x:c r="F216" s="12" t="n">
        <x:v>462.5</x:v>
      </x:c>
      <x:c r="G216" s="8" t="str">
        <x:v>yes</x:v>
      </x:c>
      <x:c r="H216" s="8" t="n">
        <x:v>549</x:v>
      </x:c>
      <x:c r="I216" s="8"/>
      <x:c r="J216" s="8" t="n">
        <x:f>IF(G216="yes",1,0)</x:f>
        <x:v>1</x:v>
      </x:c>
      <x:c r="K216" s="8" t="n">
        <x:f>IF(G216="no",5,IF(E216&gt;800,3,1))</x:f>
        <x:v>3</x:v>
      </x:c>
      <x:c r="L216" s="8" t="str">
        <x:v>https://developer.apple.com/documentation/webkit/wkwebview</x:v>
      </x:c>
    </x:row>
    <x:row r="217">
      <x:c r="A217" s="8" t="str">
        <x:v>evt-00213</x:v>
      </x:c>
      <x:c r="B217" s="10" t="n">
        <x:v>46178.85592592593</x:v>
      </x:c>
      <x:c r="C217" s="8" t="str">
        <x:v>Linux</x:v>
      </x:c>
      <x:c r="D217" s="8" t="str">
        <x:v>large JSON</x:v>
      </x:c>
      <x:c r="E217" s="12" t="n">
        <x:v>1031</x:v>
      </x:c>
      <x:c r="F217" s="12" t="n">
        <x:v>749.5</x:v>
      </x:c>
      <x:c r="G217" s="8" t="str">
        <x:v>yes</x:v>
      </x:c>
      <x:c r="H217" s="8" t="n">
        <x:v>12</x:v>
      </x:c>
      <x:c r="I217" s="8"/>
      <x:c r="J217" s="8" t="n">
        <x:f>IF(G217="yes",1,0)</x:f>
        <x:v>1</x:v>
      </x:c>
      <x:c r="K217" s="8" t="n">
        <x:f>IF(G217="no",5,IF(E217&gt;800,3,1))</x:f>
        <x:v>3</x:v>
      </x:c>
      <x:c r="L217" s="8" t="str">
        <x:v>https://github.com/react-native-webview/react-native-webview</x:v>
      </x:c>
    </x:row>
    <x:row r="218">
      <x:c r="A218" s="8" t="str">
        <x:v>evt-00214</x:v>
      </x:c>
      <x:c r="B218" s="10" t="n">
        <x:v>46209.89829861111</x:v>
      </x:c>
      <x:c r="C218" s="8" t="str">
        <x:v>Windows</x:v>
      </x:c>
      <x:c r="D218" s="8" t="str">
        <x:v>reload</x:v>
      </x:c>
      <x:c r="E218" s="12" t="n">
        <x:v>454</x:v>
      </x:c>
      <x:c r="F218" s="12" t="n">
        <x:v>284.7</x:v>
      </x:c>
      <x:c r="G218" s="8" t="str">
        <x:v>yes</x:v>
      </x:c>
      <x:c r="H218" s="8" t="n">
        <x:v>752</x:v>
      </x:c>
      <x:c r="I218" s="8" t="str">
        <x:v>Potential duplicate: this paragraph is repeated in another section to test deduplication and chunk metadata.</x:v>
      </x:c>
      <x:c r="J218" s="8" t="n">
        <x:f>IF(G218="yes",1,0)</x:f>
        <x:v>1</x:v>
      </x:c>
      <x:c r="K218" s="8" t="n">
        <x:f>IF(G218="no",5,IF(E218&gt;800,3,1))</x:f>
        <x:v>1</x:v>
      </x:c>
      <x:c r="L218" s="8" t="str">
        <x:v>https://learn.microsoft.com/en-us/microsoft-edge/webview2/concepts/security</x:v>
      </x:c>
    </x:row>
    <x:row r="219">
      <x:c r="A219" s="8" t="str">
        <x:v>evt-00215</x:v>
      </x:c>
      <x:c r="B219" s="10" t="n">
        <x:v>46241.940671296295</x:v>
      </x:c>
      <x:c r="C219" s="8" t="str">
        <x:v>iOS</x:v>
      </x:c>
      <x:c r="D219" s="8" t="str">
        <x:v>file upload</x:v>
      </x:c>
      <x:c r="E219" s="12" t="n">
        <x:v>932</x:v>
      </x:c>
      <x:c r="F219" s="12" t="n">
        <x:v>771.4</x:v>
      </x:c>
      <x:c r="G219" s="8" t="str">
        <x:v>yes</x:v>
      </x:c>
      <x:c r="H219" s="8" t="n">
        <x:v>384</x:v>
      </x:c>
      <x:c r="I219" s="8"/>
      <x:c r="J219" s="8" t="n">
        <x:f>IF(G219="yes",1,0)</x:f>
        <x:v>1</x:v>
      </x:c>
      <x:c r="K219" s="8" t="n">
        <x:f>IF(G219="no",5,IF(E219&gt;800,3,1))</x:f>
        <x:v>3</x:v>
      </x:c>
      <x:c r="L219" s="8" t="str">
        <x:v>https://developer.apple.com/documentation/webkit/wkwebview</x:v>
      </x:c>
    </x:row>
    <x:row r="220">
      <x:c r="A220" s="8" t="str">
        <x:v>evt-00216</x:v>
      </x:c>
      <x:c r="B220" s="10" t="n">
        <x:v>46273.98304398148</x:v>
      </x:c>
      <x:c r="C220" s="8" t="str">
        <x:v>macOS</x:v>
      </x:c>
      <x:c r="D220" s="8" t="str">
        <x:v>file upload</x:v>
      </x:c>
      <x:c r="E220" s="12" t="n">
        <x:v>747</x:v>
      </x:c>
      <x:c r="F220" s="12" t="n">
        <x:v>658.2</x:v>
      </x:c>
      <x:c r="G220" s="8" t="str">
        <x:v>yes</x:v>
      </x:c>
      <x:c r="H220" s="8" t="n">
        <x:v>28</x:v>
      </x:c>
      <x:c r="I220" s="8" t="str">
        <x:v>A blank cell here is intentional. The source workbook has notes placed away from the nearest table.</x:v>
      </x:c>
      <x:c r="J220" s="8" t="n">
        <x:f>IF(G220="yes",1,0)</x:f>
        <x:v>1</x:v>
      </x:c>
      <x:c r="K220" s="8" t="n">
        <x:f>IF(G220="no",5,IF(E220&gt;800,3,1))</x:f>
        <x:v>1</x:v>
      </x:c>
      <x:c r="L220" s="8" t="str">
        <x:v>https://learn.microsoft.com/en-us/microsoft-edge/webview2/concepts/security</x:v>
      </x:c>
    </x:row>
    <x:row r="221">
      <x:c r="A221" s="8" t="str">
        <x:v>evt-00217</x:v>
      </x:c>
      <x:c r="B221" s="10" t="n">
        <x:v>46031.025416666664</x:v>
      </x:c>
      <x:c r="C221" s="8" t="str">
        <x:v>Windows</x:v>
      </x:c>
      <x:c r="D221" s="8" t="str">
        <x:v>large JSON</x:v>
      </x:c>
      <x:c r="E221" s="12" t="n">
        <x:v>659</x:v>
      </x:c>
      <x:c r="F221" s="12" t="n">
        <x:v>672</x:v>
      </x:c>
      <x:c r="G221" s="8" t="str">
        <x:v>yes</x:v>
      </x:c>
      <x:c r="H221" s="8" t="n">
        <x:v>133</x:v>
      </x:c>
      <x:c r="I221" s="8" t="str">
        <x:v>The owner field was not captured in the original notes, so classification should remain conservative.</x:v>
      </x:c>
      <x:c r="J221" s="8" t="n">
        <x:f>IF(G221="yes",1,0)</x:f>
        <x:v>1</x:v>
      </x:c>
      <x:c r="K221" s="8" t="n">
        <x:f>IF(G221="no",5,IF(E221&gt;800,3,1))</x:f>
        <x:v>1</x:v>
      </x:c>
      <x:c r="L221" s="8" t="str">
        <x:v>https://developer.android.com/reference/android/webkit/WebView</x:v>
      </x:c>
    </x:row>
    <x:row r="222">
      <x:c r="A222" s="8" t="str">
        <x:v>evt-00218</x:v>
      </x:c>
      <x:c r="B222" s="10" t="n">
        <x:v>46063.06778935185</x:v>
      </x:c>
      <x:c r="C222" s="8" t="str">
        <x:v>Linux</x:v>
      </x:c>
      <x:c r="D222" s="8" t="str">
        <x:v>large JSON</x:v>
      </x:c>
      <x:c r="E222" s="12" t="n">
        <x:v>203</x:v>
      </x:c>
      <x:c r="F222" s="12" t="n">
        <x:v>819.7</x:v>
      </x:c>
      <x:c r="G222" s="8" t="str">
        <x:v>yes</x:v>
      </x:c>
      <x:c r="H222" s="8" t="n">
        <x:v>728</x:v>
      </x:c>
      <x:c r="I222" s="8"/>
      <x:c r="J222" s="8" t="n">
        <x:f>IF(G222="yes",1,0)</x:f>
        <x:v>1</x:v>
      </x:c>
      <x:c r="K222" s="8" t="n">
        <x:f>IF(G222="no",5,IF(E222&gt;800,3,1))</x:f>
        <x:v>1</x:v>
      </x:c>
      <x:c r="L222" s="8"/>
    </x:row>
    <x:row r="223">
      <x:c r="A223" s="8" t="str">
        <x:v>evt-00219</x:v>
      </x:c>
      <x:c r="B223" s="10" t="n">
        <x:v>46092.11016203704</x:v>
      </x:c>
      <x:c r="C223" s="8" t="str">
        <x:v>Windows</x:v>
      </x:c>
      <x:c r="D223" s="8" t="str">
        <x:v>navigation</x:v>
      </x:c>
      <x:c r="E223" s="12" t="n">
        <x:v>43</x:v>
      </x:c>
      <x:c r="F223" s="12" t="n">
        <x:v>883.3</x:v>
      </x:c>
      <x:c r="G223" s="8" t="str">
        <x:v>yes</x:v>
      </x:c>
      <x:c r="H223" s="8" t="n">
        <x:v>786</x:v>
      </x:c>
      <x:c r="I223" s="8"/>
      <x:c r="J223" s="8" t="n">
        <x:f>IF(G223="yes",1,0)</x:f>
        <x:v>1</x:v>
      </x:c>
      <x:c r="K223" s="8" t="n">
        <x:f>IF(G223="no",5,IF(E223&gt;800,3,1))</x:f>
        <x:v>1</x:v>
      </x:c>
      <x:c r="L223" s="8"/>
    </x:row>
    <x:row r="224">
      <x:c r="A224" s="8" t="str">
        <x:v>evt-00220</x:v>
      </x:c>
      <x:c r="B224" s="10" t="n">
        <x:v>46124.15253472222</x:v>
      </x:c>
      <x:c r="C224" s="8" t="str">
        <x:v>iOS</x:v>
      </x:c>
      <x:c r="D224" s="8" t="str">
        <x:v>reload</x:v>
      </x:c>
      <x:c r="E224" s="12" t="n">
        <x:v>256</x:v>
      </x:c>
      <x:c r="F224" s="12" t="n">
        <x:v>90.4</x:v>
      </x:c>
      <x:c r="G224" s="8" t="str">
        <x:v>yes</x:v>
      </x:c>
      <x:c r="H224" s="8" t="n">
        <x:v>186</x:v>
      </x:c>
      <x:c r="I224" s="8" t="str">
        <x:v>The bridge callback is stable for small payloads, but large JSON messages show visible delay during navigation.</x:v>
      </x:c>
      <x:c r="J224" s="8" t="n">
        <x:f>IF(G224="yes",1,0)</x:f>
        <x:v>1</x:v>
      </x:c>
      <x:c r="K224" s="8" t="n">
        <x:f>IF(G224="no",5,IF(E224&gt;800,3,1))</x:f>
        <x:v>1</x:v>
      </x:c>
      <x:c r="L224" s="8"/>
    </x:row>
    <x:row r="225">
      <x:c r="A225" s="8" t="str">
        <x:v>evt-00221</x:v>
      </x:c>
      <x:c r="B225" s="10" t="n">
        <x:v>46155.19490740741</x:v>
      </x:c>
      <x:c r="C225" s="8" t="str">
        <x:v>Android</x:v>
      </x:c>
      <x:c r="D225" s="8" t="str">
        <x:v>navigation</x:v>
      </x:c>
      <x:c r="E225" s="12" t="n">
        <x:v>1458</x:v>
      </x:c>
      <x:c r="F225" s="12" t="n">
        <x:v>689</x:v>
      </x:c>
      <x:c r="G225" s="8" t="str">
        <x:v>yes</x:v>
      </x:c>
      <x:c r="H225" s="8" t="n">
        <x:v>98</x:v>
      </x:c>
      <x:c r="I225" s="8" t="str">
        <x:v>This sentence is long enough to exercise wrapping and downstream chunk boundaries in Markdown output.</x:v>
      </x:c>
      <x:c r="J225" s="8" t="n">
        <x:f>IF(G225="yes",1,0)</x:f>
        <x:v>1</x:v>
      </x:c>
      <x:c r="K225" s="8" t="n">
        <x:f>IF(G225="no",5,IF(E225&gt;800,3,1))</x:f>
        <x:v>3</x:v>
      </x:c>
      <x:c r="L225" s="8" t="str">
        <x:v>https://developer.microsoft.com/en-us/microsoft-edge/webview2/</x:v>
      </x:c>
    </x:row>
    <x:row r="226">
      <x:c r="A226" s="8" t="str">
        <x:v>evt-00222</x:v>
      </x:c>
      <x:c r="B226" s="10" t="n">
        <x:v>46187.237280092595</x:v>
      </x:c>
      <x:c r="C226" s="8" t="str">
        <x:v>iOS</x:v>
      </x:c>
      <x:c r="D226" s="8" t="str">
        <x:v>reload</x:v>
      </x:c>
      <x:c r="E226" s="12" t="n">
        <x:v>1190</x:v>
      </x:c>
      <x:c r="F226" s="12" t="n">
        <x:v>930.5</x:v>
      </x:c>
      <x:c r="G226" s="8" t="str">
        <x:v>yes</x:v>
      </x:c>
      <x:c r="H226" s="8" t="n">
        <x:v>699</x:v>
      </x:c>
      <x:c r="I226" s="8"/>
      <x:c r="J226" s="8" t="n">
        <x:f>IF(G226="yes",1,0)</x:f>
        <x:v>1</x:v>
      </x:c>
      <x:c r="K226" s="8" t="n">
        <x:f>IF(G226="no",5,IF(E226&gt;800,3,1))</x:f>
        <x:v>3</x:v>
      </x:c>
      <x:c r="L226" s="8" t="str">
        <x:v>https://github.com/react-native-webview/react-native-webview</x:v>
      </x:c>
    </x:row>
    <x:row r="227">
      <x:c r="A227" s="8" t="str">
        <x:v>evt-00223</x:v>
      </x:c>
      <x:c r="B227" s="10" t="n">
        <x:v>46218.279652777775</x:v>
      </x:c>
      <x:c r="C227" s="8" t="str">
        <x:v>Android</x:v>
      </x:c>
      <x:c r="D227" s="8" t="str">
        <x:v>download</x:v>
      </x:c>
      <x:c r="E227" s="12" t="n">
        <x:v>1049</x:v>
      </x:c>
      <x:c r="F227" s="12" t="n">
        <x:v>221.4</x:v>
      </x:c>
      <x:c r="G227" s="8" t="str">
        <x:v>yes</x:v>
      </x:c>
      <x:c r="H227" s="8" t="n">
        <x:v>281</x:v>
      </x:c>
      <x:c r="I227" s="8"/>
      <x:c r="J227" s="8" t="n">
        <x:f>IF(G227="yes",1,0)</x:f>
        <x:v>1</x:v>
      </x:c>
      <x:c r="K227" s="8" t="n">
        <x:f>IF(G227="no",5,IF(E227&gt;800,3,1))</x:f>
        <x:v>3</x:v>
      </x:c>
      <x:c r="L227" s="8" t="str">
        <x:v>https://learn.microsoft.com/en-us/microsoft-edge/webview2/concepts/security</x:v>
      </x:c>
    </x:row>
    <x:row r="228">
      <x:c r="A228" s="8" t="str">
        <x:v>evt-00224</x:v>
      </x:c>
      <x:c r="B228" s="10" t="n">
        <x:v>46250.32202546296</x:v>
      </x:c>
      <x:c r="C228" s="8" t="str">
        <x:v>Windows</x:v>
      </x:c>
      <x:c r="D228" s="8" t="str">
        <x:v>navigation</x:v>
      </x:c>
      <x:c r="E228" s="12" t="n">
        <x:v>351</x:v>
      </x:c>
      <x:c r="F228" s="12" t="n">
        <x:v>482.9</x:v>
      </x:c>
      <x:c r="G228" s="8" t="str">
        <x:v>yes</x:v>
      </x:c>
      <x:c r="H228" s="8" t="n">
        <x:v>26</x:v>
      </x:c>
      <x:c r="I228" s="8"/>
      <x:c r="J228" s="8" t="n">
        <x:f>IF(G228="yes",1,0)</x:f>
        <x:v>1</x:v>
      </x:c>
      <x:c r="K228" s="8" t="n">
        <x:f>IF(G228="no",5,IF(E228&gt;800,3,1))</x:f>
        <x:v>1</x:v>
      </x:c>
      <x:c r="L228" s="8"/>
    </x:row>
    <x:row r="229">
      <x:c r="A229" s="8" t="str">
        <x:v>evt-00225</x:v>
      </x:c>
      <x:c r="B229" s="10" t="n">
        <x:v>46282.36439814815</x:v>
      </x:c>
      <x:c r="C229" s="8" t="str">
        <x:v>Android</x:v>
      </x:c>
      <x:c r="D229" s="8" t="str">
        <x:v>navigation</x:v>
      </x:c>
      <x:c r="E229" s="12" t="n">
        <x:v>298</x:v>
      </x:c>
      <x:c r="F229" s="12" t="n">
        <x:v>563.5</x:v>
      </x:c>
      <x:c r="G229" s="8" t="str">
        <x:v>yes</x:v>
      </x:c>
      <x:c r="H229" s="8" t="n">
        <x:v>621</x:v>
      </x:c>
      <x:c r="I229" s="8" t="str">
        <x:v>Follow-up: compare the result when the network security policy is relaxed versus when it is enforced.</x:v>
      </x:c>
      <x:c r="J229" s="8" t="n">
        <x:f>IF(G229="yes",1,0)</x:f>
        <x:v>1</x:v>
      </x:c>
      <x:c r="K229" s="8" t="n">
        <x:f>IF(G229="no",5,IF(E229&gt;800,3,1))</x:f>
        <x:v>1</x:v>
      </x:c>
      <x:c r="L229" s="8"/>
    </x:row>
    <x:row r="230">
      <x:c r="A230" s="8" t="str">
        <x:v>evt-00226</x:v>
      </x:c>
      <x:c r="B230" s="10" t="n">
        <x:v>46040.40677083333</x:v>
      </x:c>
      <x:c r="C230" s="8" t="str">
        <x:v>Android</x:v>
      </x:c>
      <x:c r="D230" s="8" t="str">
        <x:v>cold launch</x:v>
      </x:c>
      <x:c r="E230" s="12" t="n">
        <x:v>921</x:v>
      </x:c>
      <x:c r="F230" s="12" t="n">
        <x:v>464.9</x:v>
      </x:c>
      <x:c r="G230" s="8" t="str">
        <x:v>yes</x:v>
      </x:c>
      <x:c r="H230" s="8" t="n">
        <x:v>465</x:v>
      </x:c>
      <x:c r="I230" s="8"/>
      <x:c r="J230" s="8" t="n">
        <x:f>IF(G230="yes",1,0)</x:f>
        <x:v>1</x:v>
      </x:c>
      <x:c r="K230" s="8" t="n">
        <x:f>IF(G230="no",5,IF(E230&gt;800,3,1))</x:f>
        <x:v>3</x:v>
      </x:c>
      <x:c r="L230" s="8" t="str">
        <x:v>https://developer.microsoft.com/en-us/microsoft-edge/webview2/</x:v>
      </x:c>
    </x:row>
    <x:row r="231">
      <x:c r="A231" s="8" t="str">
        <x:v>evt-00227</x:v>
      </x:c>
      <x:c r="B231" s="10" t="n">
        <x:v>46072.44914351852</x:v>
      </x:c>
      <x:c r="C231" s="8" t="str">
        <x:v>Linux</x:v>
      </x:c>
      <x:c r="D231" s="8" t="str">
        <x:v>large JSON</x:v>
      </x:c>
      <x:c r="E231" s="12" t="n">
        <x:v>855</x:v>
      </x:c>
      <x:c r="F231" s="12" t="n">
        <x:v>905.7</x:v>
      </x:c>
      <x:c r="G231" s="8" t="str">
        <x:v>yes</x:v>
      </x:c>
      <x:c r="H231" s="8" t="n">
        <x:v>725</x:v>
      </x:c>
      <x:c r="I231" s="8"/>
      <x:c r="J231" s="8" t="n">
        <x:f>IF(G231="yes",1,0)</x:f>
        <x:v>1</x:v>
      </x:c>
      <x:c r="K231" s="8" t="n">
        <x:f>IF(G231="no",5,IF(E231&gt;800,3,1))</x:f>
        <x:v>3</x:v>
      </x:c>
      <x:c r="L231" s="8"/>
    </x:row>
    <x:row r="232">
      <x:c r="A232" s="8" t="str">
        <x:v>evt-00228</x:v>
      </x:c>
      <x:c r="B232" s="10" t="n">
        <x:v>46101.49151620371</x:v>
      </x:c>
      <x:c r="C232" s="8" t="str">
        <x:v>Android</x:v>
      </x:c>
      <x:c r="D232" s="8" t="str">
        <x:v>bridge message</x:v>
      </x:c>
      <x:c r="E232" s="12" t="n">
        <x:v>349</x:v>
      </x:c>
      <x:c r="F232" s="12" t="n">
        <x:v>697.2</x:v>
      </x:c>
      <x:c r="G232" s="8" t="str">
        <x:v>yes</x:v>
      </x:c>
      <x:c r="H232" s="8" t="n">
        <x:v>807</x:v>
      </x:c>
      <x:c r="I232" s="8"/>
      <x:c r="J232" s="8" t="n">
        <x:f>IF(G232="yes",1,0)</x:f>
        <x:v>1</x:v>
      </x:c>
      <x:c r="K232" s="8" t="n">
        <x:f>IF(G232="no",5,IF(E232&gt;800,3,1))</x:f>
        <x:v>1</x:v>
      </x:c>
      <x:c r="L232" s="8"/>
    </x:row>
    <x:row r="233">
      <x:c r="A233" s="8" t="str">
        <x:v>evt-00229</x:v>
      </x:c>
      <x:c r="B233" s="10" t="n">
        <x:v>46133.53388888889</x:v>
      </x:c>
      <x:c r="C233" s="8" t="str">
        <x:v>Windows</x:v>
      </x:c>
      <x:c r="D233" s="8" t="str">
        <x:v>large JSON</x:v>
      </x:c>
      <x:c r="E233" s="12" t="n">
        <x:v>443</x:v>
      </x:c>
      <x:c r="F233" s="12" t="n">
        <x:v>372.3</x:v>
      </x:c>
      <x:c r="G233" s="8" t="str">
        <x:v>yes</x:v>
      </x:c>
      <x:c r="H233" s="8" t="n">
        <x:v>357</x:v>
      </x:c>
      <x:c r="I233" s="8" t="str">
        <x:v>Verify behavior on a cold start and after the page reloads without destroying the native view.</x:v>
      </x:c>
      <x:c r="J233" s="8" t="n">
        <x:f>IF(G233="yes",1,0)</x:f>
        <x:v>1</x:v>
      </x:c>
      <x:c r="K233" s="8" t="n">
        <x:f>IF(G233="no",5,IF(E233&gt;800,3,1))</x:f>
        <x:v>1</x:v>
      </x:c>
      <x:c r="L233" s="8"/>
    </x:row>
    <x:row r="234">
      <x:c r="A234" s="8" t="str">
        <x:v>evt-00230</x:v>
      </x:c>
      <x:c r="B234" s="10" t="n">
        <x:v>46164.576261574075</x:v>
      </x:c>
      <x:c r="C234" s="8" t="str">
        <x:v>macOS</x:v>
      </x:c>
      <x:c r="D234" s="8" t="str">
        <x:v>reload</x:v>
      </x:c>
      <x:c r="E234" s="12" t="n">
        <x:v>472</x:v>
      </x:c>
      <x:c r="F234" s="12" t="n">
        <x:v>786.4</x:v>
      </x:c>
      <x:c r="G234" s="8" t="str">
        <x:v>yes</x:v>
      </x:c>
      <x:c r="H234" s="8" t="n">
        <x:v>905</x:v>
      </x:c>
      <x:c r="I234" s="8"/>
      <x:c r="J234" s="8" t="n">
        <x:f>IF(G234="yes",1,0)</x:f>
        <x:v>1</x:v>
      </x:c>
      <x:c r="K234" s="8" t="n">
        <x:f>IF(G234="no",5,IF(E234&gt;800,3,1))</x:f>
        <x:v>1</x:v>
      </x:c>
      <x:c r="L234" s="8"/>
    </x:row>
    <x:row r="235">
      <x:c r="A235" s="8" t="str">
        <x:v>evt-00231</x:v>
      </x:c>
      <x:c r="B235" s="10" t="n">
        <x:v>46196.61863425926</x:v>
      </x:c>
      <x:c r="C235" s="8" t="str">
        <x:v>Android</x:v>
      </x:c>
      <x:c r="D235" s="8" t="str">
        <x:v>bridge message</x:v>
      </x:c>
      <x:c r="E235" s="12" t="n">
        <x:v>516</x:v>
      </x:c>
      <x:c r="F235" s="12" t="n">
        <x:v>847.8</x:v>
      </x:c>
      <x:c r="G235" s="8" t="str">
        <x:v>yes</x:v>
      </x:c>
      <x:c r="H235" s="8" t="n">
        <x:v>266</x:v>
      </x:c>
      <x:c r="I235" s="8"/>
      <x:c r="J235" s="8" t="n">
        <x:f>IF(G235="yes",1,0)</x:f>
        <x:v>1</x:v>
      </x:c>
      <x:c r="K235" s="8" t="n">
        <x:f>IF(G235="no",5,IF(E235&gt;800,3,1))</x:f>
        <x:v>1</x:v>
      </x:c>
      <x:c r="L235" s="8"/>
    </x:row>
    <x:row r="236">
      <x:c r="A236" s="8" t="str">
        <x:v>evt-00232</x:v>
      </x:c>
      <x:c r="B236" s="10" t="n">
        <x:v>46227.66100694444</x:v>
      </x:c>
      <x:c r="C236" s="8" t="str">
        <x:v>iOS</x:v>
      </x:c>
      <x:c r="D236" s="8" t="str">
        <x:v>large JSON</x:v>
      </x:c>
      <x:c r="E236" s="12" t="n">
        <x:v>142</x:v>
      </x:c>
      <x:c r="F236" s="12" t="n">
        <x:v>863.6</x:v>
      </x:c>
      <x:c r="G236" s="8" t="str">
        <x:v>yes</x:v>
      </x:c>
      <x:c r="H236" s="8" t="n">
        <x:v>499</x:v>
      </x:c>
      <x:c r="I236" s="8"/>
      <x:c r="J236" s="8" t="n">
        <x:f>IF(G236="yes",1,0)</x:f>
        <x:v>1</x:v>
      </x:c>
      <x:c r="K236" s="8" t="n">
        <x:f>IF(G236="no",5,IF(E236&gt;800,3,1))</x:f>
        <x:v>1</x:v>
      </x:c>
      <x:c r="L236" s="8" t="str">
        <x:v>https://github.com/react-native-webview/react-native-webview</x:v>
      </x:c>
    </x:row>
    <x:row r="237">
      <x:c r="A237" s="8" t="str">
        <x:v>evt-00233</x:v>
      </x:c>
      <x:c r="B237" s="10" t="n">
        <x:v>46259.70337962963</x:v>
      </x:c>
      <x:c r="C237" s="8" t="str">
        <x:v>iOS</x:v>
      </x:c>
      <x:c r="D237" s="8" t="str">
        <x:v>navigation</x:v>
      </x:c>
      <x:c r="E237" s="12" t="n">
        <x:v>680</x:v>
      </x:c>
      <x:c r="F237" s="12" t="n">
        <x:v>688.4</x:v>
      </x:c>
      <x:c r="G237" s="8" t="str">
        <x:v>yes</x:v>
      </x:c>
      <x:c r="H237" s="8" t="n">
        <x:v>495</x:v>
      </x:c>
      <x:c r="I237" s="8" t="str">
        <x:v>Potential duplicate: this paragraph is repeated in another section to test deduplication and chunk metadata.</x:v>
      </x:c>
      <x:c r="J237" s="8" t="n">
        <x:f>IF(G237="yes",1,0)</x:f>
        <x:v>1</x:v>
      </x:c>
      <x:c r="K237" s="8" t="n">
        <x:f>IF(G237="no",5,IF(E237&gt;800,3,1))</x:f>
        <x:v>1</x:v>
      </x:c>
      <x:c r="L237" s="8" t="str">
        <x:v>https://developer.microsoft.com/en-us/microsoft-edge/webview2/</x:v>
      </x:c>
    </x:row>
    <x:row r="238">
      <x:c r="A238" s="8" t="str">
        <x:v>evt-00234</x:v>
      </x:c>
      <x:c r="B238" s="10" t="n">
        <x:v>46291.74575231481</x:v>
      </x:c>
      <x:c r="C238" s="8" t="str">
        <x:v>Windows</x:v>
      </x:c>
      <x:c r="D238" s="8" t="str">
        <x:v>navigation</x:v>
      </x:c>
      <x:c r="E238" s="12" t="n">
        <x:v>1290</x:v>
      </x:c>
      <x:c r="F238" s="12" t="n">
        <x:v>788.8</x:v>
      </x:c>
      <x:c r="G238" s="8" t="str">
        <x:v>no</x:v>
      </x:c>
      <x:c r="H238" s="8" t="n">
        <x:v>512</x:v>
      </x:c>
      <x:c r="I238" s="8" t="str">
        <x:v>This sentence is long enough to exercise wrapping and downstream chunk boundaries in Markdown output.</x:v>
      </x:c>
      <x:c r="J238" s="8" t="n">
        <x:f>IF(G238="yes",1,0)</x:f>
        <x:v>0</x:v>
      </x:c>
      <x:c r="K238" s="8" t="n">
        <x:f>IF(G238="no",5,IF(E238&gt;800,3,1))</x:f>
        <x:v>5</x:v>
      </x:c>
      <x:c r="L238" s="8" t="str">
        <x:v>https://developer.apple.com/documentation/webkit/wkwebview</x:v>
      </x:c>
    </x:row>
    <x:row r="239">
      <x:c r="A239" s="8" t="str">
        <x:v>evt-00235</x:v>
      </x:c>
      <x:c r="B239" s="10" t="n">
        <x:v>46023.788125</x:v>
      </x:c>
      <x:c r="C239" s="8" t="str">
        <x:v>Linux</x:v>
      </x:c>
      <x:c r="D239" s="8" t="str">
        <x:v>cold launch</x:v>
      </x:c>
      <x:c r="E239" s="12" t="n">
        <x:v>1173</x:v>
      </x:c>
      <x:c r="F239" s="12" t="n">
        <x:v>814.7</x:v>
      </x:c>
      <x:c r="G239" s="8" t="str">
        <x:v>yes</x:v>
      </x:c>
      <x:c r="H239" s="8" t="n">
        <x:v>692</x:v>
      </x:c>
      <x:c r="I239" s="8"/>
      <x:c r="J239" s="8" t="n">
        <x:f>IF(G239="yes",1,0)</x:f>
        <x:v>1</x:v>
      </x:c>
      <x:c r="K239" s="8" t="n">
        <x:f>IF(G239="no",5,IF(E239&gt;800,3,1))</x:f>
        <x:v>3</x:v>
      </x:c>
      <x:c r="L239" s="8"/>
    </x:row>
    <x:row r="240">
      <x:c r="A240" s="8" t="str">
        <x:v>evt-00236</x:v>
      </x:c>
      <x:c r="B240" s="10" t="n">
        <x:v>46055.83049768519</x:v>
      </x:c>
      <x:c r="C240" s="8" t="str">
        <x:v>Android</x:v>
      </x:c>
      <x:c r="D240" s="8" t="str">
        <x:v>reload</x:v>
      </x:c>
      <x:c r="E240" s="12" t="n">
        <x:v>891</x:v>
      </x:c>
      <x:c r="F240" s="12" t="n">
        <x:v>657.8</x:v>
      </x:c>
      <x:c r="G240" s="8" t="str">
        <x:v>yes</x:v>
      </x:c>
      <x:c r="H240" s="8" t="n">
        <x:v>350</x:v>
      </x:c>
      <x:c r="I240" s="8" t="str">
        <x:v>The owner field was not captured in the original notes, so classification should remain conservative.</x:v>
      </x:c>
      <x:c r="J240" s="8" t="n">
        <x:f>IF(G240="yes",1,0)</x:f>
        <x:v>1</x:v>
      </x:c>
      <x:c r="K240" s="8" t="n">
        <x:f>IF(G240="no",5,IF(E240&gt;800,3,1))</x:f>
        <x:v>3</x:v>
      </x:c>
      <x:c r="L240" s="8"/>
    </x:row>
    <x:row r="241">
      <x:c r="A241" s="8" t="str">
        <x:v>evt-00237</x:v>
      </x:c>
      <x:c r="B241" s="10" t="n">
        <x:v>46084.87287037037</x:v>
      </x:c>
      <x:c r="C241" s="8" t="str">
        <x:v>Android</x:v>
      </x:c>
      <x:c r="D241" s="8" t="str">
        <x:v>bridge message</x:v>
      </x:c>
      <x:c r="E241" s="12" t="n">
        <x:v>1380</x:v>
      </x:c>
      <x:c r="F241" s="12" t="n">
        <x:v>301.9</x:v>
      </x:c>
      <x:c r="G241" s="8" t="str">
        <x:v>yes</x:v>
      </x:c>
      <x:c r="H241" s="8" t="n">
        <x:v>240</x:v>
      </x:c>
      <x:c r="I241" s="8"/>
      <x:c r="J241" s="8" t="n">
        <x:f>IF(G241="yes",1,0)</x:f>
        <x:v>1</x:v>
      </x:c>
      <x:c r="K241" s="8" t="n">
        <x:f>IF(G241="no",5,IF(E241&gt;800,3,1))</x:f>
        <x:v>3</x:v>
      </x:c>
      <x:c r="L241" s="8"/>
    </x:row>
    <x:row r="242">
      <x:c r="A242" s="8" t="str">
        <x:v>evt-00238</x:v>
      </x:c>
      <x:c r="B242" s="10" t="n">
        <x:v>46116.915243055555</x:v>
      </x:c>
      <x:c r="C242" s="8" t="str">
        <x:v>iOS</x:v>
      </x:c>
      <x:c r="D242" s="8" t="str">
        <x:v>large JSON</x:v>
      </x:c>
      <x:c r="E242" s="12" t="n">
        <x:v>1356</x:v>
      </x:c>
      <x:c r="F242" s="12" t="n">
        <x:v>928.3</x:v>
      </x:c>
      <x:c r="G242" s="8" t="str">
        <x:v>yes</x:v>
      </x:c>
      <x:c r="H242" s="8" t="n">
        <x:v>452</x:v>
      </x:c>
      <x:c r="I242" s="8" t="str">
        <x:v>Follow-up: compare the result when the network security policy is relaxed versus when it is enforced.</x:v>
      </x:c>
      <x:c r="J242" s="8" t="n">
        <x:f>IF(G242="yes",1,0)</x:f>
        <x:v>1</x:v>
      </x:c>
      <x:c r="K242" s="8" t="n">
        <x:f>IF(G242="no",5,IF(E242&gt;800,3,1))</x:f>
        <x:v>3</x:v>
      </x:c>
      <x:c r="L242" s="8"/>
    </x:row>
    <x:row r="243">
      <x:c r="A243" s="8" t="str">
        <x:v>evt-00239</x:v>
      </x:c>
      <x:c r="B243" s="10" t="n">
        <x:v>46147.95761574074</x:v>
      </x:c>
      <x:c r="C243" s="8" t="str">
        <x:v>iOS</x:v>
      </x:c>
      <x:c r="D243" s="8" t="str">
        <x:v>cold launch</x:v>
      </x:c>
      <x:c r="E243" s="12" t="n">
        <x:v>1271</x:v>
      </x:c>
      <x:c r="F243" s="12" t="n">
        <x:v>525.5</x:v>
      </x:c>
      <x:c r="G243" s="8" t="str">
        <x:v>yes</x:v>
      </x:c>
      <x:c r="H243" s="8" t="n">
        <x:v>130</x:v>
      </x:c>
      <x:c r="I243" s="8" t="str">
        <x:v>Observed in a local test run: the content rendered, but the console warning appeared twice.</x:v>
      </x:c>
      <x:c r="J243" s="8" t="n">
        <x:f>IF(G243="yes",1,0)</x:f>
        <x:v>1</x:v>
      </x:c>
      <x:c r="K243" s="8" t="n">
        <x:f>IF(G243="no",5,IF(E243&gt;800,3,1))</x:f>
        <x:v>3</x:v>
      </x:c>
      <x:c r="L243" s="8"/>
    </x:row>
    <x:row r="244">
      <x:c r="A244" s="8" t="str">
        <x:v>evt-00240</x:v>
      </x:c>
      <x:c r="B244" s="10" t="n">
        <x:v>46179.99998842592</x:v>
      </x:c>
      <x:c r="C244" s="8" t="str">
        <x:v>iOS</x:v>
      </x:c>
      <x:c r="D244" s="8" t="str">
        <x:v>navigation</x:v>
      </x:c>
      <x:c r="E244" s="12" t="n">
        <x:v>816</x:v>
      </x:c>
      <x:c r="F244" s="12" t="n">
        <x:v>351.7</x:v>
      </x:c>
      <x:c r="G244" s="8" t="str">
        <x:v>yes</x:v>
      </x:c>
      <x:c r="H244" s="8" t="n">
        <x:v>131</x:v>
      </x:c>
      <x:c r="I244" s="8" t="str">
        <x:v>Potential duplicate: this paragraph is repeated in another section to test deduplication and chunk metadata.</x:v>
      </x:c>
      <x:c r="J244" s="8" t="n">
        <x:f>IF(G244="yes",1,0)</x:f>
        <x:v>1</x:v>
      </x:c>
      <x:c r="K244" s="8" t="n">
        <x:f>IF(G244="no",5,IF(E244&gt;800,3,1))</x:f>
        <x:v>3</x:v>
      </x:c>
      <x:c r="L244" s="8"/>
    </x:row>
    <x:row r="245">
      <x:c r="A245" s="8" t="str">
        <x:v>evt-00241</x:v>
      </x:c>
      <x:c r="B245" s="10" t="n">
        <x:v>46210</x:v>
      </x:c>
      <x:c r="C245" s="8" t="str">
        <x:v>iOS</x:v>
      </x:c>
      <x:c r="D245" s="8" t="str">
        <x:v>download</x:v>
      </x:c>
      <x:c r="E245" s="12" t="n">
        <x:v>977</x:v>
      </x:c>
      <x:c r="F245" s="12" t="n">
        <x:v>210.5</x:v>
      </x:c>
      <x:c r="G245" s="8" t="str">
        <x:v>yes</x:v>
      </x:c>
      <x:c r="H245" s="8" t="n">
        <x:v>200</x:v>
      </x:c>
      <x:c r="I245" s="8" t="str">
        <x:v>This sentence is long enough to exercise wrapping and downstream chunk boundaries in Markdown output.</x:v>
      </x:c>
      <x:c r="J245" s="8" t="n">
        <x:f>IF(G245="yes",1,0)</x:f>
        <x:v>1</x:v>
      </x:c>
      <x:c r="K245" s="8" t="n">
        <x:f>IF(G245="no",5,IF(E245&gt;800,3,1))</x:f>
        <x:v>3</x:v>
      </x:c>
      <x:c r="L245" s="8" t="str">
        <x:v>https://github.com/react-native-webview/react-native-webview</x:v>
      </x:c>
    </x:row>
    <x:row r="246">
      <x:c r="A246" s="8" t="str">
        <x:v>evt-00242</x:v>
      </x:c>
      <x:c r="B246" s="10" t="n">
        <x:v>46242.04237268519</x:v>
      </x:c>
      <x:c r="C246" s="8" t="str">
        <x:v>macOS</x:v>
      </x:c>
      <x:c r="D246" s="8" t="str">
        <x:v>download</x:v>
      </x:c>
      <x:c r="E246" s="12" t="n">
        <x:v>1003</x:v>
      </x:c>
      <x:c r="F246" s="12" t="n">
        <x:v>417</x:v>
      </x:c>
      <x:c r="G246" s="8" t="str">
        <x:v>yes</x:v>
      </x:c>
      <x:c r="H246" s="8" t="n">
        <x:v>223</x:v>
      </x:c>
      <x:c r="I246" s="8"/>
      <x:c r="J246" s="8" t="n">
        <x:f>IF(G246="yes",1,0)</x:f>
        <x:v>1</x:v>
      </x:c>
      <x:c r="K246" s="8" t="n">
        <x:f>IF(G246="no",5,IF(E246&gt;800,3,1))</x:f>
        <x:v>3</x:v>
      </x:c>
      <x:c r="L246" s="8"/>
    </x:row>
    <x:row r="247">
      <x:c r="A247" s="8" t="str">
        <x:v>evt-00243</x:v>
      </x:c>
      <x:c r="B247" s="10" t="n">
        <x:v>46274.08474537037</x:v>
      </x:c>
      <x:c r="C247" s="8" t="str">
        <x:v>Windows</x:v>
      </x:c>
      <x:c r="D247" s="8" t="str">
        <x:v>large JSON</x:v>
      </x:c>
      <x:c r="E247" s="12" t="n">
        <x:v>1224</x:v>
      </x:c>
      <x:c r="F247" s="12" t="n">
        <x:v>113.7</x:v>
      </x:c>
      <x:c r="G247" s="8" t="str">
        <x:v>yes</x:v>
      </x:c>
      <x:c r="H247" s="8" t="n">
        <x:v>95</x:v>
      </x:c>
      <x:c r="I247" s="8"/>
      <x:c r="J247" s="8" t="n">
        <x:f>IF(G247="yes",1,0)</x:f>
        <x:v>1</x:v>
      </x:c>
      <x:c r="K247" s="8" t="n">
        <x:f>IF(G247="no",5,IF(E247&gt;800,3,1))</x:f>
        <x:v>3</x:v>
      </x:c>
      <x:c r="L247" s="8" t="str">
        <x:v>https://developer.android.com/reference/android/webkit/WebView</x:v>
      </x:c>
    </x:row>
    <x:row r="248">
      <x:c r="A248" s="8" t="str">
        <x:v>evt-00244</x:v>
      </x:c>
      <x:c r="B248" s="10" t="n">
        <x:v>46032.127118055556</x:v>
      </x:c>
      <x:c r="C248" s="8" t="str">
        <x:v>Android</x:v>
      </x:c>
      <x:c r="D248" s="8" t="str">
        <x:v>cold launch</x:v>
      </x:c>
      <x:c r="E248" s="12" t="n">
        <x:v>313</x:v>
      </x:c>
      <x:c r="F248" s="12" t="n">
        <x:v>911.9</x:v>
      </x:c>
      <x:c r="G248" s="8" t="str">
        <x:v>yes</x:v>
      </x:c>
      <x:c r="H248" s="8" t="n">
        <x:v>553</x:v>
      </x:c>
      <x:c r="I248" s="8" t="str">
        <x:v>The bridge callback is stable for small payloads, but large JSON messages show visible delay during navigation.</x:v>
      </x:c>
      <x:c r="J248" s="8" t="n">
        <x:f>IF(G248="yes",1,0)</x:f>
        <x:v>1</x:v>
      </x:c>
      <x:c r="K248" s="8" t="n">
        <x:f>IF(G248="no",5,IF(E248&gt;800,3,1))</x:f>
        <x:v>1</x:v>
      </x:c>
      <x:c r="L248" s="8"/>
    </x:row>
    <x:row r="249">
      <x:c r="A249" s="8" t="str">
        <x:v>evt-00245</x:v>
      </x:c>
      <x:c r="B249" s="10" t="n">
        <x:v>46064.169490740744</x:v>
      </x:c>
      <x:c r="C249" s="8" t="str">
        <x:v>Android</x:v>
      </x:c>
      <x:c r="D249" s="8" t="str">
        <x:v>navigation</x:v>
      </x:c>
      <x:c r="E249" s="12" t="n">
        <x:v>1259</x:v>
      </x:c>
      <x:c r="F249" s="12" t="n">
        <x:v>207.9</x:v>
      </x:c>
      <x:c r="G249" s="8" t="str">
        <x:v>yes</x:v>
      </x:c>
      <x:c r="H249" s="8" t="n">
        <x:v>811</x:v>
      </x:c>
      <x:c r="I249" s="8"/>
      <x:c r="J249" s="8" t="n">
        <x:f>IF(G249="yes",1,0)</x:f>
        <x:v>1</x:v>
      </x:c>
      <x:c r="K249" s="8" t="n">
        <x:f>IF(G249="no",5,IF(E249&gt;800,3,1))</x:f>
        <x:v>3</x:v>
      </x:c>
      <x:c r="L249" s="8" t="str">
        <x:v>https://developer.apple.com/documentation/webkit/wkwebview</x:v>
      </x:c>
    </x:row>
    <x:row r="250">
      <x:c r="A250" s="8" t="str">
        <x:v>evt-00246</x:v>
      </x:c>
      <x:c r="B250" s="10" t="n">
        <x:v>46093.211863425924</x:v>
      </x:c>
      <x:c r="C250" s="8" t="str">
        <x:v>macOS</x:v>
      </x:c>
      <x:c r="D250" s="8" t="str">
        <x:v>large JSON</x:v>
      </x:c>
      <x:c r="E250" s="12" t="n">
        <x:v>876</x:v>
      </x:c>
      <x:c r="F250" s="12" t="n">
        <x:v>586.4</x:v>
      </x:c>
      <x:c r="G250" s="8" t="str">
        <x:v>yes</x:v>
      </x:c>
      <x:c r="H250" s="8" t="n">
        <x:v>755</x:v>
      </x:c>
      <x:c r="I250" s="8"/>
      <x:c r="J250" s="8" t="n">
        <x:f>IF(G250="yes",1,0)</x:f>
        <x:v>1</x:v>
      </x:c>
      <x:c r="K250" s="8" t="n">
        <x:f>IF(G250="no",5,IF(E250&gt;800,3,1))</x:f>
        <x:v>3</x:v>
      </x:c>
      <x:c r="L250" s="8"/>
    </x:row>
    <x:row r="251">
      <x:c r="A251" s="8" t="str">
        <x:v>evt-00247</x:v>
      </x:c>
      <x:c r="B251" s="10" t="n">
        <x:v>46125.25423611111</x:v>
      </x:c>
      <x:c r="C251" s="8" t="str">
        <x:v>Android</x:v>
      </x:c>
      <x:c r="D251" s="8" t="str">
        <x:v>download</x:v>
      </x:c>
      <x:c r="E251" s="12" t="n">
        <x:v>645</x:v>
      </x:c>
      <x:c r="F251" s="12" t="n">
        <x:v>551.2</x:v>
      </x:c>
      <x:c r="G251" s="8" t="str">
        <x:v>yes</x:v>
      </x:c>
      <x:c r="H251" s="8" t="n">
        <x:v>363</x:v>
      </x:c>
      <x:c r="I251" s="8" t="str">
        <x:v>A blank cell here is intentional. The source workbook has notes placed away from the nearest table.</x:v>
      </x:c>
      <x:c r="J251" s="8" t="n">
        <x:f>IF(G251="yes",1,0)</x:f>
        <x:v>1</x:v>
      </x:c>
      <x:c r="K251" s="8" t="n">
        <x:f>IF(G251="no",5,IF(E251&gt;800,3,1))</x:f>
        <x:v>1</x:v>
      </x:c>
      <x:c r="L251" s="8" t="str">
        <x:v>https://learn.microsoft.com/en-us/microsoft-edge/webview2/concepts/security</x:v>
      </x:c>
    </x:row>
    <x:row r="252">
      <x:c r="A252" s="8" t="str">
        <x:v>evt-00248</x:v>
      </x:c>
      <x:c r="B252" s="10" t="n">
        <x:v>46156.2966087963</x:v>
      </x:c>
      <x:c r="C252" s="8" t="str">
        <x:v>Linux</x:v>
      </x:c>
      <x:c r="D252" s="8" t="str">
        <x:v>cold launch</x:v>
      </x:c>
      <x:c r="E252" s="12" t="n">
        <x:v>624</x:v>
      </x:c>
      <x:c r="F252" s="12" t="n">
        <x:v>438.5</x:v>
      </x:c>
      <x:c r="G252" s="8" t="str">
        <x:v>no</x:v>
      </x:c>
      <x:c r="H252" s="8" t="n">
        <x:v>704</x:v>
      </x:c>
      <x:c r="I252" s="8" t="str">
        <x:v>Potential duplicate: this paragraph is repeated in another section to test deduplication and chunk metadata.</x:v>
      </x:c>
      <x:c r="J252" s="8" t="n">
        <x:f>IF(G252="yes",1,0)</x:f>
        <x:v>0</x:v>
      </x:c>
      <x:c r="K252" s="8" t="n">
        <x:f>IF(G252="no",5,IF(E252&gt;800,3,1))</x:f>
        <x:v>5</x:v>
      </x:c>
      <x:c r="L252" s="8"/>
    </x:row>
    <x:row r="253">
      <x:c r="A253" s="8" t="str">
        <x:v>evt-00249</x:v>
      </x:c>
      <x:c r="B253" s="10" t="n">
        <x:v>46188.33898148148</x:v>
      </x:c>
      <x:c r="C253" s="8" t="str">
        <x:v>iOS</x:v>
      </x:c>
      <x:c r="D253" s="8" t="str">
        <x:v>cold launch</x:v>
      </x:c>
      <x:c r="E253" s="12" t="n">
        <x:v>1063</x:v>
      </x:c>
      <x:c r="F253" s="12" t="n">
        <x:v>119.4</x:v>
      </x:c>
      <x:c r="G253" s="8" t="str">
        <x:v>yes</x:v>
      </x:c>
      <x:c r="H253" s="8" t="n">
        <x:v>631</x:v>
      </x:c>
      <x:c r="I253" s="8" t="str">
        <x:v>Follow-up: compare the result when the network security policy is relaxed versus when it is enforced.</x:v>
      </x:c>
      <x:c r="J253" s="8" t="n">
        <x:f>IF(G253="yes",1,0)</x:f>
        <x:v>1</x:v>
      </x:c>
      <x:c r="K253" s="8" t="n">
        <x:f>IF(G253="no",5,IF(E253&gt;800,3,1))</x:f>
        <x:v>3</x:v>
      </x:c>
      <x:c r="L253" s="8"/>
    </x:row>
    <x:row r="254">
      <x:c r="A254" s="8" t="str">
        <x:v>evt-00250</x:v>
      </x:c>
      <x:c r="B254" s="10" t="n">
        <x:v>46219.38135416667</x:v>
      </x:c>
      <x:c r="C254" s="8" t="str">
        <x:v>macOS</x:v>
      </x:c>
      <x:c r="D254" s="8" t="str">
        <x:v>navigation</x:v>
      </x:c>
      <x:c r="E254" s="12" t="n">
        <x:v>298</x:v>
      </x:c>
      <x:c r="F254" s="12" t="n">
        <x:v>371.4</x:v>
      </x:c>
      <x:c r="G254" s="8" t="str">
        <x:v>yes</x:v>
      </x:c>
      <x:c r="H254" s="8" t="n">
        <x:v>45</x:v>
      </x:c>
      <x:c r="I254" s="8" t="str">
        <x:v>The owner field was not captured in the original notes, so classification should remain conservative.</x:v>
      </x:c>
      <x:c r="J254" s="8" t="n">
        <x:f>IF(G254="yes",1,0)</x:f>
        <x:v>1</x:v>
      </x:c>
      <x:c r="K254" s="8" t="n">
        <x:f>IF(G254="no",5,IF(E254&gt;800,3,1))</x:f>
        <x:v>1</x:v>
      </x:c>
      <x:c r="L254" s="8"/>
    </x:row>
    <x:row r="255">
      <x:c r="A255" s="8" t="str">
        <x:v>evt-00251</x:v>
      </x:c>
      <x:c r="B255" s="10" t="n">
        <x:v>46251.423726851855</x:v>
      </x:c>
      <x:c r="C255" s="8" t="str">
        <x:v>Windows</x:v>
      </x:c>
      <x:c r="D255" s="8" t="str">
        <x:v>navigation</x:v>
      </x:c>
      <x:c r="E255" s="12" t="n">
        <x:v>905</x:v>
      </x:c>
      <x:c r="F255" s="12" t="n">
        <x:v>740</x:v>
      </x:c>
      <x:c r="G255" s="8" t="str">
        <x:v>yes</x:v>
      </x:c>
      <x:c r="H255" s="8" t="n">
        <x:v>223</x:v>
      </x:c>
      <x:c r="I255" s="8"/>
      <x:c r="J255" s="8" t="n">
        <x:f>IF(G255="yes",1,0)</x:f>
        <x:v>1</x:v>
      </x:c>
      <x:c r="K255" s="8" t="n">
        <x:f>IF(G255="no",5,IF(E255&gt;800,3,1))</x:f>
        <x:v>3</x:v>
      </x:c>
      <x:c r="L255" s="8" t="str">
        <x:v>https://developer.apple.com/documentation/webkit/wkwebview</x:v>
      </x:c>
    </x:row>
    <x:row r="256">
      <x:c r="A256" s="8" t="str">
        <x:v>evt-00252</x:v>
      </x:c>
      <x:c r="B256" s="10" t="n">
        <x:v>46283.466099537036</x:v>
      </x:c>
      <x:c r="C256" s="8" t="str">
        <x:v>Linux</x:v>
      </x:c>
      <x:c r="D256" s="8" t="str">
        <x:v>reload</x:v>
      </x:c>
      <x:c r="E256" s="12" t="n">
        <x:v>1385</x:v>
      </x:c>
      <x:c r="F256" s="12" t="n">
        <x:v>818.7</x:v>
      </x:c>
      <x:c r="G256" s="8" t="str">
        <x:v>yes</x:v>
      </x:c>
      <x:c r="H256" s="8" t="n">
        <x:v>866</x:v>
      </x:c>
      <x:c r="I256" s="8"/>
      <x:c r="J256" s="8" t="n">
        <x:f>IF(G256="yes",1,0)</x:f>
        <x:v>1</x:v>
      </x:c>
      <x:c r="K256" s="8" t="n">
        <x:f>IF(G256="no",5,IF(E256&gt;800,3,1))</x:f>
        <x:v>3</x:v>
      </x:c>
      <x:c r="L256" s="8"/>
    </x:row>
    <x:row r="257">
      <x:c r="A257" s="8" t="str">
        <x:v>evt-00253</x:v>
      </x:c>
      <x:c r="B257" s="10" t="n">
        <x:v>46041.508472222224</x:v>
      </x:c>
      <x:c r="C257" s="8" t="str">
        <x:v>Windows</x:v>
      </x:c>
      <x:c r="D257" s="8" t="str">
        <x:v>navigation</x:v>
      </x:c>
      <x:c r="E257" s="12" t="n">
        <x:v>1289</x:v>
      </x:c>
      <x:c r="F257" s="12" t="n">
        <x:v>278.2</x:v>
      </x:c>
      <x:c r="G257" s="8" t="str">
        <x:v>yes</x:v>
      </x:c>
      <x:c r="H257" s="8" t="n">
        <x:v>287</x:v>
      </x:c>
      <x:c r="I257" s="8" t="str">
        <x:v>Verify behavior on a cold start and after the page reloads without destroying the native view.</x:v>
      </x:c>
      <x:c r="J257" s="8" t="n">
        <x:f>IF(G257="yes",1,0)</x:f>
        <x:v>1</x:v>
      </x:c>
      <x:c r="K257" s="8" t="n">
        <x:f>IF(G257="no",5,IF(E257&gt;800,3,1))</x:f>
        <x:v>3</x:v>
      </x:c>
      <x:c r="L257" s="8"/>
    </x:row>
    <x:row r="258">
      <x:c r="A258" s="8" t="str">
        <x:v>evt-00254</x:v>
      </x:c>
      <x:c r="B258" s="10" t="n">
        <x:v>46073.550844907404</x:v>
      </x:c>
      <x:c r="C258" s="8" t="str">
        <x:v>iOS</x:v>
      </x:c>
      <x:c r="D258" s="8" t="str">
        <x:v>bridge message</x:v>
      </x:c>
      <x:c r="E258" s="12" t="n">
        <x:v>431</x:v>
      </x:c>
      <x:c r="F258" s="12" t="n">
        <x:v>234.1</x:v>
      </x:c>
      <x:c r="G258" s="8" t="str">
        <x:v>yes</x:v>
      </x:c>
      <x:c r="H258" s="8" t="n">
        <x:v>722</x:v>
      </x:c>
      <x:c r="I258" s="8"/>
      <x:c r="J258" s="8" t="n">
        <x:f>IF(G258="yes",1,0)</x:f>
        <x:v>1</x:v>
      </x:c>
      <x:c r="K258" s="8" t="n">
        <x:f>IF(G258="no",5,IF(E258&gt;800,3,1))</x:f>
        <x:v>1</x:v>
      </x:c>
      <x:c r="L258" s="8"/>
    </x:row>
    <x:row r="259">
      <x:c r="A259" s="8" t="str">
        <x:v>evt-00255</x:v>
      </x:c>
      <x:c r="B259" s="10" t="n">
        <x:v>46102.59321759259</x:v>
      </x:c>
      <x:c r="C259" s="8" t="str">
        <x:v>Linux</x:v>
      </x:c>
      <x:c r="D259" s="8" t="str">
        <x:v>cold launch</x:v>
      </x:c>
      <x:c r="E259" s="12" t="n">
        <x:v>179</x:v>
      </x:c>
      <x:c r="F259" s="12" t="n">
        <x:v>514.3</x:v>
      </x:c>
      <x:c r="G259" s="8" t="str">
        <x:v>yes</x:v>
      </x:c>
      <x:c r="H259" s="8" t="n">
        <x:v>657</x:v>
      </x:c>
      <x:c r="I259" s="8"/>
      <x:c r="J259" s="8" t="n">
        <x:f>IF(G259="yes",1,0)</x:f>
        <x:v>1</x:v>
      </x:c>
      <x:c r="K259" s="8" t="n">
        <x:f>IF(G259="no",5,IF(E259&gt;800,3,1))</x:f>
        <x:v>1</x:v>
      </x:c>
      <x:c r="L259" s="8"/>
    </x:row>
    <x:row r="260">
      <x:c r="A260" s="8" t="str">
        <x:v>evt-00256</x:v>
      </x:c>
      <x:c r="B260" s="10" t="n">
        <x:v>46134.63559027778</x:v>
      </x:c>
      <x:c r="C260" s="8" t="str">
        <x:v>iOS</x:v>
      </x:c>
      <x:c r="D260" s="8" t="str">
        <x:v>download</x:v>
      </x:c>
      <x:c r="E260" s="12" t="n">
        <x:v>424</x:v>
      </x:c>
      <x:c r="F260" s="12" t="n">
        <x:v>548.8</x:v>
      </x:c>
      <x:c r="G260" s="8" t="str">
        <x:v>yes</x:v>
      </x:c>
      <x:c r="H260" s="8" t="n">
        <x:v>145</x:v>
      </x:c>
      <x:c r="I260" s="8" t="str">
        <x:v>A blank cell here is intentional. The source workbook has notes placed away from the nearest table.</x:v>
      </x:c>
      <x:c r="J260" s="8" t="n">
        <x:f>IF(G260="yes",1,0)</x:f>
        <x:v>1</x:v>
      </x:c>
      <x:c r="K260" s="8" t="n">
        <x:f>IF(G260="no",5,IF(E260&gt;800,3,1))</x:f>
        <x:v>1</x:v>
      </x:c>
      <x:c r="L260" s="8"/>
    </x:row>
    <x:row r="261">
      <x:c r="A261" s="8" t="str">
        <x:v>evt-00257</x:v>
      </x:c>
      <x:c r="B261" s="10" t="n">
        <x:v>46165.67796296296</x:v>
      </x:c>
      <x:c r="C261" s="8" t="str">
        <x:v>Android</x:v>
      </x:c>
      <x:c r="D261" s="8" t="str">
        <x:v>file upload</x:v>
      </x:c>
      <x:c r="E261" s="12" t="n">
        <x:v>399</x:v>
      </x:c>
      <x:c r="F261" s="12" t="n">
        <x:v>136.9</x:v>
      </x:c>
      <x:c r="G261" s="8" t="str">
        <x:v>yes</x:v>
      </x:c>
      <x:c r="H261" s="8" t="n">
        <x:v>138</x:v>
      </x:c>
      <x:c r="I261" s="8" t="str">
        <x:v>Potential duplicate: this paragraph is repeated in another section to test deduplication and chunk metadata.</x:v>
      </x:c>
      <x:c r="J261" s="8" t="n">
        <x:f>IF(G261="yes",1,0)</x:f>
        <x:v>1</x:v>
      </x:c>
      <x:c r="K261" s="8" t="n">
        <x:f>IF(G261="no",5,IF(E261&gt;800,3,1))</x:f>
        <x:v>1</x:v>
      </x:c>
      <x:c r="L261" s="8" t="str">
        <x:v>https://github.com/react-native-webview/react-native-webview</x:v>
      </x:c>
    </x:row>
    <x:row r="262">
      <x:c r="A262" s="8" t="str">
        <x:v>evt-00258</x:v>
      </x:c>
      <x:c r="B262" s="10" t="n">
        <x:v>46197.72033564815</x:v>
      </x:c>
      <x:c r="C262" s="8" t="str">
        <x:v>Linux</x:v>
      </x:c>
      <x:c r="D262" s="8" t="str">
        <x:v>large JSON</x:v>
      </x:c>
      <x:c r="E262" s="12" t="n">
        <x:v>831</x:v>
      </x:c>
      <x:c r="F262" s="12" t="n">
        <x:v>798.1</x:v>
      </x:c>
      <x:c r="G262" s="8" t="str">
        <x:v>yes</x:v>
      </x:c>
      <x:c r="H262" s="8" t="n">
        <x:v>616</x:v>
      </x:c>
      <x:c r="I262" s="8" t="str">
        <x:v>Potential duplicate: this paragraph is repeated in another section to test deduplication and chunk metadata.</x:v>
      </x:c>
      <x:c r="J262" s="8" t="n">
        <x:f>IF(G262="yes",1,0)</x:f>
        <x:v>1</x:v>
      </x:c>
      <x:c r="K262" s="8" t="n">
        <x:f>IF(G262="no",5,IF(E262&gt;800,3,1))</x:f>
        <x:v>3</x:v>
      </x:c>
      <x:c r="L262" s="8"/>
    </x:row>
    <x:row r="263">
      <x:c r="A263" s="8" t="str">
        <x:v>evt-00259</x:v>
      </x:c>
      <x:c r="B263" s="10" t="n">
        <x:v>46228.762708333335</x:v>
      </x:c>
      <x:c r="C263" s="8" t="str">
        <x:v>Linux</x:v>
      </x:c>
      <x:c r="D263" s="8" t="str">
        <x:v>large JSON</x:v>
      </x:c>
      <x:c r="E263" s="12" t="n">
        <x:v>376</x:v>
      </x:c>
      <x:c r="F263" s="12" t="n">
        <x:v>117.7</x:v>
      </x:c>
      <x:c r="G263" s="8" t="str">
        <x:v>yes</x:v>
      </x:c>
      <x:c r="H263" s="8" t="n">
        <x:v>279</x:v>
      </x:c>
      <x:c r="I263" s="8"/>
      <x:c r="J263" s="8" t="n">
        <x:f>IF(G263="yes",1,0)</x:f>
        <x:v>1</x:v>
      </x:c>
      <x:c r="K263" s="8" t="n">
        <x:f>IF(G263="no",5,IF(E263&gt;800,3,1))</x:f>
        <x:v>1</x:v>
      </x:c>
      <x:c r="L263" s="8"/>
    </x:row>
    <x:row r="264">
      <x:c r="A264" s="8" t="str">
        <x:v>evt-00260</x:v>
      </x:c>
      <x:c r="B264" s="10" t="n">
        <x:v>46260.805081018516</x:v>
      </x:c>
      <x:c r="C264" s="8" t="str">
        <x:v>iOS</x:v>
      </x:c>
      <x:c r="D264" s="8" t="str">
        <x:v>file upload</x:v>
      </x:c>
      <x:c r="E264" s="12" t="n">
        <x:v>819</x:v>
      </x:c>
      <x:c r="F264" s="12" t="n">
        <x:v>699.8</x:v>
      </x:c>
      <x:c r="G264" s="8" t="str">
        <x:v>no</x:v>
      </x:c>
      <x:c r="H264" s="8" t="n">
        <x:v>551</x:v>
      </x:c>
      <x:c r="I264" s="8"/>
      <x:c r="J264" s="8" t="n">
        <x:f>IF(G264="yes",1,0)</x:f>
        <x:v>0</x:v>
      </x:c>
      <x:c r="K264" s="8" t="n">
        <x:f>IF(G264="no",5,IF(E264&gt;800,3,1))</x:f>
        <x:v>5</x:v>
      </x:c>
      <x:c r="L264" s="8" t="str">
        <x:v>https://learn.microsoft.com/en-us/microsoft-edge/webview2/concepts/security</x:v>
      </x:c>
    </x:row>
    <x:row r="265">
      <x:c r="A265" s="8" t="str">
        <x:v>evt-00261</x:v>
      </x:c>
      <x:c r="B265" s="10" t="n">
        <x:v>46266.847453703704</x:v>
      </x:c>
      <x:c r="C265" s="8" t="str">
        <x:v>Windows</x:v>
      </x:c>
      <x:c r="D265" s="8" t="str">
        <x:v>large JSON</x:v>
      </x:c>
      <x:c r="E265" s="12" t="n">
        <x:v>198</x:v>
      </x:c>
      <x:c r="F265" s="12" t="n">
        <x:v>761.9</x:v>
      </x:c>
      <x:c r="G265" s="8" t="str">
        <x:v>yes</x:v>
      </x:c>
      <x:c r="H265" s="8" t="n">
        <x:v>761</x:v>
      </x:c>
      <x:c r="I265" s="8" t="str">
        <x:v>A blank cell here is intentional. The source workbook has notes placed away from the nearest table.</x:v>
      </x:c>
      <x:c r="J265" s="8" t="n">
        <x:f>IF(G265="yes",1,0)</x:f>
        <x:v>1</x:v>
      </x:c>
      <x:c r="K265" s="8" t="n">
        <x:f>IF(G265="no",5,IF(E265&gt;800,3,1))</x:f>
        <x:v>1</x:v>
      </x:c>
      <x:c r="L265" s="8"/>
    </x:row>
    <x:row r="266">
      <x:c r="A266" s="8" t="str">
        <x:v>evt-00262</x:v>
      </x:c>
      <x:c r="B266" s="10" t="n">
        <x:v>46024.88982638889</x:v>
      </x:c>
      <x:c r="C266" s="8" t="str">
        <x:v>Android</x:v>
      </x:c>
      <x:c r="D266" s="8" t="str">
        <x:v>bridge message</x:v>
      </x:c>
      <x:c r="E266" s="12" t="n">
        <x:v>1329</x:v>
      </x:c>
      <x:c r="F266" s="12" t="n">
        <x:v>913.3</x:v>
      </x:c>
      <x:c r="G266" s="8" t="str">
        <x:v>yes</x:v>
      </x:c>
      <x:c r="H266" s="8" t="n">
        <x:v>625</x:v>
      </x:c>
      <x:c r="I266" s="8"/>
      <x:c r="J266" s="8" t="n">
        <x:f>IF(G266="yes",1,0)</x:f>
        <x:v>1</x:v>
      </x:c>
      <x:c r="K266" s="8" t="n">
        <x:f>IF(G266="no",5,IF(E266&gt;800,3,1))</x:f>
        <x:v>3</x:v>
      </x:c>
      <x:c r="L266" s="8" t="str">
        <x:v>https://learn.microsoft.com/en-us/microsoft-edge/webview2/concepts/security</x:v>
      </x:c>
    </x:row>
    <x:row r="267">
      <x:c r="A267" s="8" t="str">
        <x:v>evt-00263</x:v>
      </x:c>
      <x:c r="B267" s="10" t="n">
        <x:v>46056.93219907407</x:v>
      </x:c>
      <x:c r="C267" s="8" t="str">
        <x:v>iOS</x:v>
      </x:c>
      <x:c r="D267" s="8" t="str">
        <x:v>reload</x:v>
      </x:c>
      <x:c r="E267" s="12" t="n">
        <x:v>1019</x:v>
      </x:c>
      <x:c r="F267" s="12" t="n">
        <x:v>151.3</x:v>
      </x:c>
      <x:c r="G267" s="8" t="str">
        <x:v>yes</x:v>
      </x:c>
      <x:c r="H267" s="8" t="n">
        <x:v>814</x:v>
      </x:c>
      <x:c r="I267" s="8"/>
      <x:c r="J267" s="8" t="n">
        <x:f>IF(G267="yes",1,0)</x:f>
        <x:v>1</x:v>
      </x:c>
      <x:c r="K267" s="8" t="n">
        <x:f>IF(G267="no",5,IF(E267&gt;800,3,1))</x:f>
        <x:v>3</x:v>
      </x:c>
      <x:c r="L267" s="8"/>
    </x:row>
    <x:row r="268">
      <x:c r="A268" s="8" t="str">
        <x:v>evt-00264</x:v>
      </x:c>
      <x:c r="B268" s="10" t="n">
        <x:v>46085.97457175926</x:v>
      </x:c>
      <x:c r="C268" s="8" t="str">
        <x:v>Linux</x:v>
      </x:c>
      <x:c r="D268" s="8" t="str">
        <x:v>download</x:v>
      </x:c>
      <x:c r="E268" s="12" t="n">
        <x:v>177</x:v>
      </x:c>
      <x:c r="F268" s="12" t="n">
        <x:v>847.7</x:v>
      </x:c>
      <x:c r="G268" s="8" t="str">
        <x:v>yes</x:v>
      </x:c>
      <x:c r="H268" s="8" t="n">
        <x:v>199</x:v>
      </x:c>
      <x:c r="I268" s="8"/>
      <x:c r="J268" s="8" t="n">
        <x:f>IF(G268="yes",1,0)</x:f>
        <x:v>1</x:v>
      </x:c>
      <x:c r="K268" s="8" t="n">
        <x:f>IF(G268="no",5,IF(E268&gt;800,3,1))</x:f>
        <x:v>1</x:v>
      </x:c>
      <x:c r="L268" s="8" t="str">
        <x:v>https://developer.android.com/reference/android/webkit/WebView</x:v>
      </x:c>
    </x:row>
    <x:row r="269">
      <x:c r="A269" s="8" t="str">
        <x:v>evt-00265</x:v>
      </x:c>
      <x:c r="B269" s="10" t="n">
        <x:v>46117.01694444445</x:v>
      </x:c>
      <x:c r="C269" s="8" t="str">
        <x:v>Windows</x:v>
      </x:c>
      <x:c r="D269" s="8" t="str">
        <x:v>file upload</x:v>
      </x:c>
      <x:c r="E269" s="12" t="n">
        <x:v>867</x:v>
      </x:c>
      <x:c r="F269" s="12" t="n">
        <x:v>661.3</x:v>
      </x:c>
      <x:c r="G269" s="8" t="str">
        <x:v>yes</x:v>
      </x:c>
      <x:c r="H269" s="8" t="n">
        <x:v>901</x:v>
      </x:c>
      <x:c r="I269" s="8" t="str">
        <x:v>Follow-up: compare the result when the network security policy is relaxed versus when it is enforced.</x:v>
      </x:c>
      <x:c r="J269" s="8" t="n">
        <x:f>IF(G269="yes",1,0)</x:f>
        <x:v>1</x:v>
      </x:c>
      <x:c r="K269" s="8" t="n">
        <x:f>IF(G269="no",5,IF(E269&gt;800,3,1))</x:f>
        <x:v>3</x:v>
      </x:c>
      <x:c r="L269" s="8" t="str">
        <x:v>https://developer.apple.com/documentation/webkit/wkwebview</x:v>
      </x:c>
    </x:row>
    <x:row r="270">
      <x:c r="A270" s="8" t="str">
        <x:v>evt-00266</x:v>
      </x:c>
      <x:c r="B270" s="10" t="n">
        <x:v>46148.05931712963</x:v>
      </x:c>
      <x:c r="C270" s="8" t="str">
        <x:v>iOS</x:v>
      </x:c>
      <x:c r="D270" s="8" t="str">
        <x:v>reload</x:v>
      </x:c>
      <x:c r="E270" s="12" t="n">
        <x:v>773</x:v>
      </x:c>
      <x:c r="F270" s="12" t="n">
        <x:v>382.2</x:v>
      </x:c>
      <x:c r="G270" s="8" t="str">
        <x:v>yes</x:v>
      </x:c>
      <x:c r="H270" s="8" t="n">
        <x:v>896</x:v>
      </x:c>
      <x:c r="I270" s="8" t="str">
        <x:v>A blank cell here is intentional. The source workbook has notes placed away from the nearest table.</x:v>
      </x:c>
      <x:c r="J270" s="8" t="n">
        <x:f>IF(G270="yes",1,0)</x:f>
        <x:v>1</x:v>
      </x:c>
      <x:c r="K270" s="8" t="n">
        <x:f>IF(G270="no",5,IF(E270&gt;800,3,1))</x:f>
        <x:v>1</x:v>
      </x:c>
      <x:c r="L270" s="8" t="str">
        <x:v>https://developer.android.com/reference/android/webkit/WebView</x:v>
      </x:c>
    </x:row>
    <x:row r="271">
      <x:c r="A271" s="8" t="str">
        <x:v>evt-00267</x:v>
      </x:c>
      <x:c r="B271" s="10" t="n">
        <x:v>46180.101689814815</x:v>
      </x:c>
      <x:c r="C271" s="8" t="str">
        <x:v>macOS</x:v>
      </x:c>
      <x:c r="D271" s="8" t="str">
        <x:v>bridge message</x:v>
      </x:c>
      <x:c r="E271" s="12" t="n">
        <x:v>757</x:v>
      </x:c>
      <x:c r="F271" s="12" t="n">
        <x:v>582.2</x:v>
      </x:c>
      <x:c r="G271" s="8" t="str">
        <x:v>no</x:v>
      </x:c>
      <x:c r="H271" s="8" t="n">
        <x:v>860</x:v>
      </x:c>
      <x:c r="I271" s="8"/>
      <x:c r="J271" s="8" t="n">
        <x:f>IF(G271="yes",1,0)</x:f>
        <x:v>0</x:v>
      </x:c>
      <x:c r="K271" s="8" t="n">
        <x:f>IF(G271="no",5,IF(E271&gt;800,3,1))</x:f>
        <x:v>5</x:v>
      </x:c>
      <x:c r="L271" s="8"/>
    </x:row>
    <x:row r="272">
      <x:c r="A272" s="8" t="str">
        <x:v>evt-00268</x:v>
      </x:c>
      <x:c r="B272" s="10" t="n">
        <x:v>46211.1440625</x:v>
      </x:c>
      <x:c r="C272" s="8" t="str">
        <x:v>Windows</x:v>
      </x:c>
      <x:c r="D272" s="8" t="str">
        <x:v>cold launch</x:v>
      </x:c>
      <x:c r="E272" s="12" t="n">
        <x:v>1324</x:v>
      </x:c>
      <x:c r="F272" s="12" t="n">
        <x:v>349.4</x:v>
      </x:c>
      <x:c r="G272" s="8" t="str">
        <x:v>no</x:v>
      </x:c>
      <x:c r="H272" s="8" t="n">
        <x:v>263</x:v>
      </x:c>
      <x:c r="I272" s="8" t="str">
        <x:v>Potential duplicate: this paragraph is repeated in another section to test deduplication and chunk metadata.</x:v>
      </x:c>
      <x:c r="J272" s="8" t="n">
        <x:f>IF(G272="yes",1,0)</x:f>
        <x:v>0</x:v>
      </x:c>
      <x:c r="K272" s="8" t="n">
        <x:f>IF(G272="no",5,IF(E272&gt;800,3,1))</x:f>
        <x:v>5</x:v>
      </x:c>
      <x:c r="L272" s="8" t="str">
        <x:v>https://github.com/react-native-webview/react-native-webview</x:v>
      </x:c>
    </x:row>
    <x:row r="273">
      <x:c r="A273" s="8" t="str">
        <x:v>evt-00269</x:v>
      </x:c>
      <x:c r="B273" s="10" t="n">
        <x:v>46243.186435185184</x:v>
      </x:c>
      <x:c r="C273" s="8" t="str">
        <x:v>iOS</x:v>
      </x:c>
      <x:c r="D273" s="8" t="str">
        <x:v>download</x:v>
      </x:c>
      <x:c r="E273" s="12" t="n">
        <x:v>902</x:v>
      </x:c>
      <x:c r="F273" s="12" t="n">
        <x:v>908.5</x:v>
      </x:c>
      <x:c r="G273" s="8" t="str">
        <x:v>yes</x:v>
      </x:c>
      <x:c r="H273" s="8" t="n">
        <x:v>328</x:v>
      </x:c>
      <x:c r="I273" s="8" t="str">
        <x:v>A blank cell here is intentional. The source workbook has notes placed away from the nearest table.</x:v>
      </x:c>
      <x:c r="J273" s="8" t="n">
        <x:f>IF(G273="yes",1,0)</x:f>
        <x:v>1</x:v>
      </x:c>
      <x:c r="K273" s="8" t="n">
        <x:f>IF(G273="no",5,IF(E273&gt;800,3,1))</x:f>
        <x:v>3</x:v>
      </x:c>
      <x:c r="L273" s="8" t="str">
        <x:v>https://github.com/react-native-webview/react-native-webview</x:v>
      </x:c>
    </x:row>
    <x:row r="274">
      <x:c r="A274" s="8" t="str">
        <x:v>evt-00270</x:v>
      </x:c>
      <x:c r="B274" s="10" t="n">
        <x:v>46275.22880787037</x:v>
      </x:c>
      <x:c r="C274" s="8" t="str">
        <x:v>Linux</x:v>
      </x:c>
      <x:c r="D274" s="8" t="str">
        <x:v>reload</x:v>
      </x:c>
      <x:c r="E274" s="12" t="n">
        <x:v>346</x:v>
      </x:c>
      <x:c r="F274" s="12" t="n">
        <x:v>293.7</x:v>
      </x:c>
      <x:c r="G274" s="8" t="str">
        <x:v>yes</x:v>
      </x:c>
      <x:c r="H274" s="8" t="n">
        <x:v>278</x:v>
      </x:c>
      <x:c r="I274" s="8"/>
      <x:c r="J274" s="8" t="n">
        <x:f>IF(G274="yes",1,0)</x:f>
        <x:v>1</x:v>
      </x:c>
      <x:c r="K274" s="8" t="n">
        <x:f>IF(G274="no",5,IF(E274&gt;800,3,1))</x:f>
        <x:v>1</x:v>
      </x:c>
      <x:c r="L274" s="8"/>
    </x:row>
    <x:row r="275">
      <x:c r="A275" s="8" t="str">
        <x:v>evt-00271</x:v>
      </x:c>
      <x:c r="B275" s="10" t="n">
        <x:v>46033.27118055556</x:v>
      </x:c>
      <x:c r="C275" s="8" t="str">
        <x:v>Android</x:v>
      </x:c>
      <x:c r="D275" s="8" t="str">
        <x:v>reload</x:v>
      </x:c>
      <x:c r="E275" s="12" t="n">
        <x:v>741</x:v>
      </x:c>
      <x:c r="F275" s="12" t="n">
        <x:v>781.8</x:v>
      </x:c>
      <x:c r="G275" s="8" t="str">
        <x:v>yes</x:v>
      </x:c>
      <x:c r="H275" s="8" t="n">
        <x:v>769</x:v>
      </x:c>
      <x:c r="I275" s="8" t="str">
        <x:v>Observed in a local test run: the content rendered, but the console warning appeared twice.</x:v>
      </x:c>
      <x:c r="J275" s="8" t="n">
        <x:f>IF(G275="yes",1,0)</x:f>
        <x:v>1</x:v>
      </x:c>
      <x:c r="K275" s="8" t="n">
        <x:f>IF(G275="no",5,IF(E275&gt;800,3,1))</x:f>
        <x:v>1</x:v>
      </x:c>
      <x:c r="L275" s="8" t="str">
        <x:v>https://developer.android.com/reference/android/webkit/WebView</x:v>
      </x:c>
    </x:row>
    <x:row r="276">
      <x:c r="A276" s="8" t="str">
        <x:v>evt-00272</x:v>
      </x:c>
      <x:c r="B276" s="10" t="n">
        <x:v>46065.31355324074</x:v>
      </x:c>
      <x:c r="C276" s="8" t="str">
        <x:v>Windows</x:v>
      </x:c>
      <x:c r="D276" s="8" t="str">
        <x:v>cold launch</x:v>
      </x:c>
      <x:c r="E276" s="12" t="n">
        <x:v>598</x:v>
      </x:c>
      <x:c r="F276" s="12" t="n">
        <x:v>794.3</x:v>
      </x:c>
      <x:c r="G276" s="8" t="str">
        <x:v>yes</x:v>
      </x:c>
      <x:c r="H276" s="8" t="n">
        <x:v>527</x:v>
      </x:c>
      <x:c r="I276" s="8"/>
      <x:c r="J276" s="8" t="n">
        <x:f>IF(G276="yes",1,0)</x:f>
        <x:v>1</x:v>
      </x:c>
      <x:c r="K276" s="8" t="n">
        <x:f>IF(G276="no",5,IF(E276&gt;800,3,1))</x:f>
        <x:v>1</x:v>
      </x:c>
      <x:c r="L276" s="8" t="str">
        <x:v>https://developer.microsoft.com/en-us/microsoft-edge/webview2/</x:v>
      </x:c>
    </x:row>
    <x:row r="277">
      <x:c r="A277" s="8" t="str">
        <x:v>evt-00273</x:v>
      </x:c>
      <x:c r="B277" s="10" t="n">
        <x:v>46094.35592592593</x:v>
      </x:c>
      <x:c r="C277" s="8" t="str">
        <x:v>Linux</x:v>
      </x:c>
      <x:c r="D277" s="8" t="str">
        <x:v>bridge message</x:v>
      </x:c>
      <x:c r="E277" s="12" t="n">
        <x:v>1168</x:v>
      </x:c>
      <x:c r="F277" s="12" t="n">
        <x:v>356.3</x:v>
      </x:c>
      <x:c r="G277" s="8" t="str">
        <x:v>yes</x:v>
      </x:c>
      <x:c r="H277" s="8" t="n">
        <x:v>530</x:v>
      </x:c>
      <x:c r="I277" s="8"/>
      <x:c r="J277" s="8" t="n">
        <x:f>IF(G277="yes",1,0)</x:f>
        <x:v>1</x:v>
      </x:c>
      <x:c r="K277" s="8" t="n">
        <x:f>IF(G277="no",5,IF(E277&gt;800,3,1))</x:f>
        <x:v>3</x:v>
      </x:c>
      <x:c r="L277" s="8"/>
    </x:row>
    <x:row r="278">
      <x:c r="A278" s="8" t="str">
        <x:v>evt-00274</x:v>
      </x:c>
      <x:c r="B278" s="10" t="n">
        <x:v>46126.39829861111</x:v>
      </x:c>
      <x:c r="C278" s="8" t="str">
        <x:v>Linux</x:v>
      </x:c>
      <x:c r="D278" s="8" t="str">
        <x:v>reload</x:v>
      </x:c>
      <x:c r="E278" s="12" t="n">
        <x:v>712</x:v>
      </x:c>
      <x:c r="F278" s="12" t="n">
        <x:v>878</x:v>
      </x:c>
      <x:c r="G278" s="8" t="str">
        <x:v>yes</x:v>
      </x:c>
      <x:c r="H278" s="8" t="n">
        <x:v>73</x:v>
      </x:c>
      <x:c r="I278" s="8" t="str">
        <x:v>The owner field was not captured in the original notes, so classification should remain conservative.</x:v>
      </x:c>
      <x:c r="J278" s="8" t="n">
        <x:f>IF(G278="yes",1,0)</x:f>
        <x:v>1</x:v>
      </x:c>
      <x:c r="K278" s="8" t="n">
        <x:f>IF(G278="no",5,IF(E278&gt;800,3,1))</x:f>
        <x:v>1</x:v>
      </x:c>
      <x:c r="L278" s="8"/>
    </x:row>
    <x:row r="279">
      <x:c r="A279" s="8" t="str">
        <x:v>evt-00275</x:v>
      </x:c>
      <x:c r="B279" s="10" t="n">
        <x:v>46157.440671296295</x:v>
      </x:c>
      <x:c r="C279" s="8" t="str">
        <x:v>Windows</x:v>
      </x:c>
      <x:c r="D279" s="8" t="str">
        <x:v>cold launch</x:v>
      </x:c>
      <x:c r="E279" s="12" t="n">
        <x:v>381</x:v>
      </x:c>
      <x:c r="F279" s="12" t="n">
        <x:v>679.3</x:v>
      </x:c>
      <x:c r="G279" s="8" t="str">
        <x:v>yes</x:v>
      </x:c>
      <x:c r="H279" s="8" t="n">
        <x:v>551</x:v>
      </x:c>
      <x:c r="I279" s="8"/>
      <x:c r="J279" s="8" t="n">
        <x:f>IF(G279="yes",1,0)</x:f>
        <x:v>1</x:v>
      </x:c>
      <x:c r="K279" s="8" t="n">
        <x:f>IF(G279="no",5,IF(E279&gt;800,3,1))</x:f>
        <x:v>1</x:v>
      </x:c>
      <x:c r="L279" s="8"/>
    </x:row>
    <x:row r="280">
      <x:c r="A280" s="8" t="str">
        <x:v>evt-00276</x:v>
      </x:c>
      <x:c r="B280" s="10" t="n">
        <x:v>46189.48304398148</x:v>
      </x:c>
      <x:c r="C280" s="8" t="str">
        <x:v>iOS</x:v>
      </x:c>
      <x:c r="D280" s="8" t="str">
        <x:v>file upload</x:v>
      </x:c>
      <x:c r="E280" s="12" t="n">
        <x:v>555</x:v>
      </x:c>
      <x:c r="F280" s="12" t="n">
        <x:v>386.7</x:v>
      </x:c>
      <x:c r="G280" s="8" t="str">
        <x:v>yes</x:v>
      </x:c>
      <x:c r="H280" s="8" t="n">
        <x:v>653</x:v>
      </x:c>
      <x:c r="I280" s="8"/>
      <x:c r="J280" s="8" t="n">
        <x:f>IF(G280="yes",1,0)</x:f>
        <x:v>1</x:v>
      </x:c>
      <x:c r="K280" s="8" t="n">
        <x:f>IF(G280="no",5,IF(E280&gt;800,3,1))</x:f>
        <x:v>1</x:v>
      </x:c>
      <x:c r="L280" s="8" t="str">
        <x:v>https://developer.microsoft.com/en-us/microsoft-edge/webview2/</x:v>
      </x:c>
    </x:row>
    <x:row r="281">
      <x:c r="A281" s="8" t="str">
        <x:v>evt-00277</x:v>
      </x:c>
      <x:c r="B281" s="10" t="n">
        <x:v>46220.525416666664</x:v>
      </x:c>
      <x:c r="C281" s="8" t="str">
        <x:v>Linux</x:v>
      </x:c>
      <x:c r="D281" s="8" t="str">
        <x:v>file upload</x:v>
      </x:c>
      <x:c r="E281" s="12" t="n">
        <x:v>459</x:v>
      </x:c>
      <x:c r="F281" s="12" t="n">
        <x:v>319.5</x:v>
      </x:c>
      <x:c r="G281" s="8" t="str">
        <x:v>yes</x:v>
      </x:c>
      <x:c r="H281" s="8" t="n">
        <x:v>660</x:v>
      </x:c>
      <x:c r="I281" s="8"/>
      <x:c r="J281" s="8" t="n">
        <x:f>IF(G281="yes",1,0)</x:f>
        <x:v>1</x:v>
      </x:c>
      <x:c r="K281" s="8" t="n">
        <x:f>IF(G281="no",5,IF(E281&gt;800,3,1))</x:f>
        <x:v>1</x:v>
      </x:c>
      <x:c r="L281" s="8"/>
    </x:row>
    <x:row r="282">
      <x:c r="A282" s="8" t="str">
        <x:v>evt-00278</x:v>
      </x:c>
      <x:c r="B282" s="10" t="n">
        <x:v>46252.56778935185</x:v>
      </x:c>
      <x:c r="C282" s="8" t="str">
        <x:v>Linux</x:v>
      </x:c>
      <x:c r="D282" s="8" t="str">
        <x:v>large JSON</x:v>
      </x:c>
      <x:c r="E282" s="12" t="n">
        <x:v>546</x:v>
      </x:c>
      <x:c r="F282" s="12" t="n">
        <x:v>368.7</x:v>
      </x:c>
      <x:c r="G282" s="8" t="str">
        <x:v>yes</x:v>
      </x:c>
      <x:c r="H282" s="8" t="n">
        <x:v>814</x:v>
      </x:c>
      <x:c r="I282" s="8"/>
      <x:c r="J282" s="8" t="n">
        <x:f>IF(G282="yes",1,0)</x:f>
        <x:v>1</x:v>
      </x:c>
      <x:c r="K282" s="8" t="n">
        <x:f>IF(G282="no",5,IF(E282&gt;800,3,1))</x:f>
        <x:v>1</x:v>
      </x:c>
      <x:c r="L282" s="8" t="str">
        <x:v>https://github.com/react-native-webview/react-native-webview</x:v>
      </x:c>
    </x:row>
    <x:row r="283">
      <x:c r="A283" s="8" t="str">
        <x:v>evt-00279</x:v>
      </x:c>
      <x:c r="B283" s="10" t="n">
        <x:v>46284.61016203704</x:v>
      </x:c>
      <x:c r="C283" s="8" t="str">
        <x:v>Windows</x:v>
      </x:c>
      <x:c r="D283" s="8" t="str">
        <x:v>cold launch</x:v>
      </x:c>
      <x:c r="E283" s="12" t="n">
        <x:v>1235</x:v>
      </x:c>
      <x:c r="F283" s="12" t="n">
        <x:v>385.3</x:v>
      </x:c>
      <x:c r="G283" s="8" t="str">
        <x:v>no</x:v>
      </x:c>
      <x:c r="H283" s="8" t="n">
        <x:v>568</x:v>
      </x:c>
      <x:c r="I283" s="8" t="str">
        <x:v>Potential duplicate: this paragraph is repeated in another section to test deduplication and chunk metadata.</x:v>
      </x:c>
      <x:c r="J283" s="8" t="n">
        <x:f>IF(G283="yes",1,0)</x:f>
        <x:v>0</x:v>
      </x:c>
      <x:c r="K283" s="8" t="n">
        <x:f>IF(G283="no",5,IF(E283&gt;800,3,1))</x:f>
        <x:v>5</x:v>
      </x:c>
      <x:c r="L283" s="8" t="str">
        <x:v>https://developer.microsoft.com/en-us/microsoft-edge/webview2/</x:v>
      </x:c>
    </x:row>
    <x:row r="284">
      <x:c r="A284" s="8" t="str">
        <x:v>evt-00280</x:v>
      </x:c>
      <x:c r="B284" s="10" t="n">
        <x:v>46042.65253472222</x:v>
      </x:c>
      <x:c r="C284" s="8" t="str">
        <x:v>macOS</x:v>
      </x:c>
      <x:c r="D284" s="8" t="str">
        <x:v>reload</x:v>
      </x:c>
      <x:c r="E284" s="12" t="n">
        <x:v>532</x:v>
      </x:c>
      <x:c r="F284" s="12" t="n">
        <x:v>901.5</x:v>
      </x:c>
      <x:c r="G284" s="8" t="str">
        <x:v>yes</x:v>
      </x:c>
      <x:c r="H284" s="8" t="n">
        <x:v>353</x:v>
      </x:c>
      <x:c r="I284" s="8" t="str">
        <x:v>The owner field was not captured in the original notes, so classification should remain conservative.</x:v>
      </x:c>
      <x:c r="J284" s="8" t="n">
        <x:f>IF(G284="yes",1,0)</x:f>
        <x:v>1</x:v>
      </x:c>
      <x:c r="K284" s="8" t="n">
        <x:f>IF(G284="no",5,IF(E284&gt;800,3,1))</x:f>
        <x:v>1</x:v>
      </x:c>
      <x:c r="L284" s="8" t="str">
        <x:v>https://github.com/react-native-webview/react-native-webview</x:v>
      </x:c>
    </x:row>
    <x:row r="285">
      <x:c r="A285" s="8" t="str">
        <x:v>evt-00281</x:v>
      </x:c>
      <x:c r="B285" s="10" t="n">
        <x:v>46074.69490740741</x:v>
      </x:c>
      <x:c r="C285" s="8" t="str">
        <x:v>Linux</x:v>
      </x:c>
      <x:c r="D285" s="8" t="str">
        <x:v>bridge message</x:v>
      </x:c>
      <x:c r="E285" s="12" t="n">
        <x:v>831</x:v>
      </x:c>
      <x:c r="F285" s="12" t="n">
        <x:v>826.4</x:v>
      </x:c>
      <x:c r="G285" s="8" t="str">
        <x:v>yes</x:v>
      </x:c>
      <x:c r="H285" s="8" t="n">
        <x:v>12</x:v>
      </x:c>
      <x:c r="I285" s="8" t="str">
        <x:v>Verify behavior on a cold start and after the page reloads without destroying the native view.</x:v>
      </x:c>
      <x:c r="J285" s="8" t="n">
        <x:f>IF(G285="yes",1,0)</x:f>
        <x:v>1</x:v>
      </x:c>
      <x:c r="K285" s="8" t="n">
        <x:f>IF(G285="no",5,IF(E285&gt;800,3,1))</x:f>
        <x:v>3</x:v>
      </x:c>
      <x:c r="L285" s="8" t="str">
        <x:v>https://developer.apple.com/documentation/webkit/wkwebview</x:v>
      </x:c>
    </x:row>
    <x:row r="286">
      <x:c r="A286" s="8" t="str">
        <x:v>evt-00282</x:v>
      </x:c>
      <x:c r="B286" s="10" t="n">
        <x:v>46103.737280092595</x:v>
      </x:c>
      <x:c r="C286" s="8" t="str">
        <x:v>Linux</x:v>
      </x:c>
      <x:c r="D286" s="8" t="str">
        <x:v>file upload</x:v>
      </x:c>
      <x:c r="E286" s="12" t="n">
        <x:v>1204</x:v>
      </x:c>
      <x:c r="F286" s="12" t="n">
        <x:v>112.4</x:v>
      </x:c>
      <x:c r="G286" s="8" t="str">
        <x:v>yes</x:v>
      </x:c>
      <x:c r="H286" s="8" t="n">
        <x:v>732</x:v>
      </x:c>
      <x:c r="I286" s="8" t="str">
        <x:v>The owner field was not captured in the original notes, so classification should remain conservative.</x:v>
      </x:c>
      <x:c r="J286" s="8" t="n">
        <x:f>IF(G286="yes",1,0)</x:f>
        <x:v>1</x:v>
      </x:c>
      <x:c r="K286" s="8" t="n">
        <x:f>IF(G286="no",5,IF(E286&gt;800,3,1))</x:f>
        <x:v>3</x:v>
      </x:c>
      <x:c r="L286" s="8" t="str">
        <x:v>https://developer.apple.com/documentation/webkit/wkwebview</x:v>
      </x:c>
    </x:row>
    <x:row r="287">
      <x:c r="A287" s="8" t="str">
        <x:v>evt-00283</x:v>
      </x:c>
      <x:c r="B287" s="10" t="n">
        <x:v>46135.779652777775</x:v>
      </x:c>
      <x:c r="C287" s="8" t="str">
        <x:v>Linux</x:v>
      </x:c>
      <x:c r="D287" s="8" t="str">
        <x:v>bridge message</x:v>
      </x:c>
      <x:c r="E287" s="12" t="n">
        <x:v>299</x:v>
      </x:c>
      <x:c r="F287" s="12" t="n">
        <x:v>857.1</x:v>
      </x:c>
      <x:c r="G287" s="8" t="str">
        <x:v>yes</x:v>
      </x:c>
      <x:c r="H287" s="8" t="n">
        <x:v>119</x:v>
      </x:c>
      <x:c r="I287" s="8"/>
      <x:c r="J287" s="8" t="n">
        <x:f>IF(G287="yes",1,0)</x:f>
        <x:v>1</x:v>
      </x:c>
      <x:c r="K287" s="8" t="n">
        <x:f>IF(G287="no",5,IF(E287&gt;800,3,1))</x:f>
        <x:v>1</x:v>
      </x:c>
      <x:c r="L287" s="8"/>
    </x:row>
    <x:row r="288">
      <x:c r="A288" s="8" t="str">
        <x:v>evt-00284</x:v>
      </x:c>
      <x:c r="B288" s="10" t="n">
        <x:v>46166.82202546296</x:v>
      </x:c>
      <x:c r="C288" s="8" t="str">
        <x:v>Windows</x:v>
      </x:c>
      <x:c r="D288" s="8" t="str">
        <x:v>navigation</x:v>
      </x:c>
      <x:c r="E288" s="12" t="n">
        <x:v>1403</x:v>
      </x:c>
      <x:c r="F288" s="12" t="n">
        <x:v>286</x:v>
      </x:c>
      <x:c r="G288" s="8" t="str">
        <x:v>yes</x:v>
      </x:c>
      <x:c r="H288" s="8" t="n">
        <x:v>374</x:v>
      </x:c>
      <x:c r="I288" s="8"/>
      <x:c r="J288" s="8" t="n">
        <x:f>IF(G288="yes",1,0)</x:f>
        <x:v>1</x:v>
      </x:c>
      <x:c r="K288" s="8" t="n">
        <x:f>IF(G288="no",5,IF(E288&gt;800,3,1))</x:f>
        <x:v>3</x:v>
      </x:c>
      <x:c r="L288" s="8"/>
    </x:row>
    <x:row r="289">
      <x:c r="A289" s="8" t="str">
        <x:v>evt-00285</x:v>
      </x:c>
      <x:c r="B289" s="10" t="n">
        <x:v>46198.86439814815</x:v>
      </x:c>
      <x:c r="C289" s="8" t="str">
        <x:v>iOS</x:v>
      </x:c>
      <x:c r="D289" s="8" t="str">
        <x:v>cold launch</x:v>
      </x:c>
      <x:c r="E289" s="12" t="n">
        <x:v>228</x:v>
      </x:c>
      <x:c r="F289" s="12" t="n">
        <x:v>674.7</x:v>
      </x:c>
      <x:c r="G289" s="8" t="str">
        <x:v>no</x:v>
      </x:c>
      <x:c r="H289" s="8" t="n">
        <x:v>141</x:v>
      </x:c>
      <x:c r="I289" s="8" t="str">
        <x:v>The bridge callback is stable for small payloads, but large JSON messages show visible delay during navigation.</x:v>
      </x:c>
      <x:c r="J289" s="8" t="n">
        <x:f>IF(G289="yes",1,0)</x:f>
        <x:v>0</x:v>
      </x:c>
      <x:c r="K289" s="8" t="n">
        <x:f>IF(G289="no",5,IF(E289&gt;800,3,1))</x:f>
        <x:v>5</x:v>
      </x:c>
      <x:c r="L289" s="8"/>
    </x:row>
    <x:row r="290">
      <x:c r="A290" s="8" t="str">
        <x:v>evt-00286</x:v>
      </x:c>
      <x:c r="B290" s="10" t="n">
        <x:v>46229.90677083333</x:v>
      </x:c>
      <x:c r="C290" s="8" t="str">
        <x:v>iOS</x:v>
      </x:c>
      <x:c r="D290" s="8" t="str">
        <x:v>reload</x:v>
      </x:c>
      <x:c r="E290" s="12" t="n">
        <x:v>891</x:v>
      </x:c>
      <x:c r="F290" s="12" t="n">
        <x:v>502.7</x:v>
      </x:c>
      <x:c r="G290" s="8" t="str">
        <x:v>yes</x:v>
      </x:c>
      <x:c r="H290" s="8" t="n">
        <x:v>886</x:v>
      </x:c>
      <x:c r="I290" s="8"/>
      <x:c r="J290" s="8" t="n">
        <x:f>IF(G290="yes",1,0)</x:f>
        <x:v>1</x:v>
      </x:c>
      <x:c r="K290" s="8" t="n">
        <x:f>IF(G290="no",5,IF(E290&gt;800,3,1))</x:f>
        <x:v>3</x:v>
      </x:c>
      <x:c r="L290" s="8" t="str">
        <x:v>https://developer.microsoft.com/en-us/microsoft-edge/webview2/</x:v>
      </x:c>
    </x:row>
    <x:row r="291">
      <x:c r="A291" s="8" t="str">
        <x:v>evt-00287</x:v>
      </x:c>
      <x:c r="B291" s="10" t="n">
        <x:v>46235.94914351852</x:v>
      </x:c>
      <x:c r="C291" s="8" t="str">
        <x:v>iOS</x:v>
      </x:c>
      <x:c r="D291" s="8" t="str">
        <x:v>large JSON</x:v>
      </x:c>
      <x:c r="E291" s="12" t="n">
        <x:v>750</x:v>
      </x:c>
      <x:c r="F291" s="12" t="n">
        <x:v>813.8</x:v>
      </x:c>
      <x:c r="G291" s="8" t="str">
        <x:v>yes</x:v>
      </x:c>
      <x:c r="H291" s="8" t="n">
        <x:v>115</x:v>
      </x:c>
      <x:c r="I291" s="8" t="str">
        <x:v>A blank cell here is intentional. The source workbook has notes placed away from the nearest table.</x:v>
      </x:c>
      <x:c r="J291" s="8" t="n">
        <x:f>IF(G291="yes",1,0)</x:f>
        <x:v>1</x:v>
      </x:c>
      <x:c r="K291" s="8" t="n">
        <x:f>IF(G291="no",5,IF(E291&gt;800,3,1))</x:f>
        <x:v>1</x:v>
      </x:c>
      <x:c r="L291" s="8" t="str">
        <x:v>https://developer.android.com/reference/android/webkit/WebView</x:v>
      </x:c>
    </x:row>
    <x:row r="292">
      <x:c r="A292" s="8" t="str">
        <x:v>evt-00288</x:v>
      </x:c>
      <x:c r="B292" s="10" t="n">
        <x:v>46267.99151620371</x:v>
      </x:c>
      <x:c r="C292" s="8" t="str">
        <x:v>Linux</x:v>
      </x:c>
      <x:c r="D292" s="8" t="str">
        <x:v>file upload</x:v>
      </x:c>
      <x:c r="E292" s="12" t="n">
        <x:v>590</x:v>
      </x:c>
      <x:c r="F292" s="12" t="n">
        <x:v>766.7</x:v>
      </x:c>
      <x:c r="G292" s="8" t="str">
        <x:v>yes</x:v>
      </x:c>
      <x:c r="H292" s="8" t="n">
        <x:v>196</x:v>
      </x:c>
      <x:c r="I292" s="8" t="str">
        <x:v>The owner field was not captured in the original notes, so classification should remain conservative.</x:v>
      </x:c>
      <x:c r="J292" s="8" t="n">
        <x:f>IF(G292="yes",1,0)</x:f>
        <x:v>1</x:v>
      </x:c>
      <x:c r="K292" s="8" t="n">
        <x:f>IF(G292="no",5,IF(E292&gt;800,3,1))</x:f>
        <x:v>1</x:v>
      </x:c>
      <x:c r="L292" s="8" t="str">
        <x:v>https://developer.android.com/reference/android/webkit/WebView</x:v>
      </x:c>
    </x:row>
    <x:row r="293">
      <x:c r="A293" s="8" t="str">
        <x:v>evt-00289</x:v>
      </x:c>
      <x:c r="B293" s="10" t="n">
        <x:v>46025.03388888889</x:v>
      </x:c>
      <x:c r="C293" s="8" t="str">
        <x:v>macOS</x:v>
      </x:c>
      <x:c r="D293" s="8" t="str">
        <x:v>file upload</x:v>
      </x:c>
      <x:c r="E293" s="12" t="n">
        <x:v>1056</x:v>
      </x:c>
      <x:c r="F293" s="12" t="n">
        <x:v>336.1</x:v>
      </x:c>
      <x:c r="G293" s="8" t="str">
        <x:v>yes</x:v>
      </x:c>
      <x:c r="H293" s="8" t="n">
        <x:v>187</x:v>
      </x:c>
      <x:c r="I293" s="8"/>
      <x:c r="J293" s="8" t="n">
        <x:f>IF(G293="yes",1,0)</x:f>
        <x:v>1</x:v>
      </x:c>
      <x:c r="K293" s="8" t="n">
        <x:f>IF(G293="no",5,IF(E293&gt;800,3,1))</x:f>
        <x:v>3</x:v>
      </x:c>
      <x:c r="L293" s="8" t="str">
        <x:v>https://developer.microsoft.com/en-us/microsoft-edge/webview2/</x:v>
      </x:c>
    </x:row>
    <x:row r="294">
      <x:c r="A294" s="8" t="str">
        <x:v>evt-00290</x:v>
      </x:c>
      <x:c r="B294" s="10" t="n">
        <x:v>46057.076261574075</x:v>
      </x:c>
      <x:c r="C294" s="8" t="str">
        <x:v>macOS</x:v>
      </x:c>
      <x:c r="D294" s="8" t="str">
        <x:v>file upload</x:v>
      </x:c>
      <x:c r="E294" s="12" t="n">
        <x:v>481</x:v>
      </x:c>
      <x:c r="F294" s="12" t="n">
        <x:v>307.8</x:v>
      </x:c>
      <x:c r="G294" s="8" t="str">
        <x:v>yes</x:v>
      </x:c>
      <x:c r="H294" s="8" t="n">
        <x:v>193</x:v>
      </x:c>
      <x:c r="I294" s="8"/>
      <x:c r="J294" s="8" t="n">
        <x:f>IF(G294="yes",1,0)</x:f>
        <x:v>1</x:v>
      </x:c>
      <x:c r="K294" s="8" t="n">
        <x:f>IF(G294="no",5,IF(E294&gt;800,3,1))</x:f>
        <x:v>1</x:v>
      </x:c>
      <x:c r="L294" s="8" t="str">
        <x:v>https://github.com/react-native-webview/react-native-webview</x:v>
      </x:c>
    </x:row>
    <x:row r="295">
      <x:c r="A295" s="8" t="str">
        <x:v>evt-00291</x:v>
      </x:c>
      <x:c r="B295" s="10" t="n">
        <x:v>46086.11863425926</x:v>
      </x:c>
      <x:c r="C295" s="8" t="str">
        <x:v>macOS</x:v>
      </x:c>
      <x:c r="D295" s="8" t="str">
        <x:v>reload</x:v>
      </x:c>
      <x:c r="E295" s="12" t="n">
        <x:v>265</x:v>
      </x:c>
      <x:c r="F295" s="12" t="n">
        <x:v>733</x:v>
      </x:c>
      <x:c r="G295" s="8" t="str">
        <x:v>yes</x:v>
      </x:c>
      <x:c r="H295" s="8" t="n">
        <x:v>406</x:v>
      </x:c>
      <x:c r="I295" s="8" t="str">
        <x:v>Follow-up: compare the result when the network security policy is relaxed versus when it is enforced.</x:v>
      </x:c>
      <x:c r="J295" s="8" t="n">
        <x:f>IF(G295="yes",1,0)</x:f>
        <x:v>1</x:v>
      </x:c>
      <x:c r="K295" s="8" t="n">
        <x:f>IF(G295="no",5,IF(E295&gt;800,3,1))</x:f>
        <x:v>1</x:v>
      </x:c>
      <x:c r="L295" s="8"/>
    </x:row>
    <x:row r="296">
      <x:c r="A296" s="8" t="str">
        <x:v>evt-00292</x:v>
      </x:c>
      <x:c r="B296" s="10" t="n">
        <x:v>46118.16100694444</x:v>
      </x:c>
      <x:c r="C296" s="8" t="str">
        <x:v>iOS</x:v>
      </x:c>
      <x:c r="D296" s="8" t="str">
        <x:v>file upload</x:v>
      </x:c>
      <x:c r="E296" s="12" t="n">
        <x:v>713</x:v>
      </x:c>
      <x:c r="F296" s="12" t="n">
        <x:v>527.4</x:v>
      </x:c>
      <x:c r="G296" s="8" t="str">
        <x:v>yes</x:v>
      </x:c>
      <x:c r="H296" s="8" t="n">
        <x:v>855</x:v>
      </x:c>
      <x:c r="I296" s="8"/>
      <x:c r="J296" s="8" t="n">
        <x:f>IF(G296="yes",1,0)</x:f>
        <x:v>1</x:v>
      </x:c>
      <x:c r="K296" s="8" t="n">
        <x:f>IF(G296="no",5,IF(E296&gt;800,3,1))</x:f>
        <x:v>1</x:v>
      </x:c>
      <x:c r="L296" s="8" t="str">
        <x:v>https://github.com/react-native-webview/react-native-webview</x:v>
      </x:c>
    </x:row>
    <x:row r="297">
      <x:c r="A297" s="8" t="str">
        <x:v>evt-00293</x:v>
      </x:c>
      <x:c r="B297" s="10" t="n">
        <x:v>46149.20337962963</x:v>
      </x:c>
      <x:c r="C297" s="8" t="str">
        <x:v>Android</x:v>
      </x:c>
      <x:c r="D297" s="8" t="str">
        <x:v>reload</x:v>
      </x:c>
      <x:c r="E297" s="12" t="n">
        <x:v>131</x:v>
      </x:c>
      <x:c r="F297" s="12" t="n">
        <x:v>738.6</x:v>
      </x:c>
      <x:c r="G297" s="8" t="str">
        <x:v>no</x:v>
      </x:c>
      <x:c r="H297" s="8" t="n">
        <x:v>754</x:v>
      </x:c>
      <x:c r="I297" s="8"/>
      <x:c r="J297" s="8" t="n">
        <x:f>IF(G297="yes",1,0)</x:f>
        <x:v>0</x:v>
      </x:c>
      <x:c r="K297" s="8" t="n">
        <x:f>IF(G297="no",5,IF(E297&gt;800,3,1))</x:f>
        <x:v>5</x:v>
      </x:c>
      <x:c r="L297" s="8" t="str">
        <x:v>https://developer.apple.com/documentation/webkit/wkwebview</x:v>
      </x:c>
    </x:row>
    <x:row r="298">
      <x:c r="A298" s="8" t="str">
        <x:v>evt-00294</x:v>
      </x:c>
      <x:c r="B298" s="10" t="n">
        <x:v>46181.24575231481</x:v>
      </x:c>
      <x:c r="C298" s="8" t="str">
        <x:v>Android</x:v>
      </x:c>
      <x:c r="D298" s="8" t="str">
        <x:v>cold launch</x:v>
      </x:c>
      <x:c r="E298" s="12" t="n">
        <x:v>594</x:v>
      </x:c>
      <x:c r="F298" s="12" t="n">
        <x:v>262.1</x:v>
      </x:c>
      <x:c r="G298" s="8" t="str">
        <x:v>yes</x:v>
      </x:c>
      <x:c r="H298" s="8" t="n">
        <x:v>837</x:v>
      </x:c>
      <x:c r="I298" s="8"/>
      <x:c r="J298" s="8" t="n">
        <x:f>IF(G298="yes",1,0)</x:f>
        <x:v>1</x:v>
      </x:c>
      <x:c r="K298" s="8" t="n">
        <x:f>IF(G298="no",5,IF(E298&gt;800,3,1))</x:f>
        <x:v>1</x:v>
      </x:c>
      <x:c r="L298" s="8"/>
    </x:row>
    <x:row r="299">
      <x:c r="A299" s="8" t="str">
        <x:v>evt-00295</x:v>
      </x:c>
      <x:c r="B299" s="10" t="n">
        <x:v>46212.288125</x:v>
      </x:c>
      <x:c r="C299" s="8" t="str">
        <x:v>Windows</x:v>
      </x:c>
      <x:c r="D299" s="8" t="str">
        <x:v>download</x:v>
      </x:c>
      <x:c r="E299" s="12" t="n">
        <x:v>899</x:v>
      </x:c>
      <x:c r="F299" s="12" t="n">
        <x:v>817.8</x:v>
      </x:c>
      <x:c r="G299" s="8" t="str">
        <x:v>yes</x:v>
      </x:c>
      <x:c r="H299" s="8" t="n">
        <x:v>678</x:v>
      </x:c>
      <x:c r="I299" s="8" t="str">
        <x:v>Follow-up: compare the result when the network security policy is relaxed versus when it is enforced.</x:v>
      </x:c>
      <x:c r="J299" s="8" t="n">
        <x:f>IF(G299="yes",1,0)</x:f>
        <x:v>1</x:v>
      </x:c>
      <x:c r="K299" s="8" t="n">
        <x:f>IF(G299="no",5,IF(E299&gt;800,3,1))</x:f>
        <x:v>3</x:v>
      </x:c>
      <x:c r="L299" s="8"/>
    </x:row>
    <x:row r="300">
      <x:c r="A300" s="8" t="str">
        <x:v>evt-00296</x:v>
      </x:c>
      <x:c r="B300" s="10" t="n">
        <x:v>46244.33049768519</x:v>
      </x:c>
      <x:c r="C300" s="8" t="str">
        <x:v>Android</x:v>
      </x:c>
      <x:c r="D300" s="8" t="str">
        <x:v>navigation</x:v>
      </x:c>
      <x:c r="E300" s="12" t="n">
        <x:v>364</x:v>
      </x:c>
      <x:c r="F300" s="12" t="n">
        <x:v>452.9</x:v>
      </x:c>
      <x:c r="G300" s="8" t="str">
        <x:v>yes</x:v>
      </x:c>
      <x:c r="H300" s="8" t="n">
        <x:v>286</x:v>
      </x:c>
      <x:c r="I300" s="8"/>
      <x:c r="J300" s="8" t="n">
        <x:f>IF(G300="yes",1,0)</x:f>
        <x:v>1</x:v>
      </x:c>
      <x:c r="K300" s="8" t="n">
        <x:f>IF(G300="no",5,IF(E300&gt;800,3,1))</x:f>
        <x:v>1</x:v>
      </x:c>
      <x:c r="L300" s="8" t="str">
        <x:v>https://learn.microsoft.com/en-us/microsoft-edge/webview2/concepts/security</x:v>
      </x:c>
    </x:row>
    <x:row r="301">
      <x:c r="A301" s="8" t="str">
        <x:v>evt-00297</x:v>
      </x:c>
      <x:c r="B301" s="10" t="n">
        <x:v>46276.37287037037</x:v>
      </x:c>
      <x:c r="C301" s="8" t="str">
        <x:v>macOS</x:v>
      </x:c>
      <x:c r="D301" s="8" t="str">
        <x:v>download</x:v>
      </x:c>
      <x:c r="E301" s="12" t="n">
        <x:v>908</x:v>
      </x:c>
      <x:c r="F301" s="12" t="n">
        <x:v>517.8</x:v>
      </x:c>
      <x:c r="G301" s="8" t="str">
        <x:v>yes</x:v>
      </x:c>
      <x:c r="H301" s="8" t="n">
        <x:v>899</x:v>
      </x:c>
      <x:c r="I301" s="8" t="str">
        <x:v>Observed in a local test run: the content rendered, but the console warning appeared twice.</x:v>
      </x:c>
      <x:c r="J301" s="8" t="n">
        <x:f>IF(G301="yes",1,0)</x:f>
        <x:v>1</x:v>
      </x:c>
      <x:c r="K301" s="8" t="n">
        <x:f>IF(G301="no",5,IF(E301&gt;800,3,1))</x:f>
        <x:v>3</x:v>
      </x:c>
      <x:c r="L301" s="8" t="str">
        <x:v>https://learn.microsoft.com/en-us/microsoft-edge/webview2/concepts/security</x:v>
      </x:c>
    </x:row>
    <x:row r="302">
      <x:c r="A302" s="8" t="str">
        <x:v>evt-00298</x:v>
      </x:c>
      <x:c r="B302" s="10" t="n">
        <x:v>46034.415243055555</x:v>
      </x:c>
      <x:c r="C302" s="8" t="str">
        <x:v>Linux</x:v>
      </x:c>
      <x:c r="D302" s="8" t="str">
        <x:v>download</x:v>
      </x:c>
      <x:c r="E302" s="12" t="n">
        <x:v>1080</x:v>
      </x:c>
      <x:c r="F302" s="12" t="n">
        <x:v>333.3</x:v>
      </x:c>
      <x:c r="G302" s="8" t="str">
        <x:v>yes</x:v>
      </x:c>
      <x:c r="H302" s="8" t="n">
        <x:v>583</x:v>
      </x:c>
      <x:c r="I302" s="8"/>
      <x:c r="J302" s="8" t="n">
        <x:f>IF(G302="yes",1,0)</x:f>
        <x:v>1</x:v>
      </x:c>
      <x:c r="K302" s="8" t="n">
        <x:f>IF(G302="no",5,IF(E302&gt;800,3,1))</x:f>
        <x:v>3</x:v>
      </x:c>
      <x:c r="L302" s="8"/>
    </x:row>
    <x:row r="303">
      <x:c r="A303" s="8" t="str">
        <x:v>evt-00299</x:v>
      </x:c>
      <x:c r="B303" s="10" t="n">
        <x:v>46066.45761574074</x:v>
      </x:c>
      <x:c r="C303" s="8" t="str">
        <x:v>iOS</x:v>
      </x:c>
      <x:c r="D303" s="8" t="str">
        <x:v>bridge message</x:v>
      </x:c>
      <x:c r="E303" s="12" t="n">
        <x:v>43</x:v>
      </x:c>
      <x:c r="F303" s="12" t="n">
        <x:v>90.3</x:v>
      </x:c>
      <x:c r="G303" s="8" t="str">
        <x:v>yes</x:v>
      </x:c>
      <x:c r="H303" s="8" t="n">
        <x:v>363</x:v>
      </x:c>
      <x:c r="I303" s="8"/>
      <x:c r="J303" s="8" t="n">
        <x:f>IF(G303="yes",1,0)</x:f>
        <x:v>1</x:v>
      </x:c>
      <x:c r="K303" s="8" t="n">
        <x:f>IF(G303="no",5,IF(E303&gt;800,3,1))</x:f>
        <x:v>1</x:v>
      </x:c>
      <x:c r="L303" s="8"/>
    </x:row>
    <x:row r="304">
      <x:c r="A304" s="8" t="str">
        <x:v>evt-00300</x:v>
      </x:c>
      <x:c r="B304" s="10" t="n">
        <x:v>46095.49998842592</x:v>
      </x:c>
      <x:c r="C304" s="8" t="str">
        <x:v>macOS</x:v>
      </x:c>
      <x:c r="D304" s="8" t="str">
        <x:v>navigation</x:v>
      </x:c>
      <x:c r="E304" s="12" t="n">
        <x:v>757</x:v>
      </x:c>
      <x:c r="F304" s="12" t="n">
        <x:v>634.2</x:v>
      </x:c>
      <x:c r="G304" s="8" t="str">
        <x:v>yes</x:v>
      </x:c>
      <x:c r="H304" s="8" t="n">
        <x:v>189</x:v>
      </x:c>
      <x:c r="I304" s="8"/>
      <x:c r="J304" s="8" t="n">
        <x:f>IF(G304="yes",1,0)</x:f>
        <x:v>1</x:v>
      </x:c>
      <x:c r="K304" s="8" t="n">
        <x:f>IF(G304="no",5,IF(E304&gt;800,3,1))</x:f>
        <x:v>1</x:v>
      </x:c>
      <x:c r="L304" s="8"/>
    </x:row>
    <x:row r="305">
      <x:c r="A305" s="8"/>
      <x:c r="B305" s="10"/>
      <x:c r="C305" s="8"/>
      <x:c r="D305" s="8"/>
      <x:c r="E305" s="12"/>
      <x:c r="F305" s="12"/>
      <x:c r="G305" s="8"/>
      <x:c r="H305" s="8"/>
      <x:c r="I305" s="8"/>
      <x:c r="J305" s="8" t="n">
        <x:f>IF(G305="yes",1,0)</x:f>
        <x:v>0</x:v>
      </x:c>
      <x:c r="K305" s="8" t="n">
        <x:f>IF(G305="no",5,IF(E305&gt;800,3,1))</x:f>
        <x:v>1</x:v>
      </x:c>
      <x:c r="L305" s="8"/>
    </x:row>
    <x:row r="306">
      <x:c r="A306" s="8" t="str">
        <x:v>evt-00301</x:v>
      </x:c>
      <x:c r="B306" s="10" t="n">
        <x:v>46127.5</x:v>
      </x:c>
      <x:c r="C306" s="8" t="str">
        <x:v>iOS</x:v>
      </x:c>
      <x:c r="D306" s="8" t="str">
        <x:v>large JSON</x:v>
      </x:c>
      <x:c r="E306" s="12" t="n">
        <x:v>420</x:v>
      </x:c>
      <x:c r="F306" s="12" t="n">
        <x:v>227.8</x:v>
      </x:c>
      <x:c r="G306" s="8" t="str">
        <x:v>no</x:v>
      </x:c>
      <x:c r="H306" s="8" t="n">
        <x:v>49</x:v>
      </x:c>
      <x:c r="I306" s="8"/>
      <x:c r="J306" s="8" t="n">
        <x:f>IF(G306="yes",1,0)</x:f>
        <x:v>0</x:v>
      </x:c>
      <x:c r="K306" s="8" t="n">
        <x:f>IF(G306="no",5,IF(E306&gt;800,3,1))</x:f>
        <x:v>5</x:v>
      </x:c>
      <x:c r="L306" s="8"/>
    </x:row>
    <x:row r="307">
      <x:c r="A307" s="8" t="str">
        <x:v>evt-00302</x:v>
      </x:c>
      <x:c r="B307" s="10" t="n">
        <x:v>46158.54237268519</x:v>
      </x:c>
      <x:c r="C307" s="8" t="str">
        <x:v>iOS</x:v>
      </x:c>
      <x:c r="D307" s="8" t="str">
        <x:v>reload</x:v>
      </x:c>
      <x:c r="E307" s="12" t="n">
        <x:v>985</x:v>
      </x:c>
      <x:c r="F307" s="12" t="n">
        <x:v>725.6</x:v>
      </x:c>
      <x:c r="G307" s="8" t="str">
        <x:v>yes</x:v>
      </x:c>
      <x:c r="H307" s="8" t="n">
        <x:v>514</x:v>
      </x:c>
      <x:c r="I307" s="8" t="str">
        <x:v>Observed in a local test run: the content rendered, but the console warning appeared twice.</x:v>
      </x:c>
      <x:c r="J307" s="8" t="n">
        <x:f>IF(G307="yes",1,0)</x:f>
        <x:v>1</x:v>
      </x:c>
      <x:c r="K307" s="8" t="n">
        <x:f>IF(G307="no",5,IF(E307&gt;800,3,1))</x:f>
        <x:v>3</x:v>
      </x:c>
      <x:c r="L307" s="8" t="str">
        <x:v>https://developer.microsoft.com/en-us/microsoft-edge/webview2/</x:v>
      </x:c>
    </x:row>
    <x:row r="308">
      <x:c r="A308" s="8" t="str">
        <x:v>evt-00303</x:v>
      </x:c>
      <x:c r="B308" s="10" t="n">
        <x:v>46190.58474537037</x:v>
      </x:c>
      <x:c r="C308" s="8" t="str">
        <x:v>iOS</x:v>
      </x:c>
      <x:c r="D308" s="8" t="str">
        <x:v>cold launch</x:v>
      </x:c>
      <x:c r="E308" s="12" t="n">
        <x:v>1180</x:v>
      </x:c>
      <x:c r="F308" s="12" t="n">
        <x:v>186</x:v>
      </x:c>
      <x:c r="G308" s="8" t="str">
        <x:v>yes</x:v>
      </x:c>
      <x:c r="H308" s="8" t="n">
        <x:v>174</x:v>
      </x:c>
      <x:c r="I308" s="8" t="str">
        <x:v>A blank cell here is intentional. The source workbook has notes placed away from the nearest table.</x:v>
      </x:c>
      <x:c r="J308" s="8" t="n">
        <x:f>IF(G308="yes",1,0)</x:f>
        <x:v>1</x:v>
      </x:c>
      <x:c r="K308" s="8" t="n">
        <x:f>IF(G308="no",5,IF(E308&gt;800,3,1))</x:f>
        <x:v>3</x:v>
      </x:c>
      <x:c r="L308" s="8" t="str">
        <x:v>https://github.com/react-native-webview/react-native-webview</x:v>
      </x:c>
    </x:row>
    <x:row r="309">
      <x:c r="A309" s="8" t="str">
        <x:v>evt-00304</x:v>
      </x:c>
      <x:c r="B309" s="10" t="n">
        <x:v>46221.627118055556</x:v>
      </x:c>
      <x:c r="C309" s="8" t="str">
        <x:v>Windows</x:v>
      </x:c>
      <x:c r="D309" s="8" t="str">
        <x:v>download</x:v>
      </x:c>
      <x:c r="E309" s="12" t="n">
        <x:v>166</x:v>
      </x:c>
      <x:c r="F309" s="12" t="n">
        <x:v>322.4</x:v>
      </x:c>
      <x:c r="G309" s="8" t="str">
        <x:v>yes</x:v>
      </x:c>
      <x:c r="H309" s="8" t="n">
        <x:v>545</x:v>
      </x:c>
      <x:c r="I309" s="8"/>
      <x:c r="J309" s="8" t="n">
        <x:f>IF(G309="yes",1,0)</x:f>
        <x:v>1</x:v>
      </x:c>
      <x:c r="K309" s="8" t="n">
        <x:f>IF(G309="no",5,IF(E309&gt;800,3,1))</x:f>
        <x:v>1</x:v>
      </x:c>
      <x:c r="L309" s="8" t="str">
        <x:v>https://developer.apple.com/documentation/webkit/wkwebview</x:v>
      </x:c>
    </x:row>
    <x:row r="310">
      <x:c r="A310" s="8" t="str">
        <x:v>evt-00305</x:v>
      </x:c>
      <x:c r="B310" s="10" t="n">
        <x:v>46253.669490740744</x:v>
      </x:c>
      <x:c r="C310" s="8" t="str">
        <x:v>Linux</x:v>
      </x:c>
      <x:c r="D310" s="8" t="str">
        <x:v>bridge message</x:v>
      </x:c>
      <x:c r="E310" s="12" t="n">
        <x:v>504</x:v>
      </x:c>
      <x:c r="F310" s="12" t="n">
        <x:v>279.1</x:v>
      </x:c>
      <x:c r="G310" s="8" t="str">
        <x:v>yes</x:v>
      </x:c>
      <x:c r="H310" s="8" t="n">
        <x:v>818</x:v>
      </x:c>
      <x:c r="I310" s="8"/>
      <x:c r="J310" s="8" t="n">
        <x:f>IF(G310="yes",1,0)</x:f>
        <x:v>1</x:v>
      </x:c>
      <x:c r="K310" s="8" t="n">
        <x:f>IF(G310="no",5,IF(E310&gt;800,3,1))</x:f>
        <x:v>1</x:v>
      </x:c>
      <x:c r="L310" s="8"/>
    </x:row>
    <x:row r="311">
      <x:c r="A311" s="8" t="str">
        <x:v>evt-00306</x:v>
      </x:c>
      <x:c r="B311" s="10" t="n">
        <x:v>46285.711863425924</x:v>
      </x:c>
      <x:c r="C311" s="8" t="str">
        <x:v>Linux</x:v>
      </x:c>
      <x:c r="D311" s="8" t="str">
        <x:v>cold launch</x:v>
      </x:c>
      <x:c r="E311" s="12" t="n">
        <x:v>1247</x:v>
      </x:c>
      <x:c r="F311" s="12" t="n">
        <x:v>899.5</x:v>
      </x:c>
      <x:c r="G311" s="8" t="str">
        <x:v>yes</x:v>
      </x:c>
      <x:c r="H311" s="8" t="n">
        <x:v>893</x:v>
      </x:c>
      <x:c r="I311" s="8" t="str">
        <x:v>The owner field was not captured in the original notes, so classification should remain conservative.</x:v>
      </x:c>
      <x:c r="J311" s="8" t="n">
        <x:f>IF(G311="yes",1,0)</x:f>
        <x:v>1</x:v>
      </x:c>
      <x:c r="K311" s="8" t="n">
        <x:f>IF(G311="no",5,IF(E311&gt;800,3,1))</x:f>
        <x:v>3</x:v>
      </x:c>
      <x:c r="L311" s="8"/>
    </x:row>
    <x:row r="312">
      <x:c r="A312" s="8" t="str">
        <x:v>evt-00307</x:v>
      </x:c>
      <x:c r="B312" s="10" t="n">
        <x:v>46043.75423611111</x:v>
      </x:c>
      <x:c r="C312" s="8" t="str">
        <x:v>Linux</x:v>
      </x:c>
      <x:c r="D312" s="8" t="str">
        <x:v>cold launch</x:v>
      </x:c>
      <x:c r="E312" s="12" t="n">
        <x:v>1236</x:v>
      </x:c>
      <x:c r="F312" s="12" t="n">
        <x:v>412.9</x:v>
      </x:c>
      <x:c r="G312" s="8" t="str">
        <x:v>yes</x:v>
      </x:c>
      <x:c r="H312" s="8" t="n">
        <x:v>502</x:v>
      </x:c>
      <x:c r="I312" s="8" t="str">
        <x:v>This sentence is long enough to exercise wrapping and downstream chunk boundaries in Markdown output.</x:v>
      </x:c>
      <x:c r="J312" s="8" t="n">
        <x:f>IF(G312="yes",1,0)</x:f>
        <x:v>1</x:v>
      </x:c>
      <x:c r="K312" s="8" t="n">
        <x:f>IF(G312="no",5,IF(E312&gt;800,3,1))</x:f>
        <x:v>3</x:v>
      </x:c>
      <x:c r="L312" s="8"/>
    </x:row>
    <x:row r="313">
      <x:c r="A313" s="8" t="str">
        <x:v>evt-00308</x:v>
      </x:c>
      <x:c r="B313" s="10" t="n">
        <x:v>46075.7966087963</x:v>
      </x:c>
      <x:c r="C313" s="8" t="str">
        <x:v>macOS</x:v>
      </x:c>
      <x:c r="D313" s="8" t="str">
        <x:v>download</x:v>
      </x:c>
      <x:c r="E313" s="12" t="n">
        <x:v>1183</x:v>
      </x:c>
      <x:c r="F313" s="12" t="n">
        <x:v>518.5</x:v>
      </x:c>
      <x:c r="G313" s="8" t="str">
        <x:v>no</x:v>
      </x:c>
      <x:c r="H313" s="8" t="n">
        <x:v>865</x:v>
      </x:c>
      <x:c r="I313" s="8" t="str">
        <x:v>Observed in a local test run: the content rendered, but the console warning appeared twice.</x:v>
      </x:c>
      <x:c r="J313" s="8" t="n">
        <x:f>IF(G313="yes",1,0)</x:f>
        <x:v>0</x:v>
      </x:c>
      <x:c r="K313" s="8" t="n">
        <x:f>IF(G313="no",5,IF(E313&gt;800,3,1))</x:f>
        <x:v>5</x:v>
      </x:c>
      <x:c r="L313" s="8"/>
    </x:row>
    <x:row r="314">
      <x:c r="A314" s="8" t="str">
        <x:v>evt-00309</x:v>
      </x:c>
      <x:c r="B314" s="10" t="n">
        <x:v>46104.83898148148</x:v>
      </x:c>
      <x:c r="C314" s="8" t="str">
        <x:v>Windows</x:v>
      </x:c>
      <x:c r="D314" s="8" t="str">
        <x:v>download</x:v>
      </x:c>
      <x:c r="E314" s="12" t="n">
        <x:v>1129</x:v>
      </x:c>
      <x:c r="F314" s="12" t="n">
        <x:v>317.4</x:v>
      </x:c>
      <x:c r="G314" s="8" t="str">
        <x:v>yes</x:v>
      </x:c>
      <x:c r="H314" s="8" t="n">
        <x:v>720</x:v>
      </x:c>
      <x:c r="I314" s="8" t="str">
        <x:v>Verify behavior on a cold start and after the page reloads without destroying the native view.</x:v>
      </x:c>
      <x:c r="J314" s="8" t="n">
        <x:f>IF(G314="yes",1,0)</x:f>
        <x:v>1</x:v>
      </x:c>
      <x:c r="K314" s="8" t="n">
        <x:f>IF(G314="no",5,IF(E314&gt;800,3,1))</x:f>
        <x:v>3</x:v>
      </x:c>
      <x:c r="L314" s="8" t="str">
        <x:v>https://learn.microsoft.com/en-us/microsoft-edge/webview2/concepts/security</x:v>
      </x:c>
    </x:row>
    <x:row r="315">
      <x:c r="A315" s="8" t="str">
        <x:v>evt-00310</x:v>
      </x:c>
      <x:c r="B315" s="10" t="n">
        <x:v>46136.88135416667</x:v>
      </x:c>
      <x:c r="C315" s="8" t="str">
        <x:v>Linux</x:v>
      </x:c>
      <x:c r="D315" s="8" t="str">
        <x:v>file upload</x:v>
      </x:c>
      <x:c r="E315" s="12" t="n">
        <x:v>627</x:v>
      </x:c>
      <x:c r="F315" s="12" t="n">
        <x:v>93.3</x:v>
      </x:c>
      <x:c r="G315" s="8" t="str">
        <x:v>no</x:v>
      </x:c>
      <x:c r="H315" s="8" t="n">
        <x:v>775</x:v>
      </x:c>
      <x:c r="I315" s="8" t="str">
        <x:v>Verify behavior on a cold start and after the page reloads without destroying the native view.</x:v>
      </x:c>
      <x:c r="J315" s="8" t="n">
        <x:f>IF(G315="yes",1,0)</x:f>
        <x:v>0</x:v>
      </x:c>
      <x:c r="K315" s="8" t="n">
        <x:f>IF(G315="no",5,IF(E315&gt;800,3,1))</x:f>
        <x:v>5</x:v>
      </x:c>
      <x:c r="L315" s="8" t="str">
        <x:v>https://developer.apple.com/documentation/webkit/wkwebview</x:v>
      </x:c>
    </x:row>
    <x:row r="316">
      <x:c r="A316" s="8" t="str">
        <x:v>evt-00311</x:v>
      </x:c>
      <x:c r="B316" s="10" t="n">
        <x:v>46167.923726851855</x:v>
      </x:c>
      <x:c r="C316" s="8" t="str">
        <x:v>Android</x:v>
      </x:c>
      <x:c r="D316" s="8" t="str">
        <x:v>large JSON</x:v>
      </x:c>
      <x:c r="E316" s="12" t="n">
        <x:v>229</x:v>
      </x:c>
      <x:c r="F316" s="12" t="n">
        <x:v>169.1</x:v>
      </x:c>
      <x:c r="G316" s="8" t="str">
        <x:v>yes</x:v>
      </x:c>
      <x:c r="H316" s="8" t="n">
        <x:v>258</x:v>
      </x:c>
      <x:c r="I316" s="8" t="str">
        <x:v>The owner field was not captured in the original notes, so classification should remain conservative.</x:v>
      </x:c>
      <x:c r="J316" s="8" t="n">
        <x:f>IF(G316="yes",1,0)</x:f>
        <x:v>1</x:v>
      </x:c>
      <x:c r="K316" s="8" t="n">
        <x:f>IF(G316="no",5,IF(E316&gt;800,3,1))</x:f>
        <x:v>1</x:v>
      </x:c>
      <x:c r="L316" s="8"/>
    </x:row>
    <x:row r="317">
      <x:c r="A317" s="8" t="str">
        <x:v>evt-00312</x:v>
      </x:c>
      <x:c r="B317" s="10" t="n">
        <x:v>46199.966099537036</x:v>
      </x:c>
      <x:c r="C317" s="8" t="str">
        <x:v>iOS</x:v>
      </x:c>
      <x:c r="D317" s="8" t="str">
        <x:v>cold launch</x:v>
      </x:c>
      <x:c r="E317" s="12" t="n">
        <x:v>971</x:v>
      </x:c>
      <x:c r="F317" s="12" t="n">
        <x:v>696</x:v>
      </x:c>
      <x:c r="G317" s="8" t="str">
        <x:v>no</x:v>
      </x:c>
      <x:c r="H317" s="8" t="n">
        <x:v>56</x:v>
      </x:c>
      <x:c r="I317" s="8" t="str">
        <x:v>Potential duplicate: this paragraph is repeated in another section to test deduplication and chunk metadata.</x:v>
      </x:c>
      <x:c r="J317" s="8" t="n">
        <x:f>IF(G317="yes",1,0)</x:f>
        <x:v>0</x:v>
      </x:c>
      <x:c r="K317" s="8" t="n">
        <x:f>IF(G317="no",5,IF(E317&gt;800,3,1))</x:f>
        <x:v>5</x:v>
      </x:c>
      <x:c r="L317" s="8" t="str">
        <x:v>https://github.com/react-native-webview/react-native-webview</x:v>
      </x:c>
    </x:row>
    <x:row r="318">
      <x:c r="A318" s="8" t="str">
        <x:v>evt-00313</x:v>
      </x:c>
      <x:c r="B318" s="10" t="n">
        <x:v>46204.008472222224</x:v>
      </x:c>
      <x:c r="C318" s="8" t="str">
        <x:v>Windows</x:v>
      </x:c>
      <x:c r="D318" s="8" t="str">
        <x:v>file upload</x:v>
      </x:c>
      <x:c r="E318" s="12" t="n">
        <x:v>961</x:v>
      </x:c>
      <x:c r="F318" s="12" t="n">
        <x:v>388</x:v>
      </x:c>
      <x:c r="G318" s="8" t="str">
        <x:v>no</x:v>
      </x:c>
      <x:c r="H318" s="8" t="n">
        <x:v>828</x:v>
      </x:c>
      <x:c r="I318" s="8" t="str">
        <x:v>Potential duplicate: this paragraph is repeated in another section to test deduplication and chunk metadata.</x:v>
      </x:c>
      <x:c r="J318" s="8" t="n">
        <x:f>IF(G318="yes",1,0)</x:f>
        <x:v>0</x:v>
      </x:c>
      <x:c r="K318" s="8" t="n">
        <x:f>IF(G318="no",5,IF(E318&gt;800,3,1))</x:f>
        <x:v>5</x:v>
      </x:c>
      <x:c r="L318" s="8"/>
    </x:row>
    <x:row r="319">
      <x:c r="A319" s="8" t="str">
        <x:v>evt-00314</x:v>
      </x:c>
      <x:c r="B319" s="10" t="n">
        <x:v>46236.050844907404</x:v>
      </x:c>
      <x:c r="C319" s="8" t="str">
        <x:v>Android</x:v>
      </x:c>
      <x:c r="D319" s="8" t="str">
        <x:v>large JSON</x:v>
      </x:c>
      <x:c r="E319" s="12" t="n">
        <x:v>1377</x:v>
      </x:c>
      <x:c r="F319" s="12" t="n">
        <x:v>193.4</x:v>
      </x:c>
      <x:c r="G319" s="8" t="str">
        <x:v>no</x:v>
      </x:c>
      <x:c r="H319" s="8" t="n">
        <x:v>757</x:v>
      </x:c>
      <x:c r="I319" s="8" t="str">
        <x:v>A blank cell here is intentional. The source workbook has notes placed away from the nearest table.</x:v>
      </x:c>
      <x:c r="J319" s="8" t="n">
        <x:f>IF(G319="yes",1,0)</x:f>
        <x:v>0</x:v>
      </x:c>
      <x:c r="K319" s="8" t="n">
        <x:f>IF(G319="no",5,IF(E319&gt;800,3,1))</x:f>
        <x:v>5</x:v>
      </x:c>
      <x:c r="L319" s="8" t="str">
        <x:v>https://developer.android.com/reference/android/webkit/WebView</x:v>
      </x:c>
    </x:row>
    <x:row r="320">
      <x:c r="A320" s="8" t="str">
        <x:v>evt-00315</x:v>
      </x:c>
      <x:c r="B320" s="10" t="n">
        <x:v>46268.09321759259</x:v>
      </x:c>
      <x:c r="C320" s="8" t="str">
        <x:v>Windows</x:v>
      </x:c>
      <x:c r="D320" s="8" t="str">
        <x:v>file upload</x:v>
      </x:c>
      <x:c r="E320" s="12" t="n">
        <x:v>183</x:v>
      </x:c>
      <x:c r="F320" s="12" t="n">
        <x:v>559.9</x:v>
      </x:c>
      <x:c r="G320" s="8" t="str">
        <x:v>no</x:v>
      </x:c>
      <x:c r="H320" s="8" t="n">
        <x:v>475</x:v>
      </x:c>
      <x:c r="I320" s="8"/>
      <x:c r="J320" s="8" t="n">
        <x:f>IF(G320="yes",1,0)</x:f>
        <x:v>0</x:v>
      </x:c>
      <x:c r="K320" s="8" t="n">
        <x:f>IF(G320="no",5,IF(E320&gt;800,3,1))</x:f>
        <x:v>5</x:v>
      </x:c>
      <x:c r="L320" s="8"/>
    </x:row>
    <x:row r="321">
      <x:c r="A321" s="8" t="str">
        <x:v>evt-00316</x:v>
      </x:c>
      <x:c r="B321" s="10" t="n">
        <x:v>46026.13559027778</x:v>
      </x:c>
      <x:c r="C321" s="8" t="str">
        <x:v>Linux</x:v>
      </x:c>
      <x:c r="D321" s="8" t="str">
        <x:v>download</x:v>
      </x:c>
      <x:c r="E321" s="12" t="n">
        <x:v>115</x:v>
      </x:c>
      <x:c r="F321" s="12" t="n">
        <x:v>626.7</x:v>
      </x:c>
      <x:c r="G321" s="8" t="str">
        <x:v>yes</x:v>
      </x:c>
      <x:c r="H321" s="8" t="n">
        <x:v>892</x:v>
      </x:c>
      <x:c r="I321" s="8" t="str">
        <x:v>Verify behavior on a cold start and after the page reloads without destroying the native view.</x:v>
      </x:c>
      <x:c r="J321" s="8" t="n">
        <x:f>IF(G321="yes",1,0)</x:f>
        <x:v>1</x:v>
      </x:c>
      <x:c r="K321" s="8" t="n">
        <x:f>IF(G321="no",5,IF(E321&gt;800,3,1))</x:f>
        <x:v>1</x:v>
      </x:c>
      <x:c r="L321" s="8" t="str">
        <x:v>https://developer.apple.com/documentation/webkit/wkwebview</x:v>
      </x:c>
    </x:row>
    <x:row r="322">
      <x:c r="A322" s="8" t="str">
        <x:v>evt-00317</x:v>
      </x:c>
      <x:c r="B322" s="10" t="n">
        <x:v>46058.17796296296</x:v>
      </x:c>
      <x:c r="C322" s="8" t="str">
        <x:v>Linux</x:v>
      </x:c>
      <x:c r="D322" s="8" t="str">
        <x:v>large JSON</x:v>
      </x:c>
      <x:c r="E322" s="12" t="n">
        <x:v>114</x:v>
      </x:c>
      <x:c r="F322" s="12" t="n">
        <x:v>120.7</x:v>
      </x:c>
      <x:c r="G322" s="8" t="str">
        <x:v>yes</x:v>
      </x:c>
      <x:c r="H322" s="8" t="n">
        <x:v>45</x:v>
      </x:c>
      <x:c r="I322" s="8"/>
      <x:c r="J322" s="8" t="n">
        <x:f>IF(G322="yes",1,0)</x:f>
        <x:v>1</x:v>
      </x:c>
      <x:c r="K322" s="8" t="n">
        <x:f>IF(G322="no",5,IF(E322&gt;800,3,1))</x:f>
        <x:v>1</x:v>
      </x:c>
      <x:c r="L322" s="8" t="str">
        <x:v>https://github.com/react-native-webview/react-native-webview</x:v>
      </x:c>
    </x:row>
    <x:row r="323">
      <x:c r="A323" s="8" t="str">
        <x:v>evt-00318</x:v>
      </x:c>
      <x:c r="B323" s="10" t="n">
        <x:v>46087.22033564815</x:v>
      </x:c>
      <x:c r="C323" s="8" t="str">
        <x:v>Linux</x:v>
      </x:c>
      <x:c r="D323" s="8" t="str">
        <x:v>bridge message</x:v>
      </x:c>
      <x:c r="E323" s="12" t="n">
        <x:v>1252</x:v>
      </x:c>
      <x:c r="F323" s="12" t="n">
        <x:v>471.8</x:v>
      </x:c>
      <x:c r="G323" s="8" t="str">
        <x:v>no</x:v>
      </x:c>
      <x:c r="H323" s="8" t="n">
        <x:v>369</x:v>
      </x:c>
      <x:c r="I323" s="8"/>
      <x:c r="J323" s="8" t="n">
        <x:f>IF(G323="yes",1,0)</x:f>
        <x:v>0</x:v>
      </x:c>
      <x:c r="K323" s="8" t="n">
        <x:f>IF(G323="no",5,IF(E323&gt;800,3,1))</x:f>
        <x:v>5</x:v>
      </x:c>
      <x:c r="L323" s="8" t="str">
        <x:v>https://developer.microsoft.com/en-us/microsoft-edge/webview2/</x:v>
      </x:c>
    </x:row>
    <x:row r="324">
      <x:c r="A324" s="8" t="str">
        <x:v>evt-00319</x:v>
      </x:c>
      <x:c r="B324" s="10" t="n">
        <x:v>46119.262708333335</x:v>
      </x:c>
      <x:c r="C324" s="8" t="str">
        <x:v>macOS</x:v>
      </x:c>
      <x:c r="D324" s="8" t="str">
        <x:v>reload</x:v>
      </x:c>
      <x:c r="E324" s="12" t="n">
        <x:v>801</x:v>
      </x:c>
      <x:c r="F324" s="12" t="n">
        <x:v>703.3</x:v>
      </x:c>
      <x:c r="G324" s="8" t="str">
        <x:v>no</x:v>
      </x:c>
      <x:c r="H324" s="8" t="n">
        <x:v>423</x:v>
      </x:c>
      <x:c r="I324" s="8" t="str">
        <x:v>This sentence is long enough to exercise wrapping and downstream chunk boundaries in Markdown output.</x:v>
      </x:c>
      <x:c r="J324" s="8" t="n">
        <x:f>IF(G324="yes",1,0)</x:f>
        <x:v>0</x:v>
      </x:c>
      <x:c r="K324" s="8" t="n">
        <x:f>IF(G324="no",5,IF(E324&gt;800,3,1))</x:f>
        <x:v>5</x:v>
      </x:c>
      <x:c r="L324" s="8"/>
    </x:row>
    <x:row r="325">
      <x:c r="A325" s="8" t="str">
        <x:v>evt-00320</x:v>
      </x:c>
      <x:c r="B325" s="10" t="n">
        <x:v>46150.305081018516</x:v>
      </x:c>
      <x:c r="C325" s="8" t="str">
        <x:v>Windows</x:v>
      </x:c>
      <x:c r="D325" s="8" t="str">
        <x:v>download</x:v>
      </x:c>
      <x:c r="E325" s="12" t="n">
        <x:v>700</x:v>
      </x:c>
      <x:c r="F325" s="12" t="n">
        <x:v>831.8</x:v>
      </x:c>
      <x:c r="G325" s="8" t="str">
        <x:v>yes</x:v>
      </x:c>
      <x:c r="H325" s="8" t="n">
        <x:v>226</x:v>
      </x:c>
      <x:c r="I325" s="8"/>
      <x:c r="J325" s="8" t="n">
        <x:f>IF(G325="yes",1,0)</x:f>
        <x:v>1</x:v>
      </x:c>
      <x:c r="K325" s="8" t="n">
        <x:f>IF(G325="no",5,IF(E325&gt;800,3,1))</x:f>
        <x:v>1</x:v>
      </x:c>
      <x:c r="L325" s="8"/>
    </x:row>
    <x:row r="326">
      <x:c r="A326" s="8" t="str">
        <x:v>evt-00321</x:v>
      </x:c>
      <x:c r="B326" s="10" t="n">
        <x:v>46182.347453703704</x:v>
      </x:c>
      <x:c r="C326" s="8" t="str">
        <x:v>Android</x:v>
      </x:c>
      <x:c r="D326" s="8" t="str">
        <x:v>bridge message</x:v>
      </x:c>
      <x:c r="E326" s="12" t="n">
        <x:v>1035</x:v>
      </x:c>
      <x:c r="F326" s="12" t="n">
        <x:v>757.5</x:v>
      </x:c>
      <x:c r="G326" s="8" t="str">
        <x:v>yes</x:v>
      </x:c>
      <x:c r="H326" s="8" t="n">
        <x:v>546</x:v>
      </x:c>
      <x:c r="I326" s="8"/>
      <x:c r="J326" s="8" t="n">
        <x:f>IF(G326="yes",1,0)</x:f>
        <x:v>1</x:v>
      </x:c>
      <x:c r="K326" s="8" t="n">
        <x:f>IF(G326="no",5,IF(E326&gt;800,3,1))</x:f>
        <x:v>3</x:v>
      </x:c>
      <x:c r="L326" s="8" t="str">
        <x:v>https://developer.android.com/reference/android/webkit/WebView</x:v>
      </x:c>
    </x:row>
    <x:row r="327">
      <x:c r="A327" s="8" t="str">
        <x:v>evt-00322</x:v>
      </x:c>
      <x:c r="B327" s="10" t="n">
        <x:v>46213.38982638889</x:v>
      </x:c>
      <x:c r="C327" s="8" t="str">
        <x:v>Android</x:v>
      </x:c>
      <x:c r="D327" s="8" t="str">
        <x:v>file upload</x:v>
      </x:c>
      <x:c r="E327" s="12" t="n">
        <x:v>1122</x:v>
      </x:c>
      <x:c r="F327" s="12" t="n">
        <x:v>244.7</x:v>
      </x:c>
      <x:c r="G327" s="8" t="str">
        <x:v>yes</x:v>
      </x:c>
      <x:c r="H327" s="8" t="n">
        <x:v>682</x:v>
      </x:c>
      <x:c r="I327" s="8" t="str">
        <x:v>Observed in a local test run: the content rendered, but the console warning appeared twice.</x:v>
      </x:c>
      <x:c r="J327" s="8" t="n">
        <x:f>IF(G327="yes",1,0)</x:f>
        <x:v>1</x:v>
      </x:c>
      <x:c r="K327" s="8" t="n">
        <x:f>IF(G327="no",5,IF(E327&gt;800,3,1))</x:f>
        <x:v>3</x:v>
      </x:c>
      <x:c r="L327" s="8" t="str">
        <x:v>https://developer.microsoft.com/en-us/microsoft-edge/webview2/</x:v>
      </x:c>
    </x:row>
    <x:row r="328">
      <x:c r="A328" s="8" t="str">
        <x:v>evt-00323</x:v>
      </x:c>
      <x:c r="B328" s="10" t="n">
        <x:v>46245.43219907407</x:v>
      </x:c>
      <x:c r="C328" s="8" t="str">
        <x:v>Windows</x:v>
      </x:c>
      <x:c r="D328" s="8" t="str">
        <x:v>reload</x:v>
      </x:c>
      <x:c r="E328" s="12" t="n">
        <x:v>887</x:v>
      </x:c>
      <x:c r="F328" s="12" t="n">
        <x:v>306.7</x:v>
      </x:c>
      <x:c r="G328" s="8" t="str">
        <x:v>yes</x:v>
      </x:c>
      <x:c r="H328" s="8" t="n">
        <x:v>84</x:v>
      </x:c>
      <x:c r="I328" s="8" t="str">
        <x:v>The bridge callback is stable for small payloads, but large JSON messages show visible delay during navigation.</x:v>
      </x:c>
      <x:c r="J328" s="8" t="n">
        <x:f>IF(G328="yes",1,0)</x:f>
        <x:v>1</x:v>
      </x:c>
      <x:c r="K328" s="8" t="n">
        <x:f>IF(G328="no",5,IF(E328&gt;800,3,1))</x:f>
        <x:v>3</x:v>
      </x:c>
      <x:c r="L328" s="8"/>
    </x:row>
    <x:row r="329">
      <x:c r="A329" s="8" t="str">
        <x:v>evt-00324</x:v>
      </x:c>
      <x:c r="B329" s="10" t="n">
        <x:v>46277.47457175926</x:v>
      </x:c>
      <x:c r="C329" s="8" t="str">
        <x:v>Android</x:v>
      </x:c>
      <x:c r="D329" s="8" t="str">
        <x:v>large JSON</x:v>
      </x:c>
      <x:c r="E329" s="12" t="n">
        <x:v>515</x:v>
      </x:c>
      <x:c r="F329" s="12" t="n">
        <x:v>660</x:v>
      </x:c>
      <x:c r="G329" s="8" t="str">
        <x:v>no</x:v>
      </x:c>
      <x:c r="H329" s="8" t="n">
        <x:v>50</x:v>
      </x:c>
      <x:c r="I329" s="8" t="str">
        <x:v>Follow-up: compare the result when the network security policy is relaxed versus when it is enforced.</x:v>
      </x:c>
      <x:c r="J329" s="8" t="n">
        <x:f>IF(G329="yes",1,0)</x:f>
        <x:v>0</x:v>
      </x:c>
      <x:c r="K329" s="8" t="n">
        <x:f>IF(G329="no",5,IF(E329&gt;800,3,1))</x:f>
        <x:v>5</x:v>
      </x:c>
      <x:c r="L329" s="8"/>
    </x:row>
    <x:row r="330">
      <x:c r="A330" s="8" t="str">
        <x:v>evt-00325</x:v>
      </x:c>
      <x:c r="B330" s="10" t="n">
        <x:v>46035.51694444445</x:v>
      </x:c>
      <x:c r="C330" s="8" t="str">
        <x:v>Linux</x:v>
      </x:c>
      <x:c r="D330" s="8" t="str">
        <x:v>bridge message</x:v>
      </x:c>
      <x:c r="E330" s="12" t="n">
        <x:v>1180</x:v>
      </x:c>
      <x:c r="F330" s="12" t="n">
        <x:v>465</x:v>
      </x:c>
      <x:c r="G330" s="8" t="str">
        <x:v>yes</x:v>
      </x:c>
      <x:c r="H330" s="8" t="n">
        <x:v>136</x:v>
      </x:c>
      <x:c r="I330" s="8" t="str">
        <x:v>Potential duplicate: this paragraph is repeated in another section to test deduplication and chunk metadata.</x:v>
      </x:c>
      <x:c r="J330" s="8" t="n">
        <x:f>IF(G330="yes",1,0)</x:f>
        <x:v>1</x:v>
      </x:c>
      <x:c r="K330" s="8" t="n">
        <x:f>IF(G330="no",5,IF(E330&gt;800,3,1))</x:f>
        <x:v>3</x:v>
      </x:c>
      <x:c r="L330" s="8" t="str">
        <x:v>https://learn.microsoft.com/en-us/microsoft-edge/webview2/concepts/security</x:v>
      </x:c>
    </x:row>
    <x:row r="331">
      <x:c r="A331" s="8" t="str">
        <x:v>evt-00326</x:v>
      </x:c>
      <x:c r="B331" s="10" t="n">
        <x:v>46067.55931712963</x:v>
      </x:c>
      <x:c r="C331" s="8" t="str">
        <x:v>Android</x:v>
      </x:c>
      <x:c r="D331" s="8" t="str">
        <x:v>navigation</x:v>
      </x:c>
      <x:c r="E331" s="12" t="n">
        <x:v>58</x:v>
      </x:c>
      <x:c r="F331" s="12" t="n">
        <x:v>579.2</x:v>
      </x:c>
      <x:c r="G331" s="8" t="str">
        <x:v>yes</x:v>
      </x:c>
      <x:c r="H331" s="8" t="n">
        <x:v>879</x:v>
      </x:c>
      <x:c r="I331" s="8"/>
      <x:c r="J331" s="8" t="n">
        <x:f>IF(G331="yes",1,0)</x:f>
        <x:v>1</x:v>
      </x:c>
      <x:c r="K331" s="8" t="n">
        <x:f>IF(G331="no",5,IF(E331&gt;800,3,1))</x:f>
        <x:v>1</x:v>
      </x:c>
      <x:c r="L331" s="8" t="str">
        <x:v>https://github.com/react-native-webview/react-native-webview</x:v>
      </x:c>
    </x:row>
    <x:row r="332">
      <x:c r="A332" s="8" t="str">
        <x:v>evt-00327</x:v>
      </x:c>
      <x:c r="B332" s="10" t="n">
        <x:v>46096.601689814815</x:v>
      </x:c>
      <x:c r="C332" s="8" t="str">
        <x:v>macOS</x:v>
      </x:c>
      <x:c r="D332" s="8" t="str">
        <x:v>large JSON</x:v>
      </x:c>
      <x:c r="E332" s="12" t="n">
        <x:v>1143</x:v>
      </x:c>
      <x:c r="F332" s="12" t="n">
        <x:v>646.2</x:v>
      </x:c>
      <x:c r="G332" s="8" t="str">
        <x:v>yes</x:v>
      </x:c>
      <x:c r="H332" s="8" t="n">
        <x:v>108</x:v>
      </x:c>
      <x:c r="I332" s="8" t="str">
        <x:v>Follow-up: compare the result when the network security policy is relaxed versus when it is enforced.</x:v>
      </x:c>
      <x:c r="J332" s="8" t="n">
        <x:f>IF(G332="yes",1,0)</x:f>
        <x:v>1</x:v>
      </x:c>
      <x:c r="K332" s="8" t="n">
        <x:f>IF(G332="no",5,IF(E332&gt;800,3,1))</x:f>
        <x:v>3</x:v>
      </x:c>
      <x:c r="L332" s="8"/>
    </x:row>
    <x:row r="333">
      <x:c r="A333" s="8" t="str">
        <x:v>evt-00328</x:v>
      </x:c>
      <x:c r="B333" s="10" t="n">
        <x:v>46128.6440625</x:v>
      </x:c>
      <x:c r="C333" s="8" t="str">
        <x:v>Android</x:v>
      </x:c>
      <x:c r="D333" s="8" t="str">
        <x:v>download</x:v>
      </x:c>
      <x:c r="E333" s="12" t="n">
        <x:v>667</x:v>
      </x:c>
      <x:c r="F333" s="12" t="n">
        <x:v>147.8</x:v>
      </x:c>
      <x:c r="G333" s="8" t="str">
        <x:v>yes</x:v>
      </x:c>
      <x:c r="H333" s="8" t="n">
        <x:v>627</x:v>
      </x:c>
      <x:c r="I333" s="8"/>
      <x:c r="J333" s="8" t="n">
        <x:f>IF(G333="yes",1,0)</x:f>
        <x:v>1</x:v>
      </x:c>
      <x:c r="K333" s="8" t="n">
        <x:f>IF(G333="no",5,IF(E333&gt;800,3,1))</x:f>
        <x:v>1</x:v>
      </x:c>
      <x:c r="L333" s="8"/>
    </x:row>
    <x:row r="334">
      <x:c r="A334" s="8" t="str">
        <x:v>evt-00329</x:v>
      </x:c>
      <x:c r="B334" s="10" t="n">
        <x:v>46159.686435185184</x:v>
      </x:c>
      <x:c r="C334" s="8" t="str">
        <x:v>Android</x:v>
      </x:c>
      <x:c r="D334" s="8" t="str">
        <x:v>navigation</x:v>
      </x:c>
      <x:c r="E334" s="12" t="n">
        <x:v>496</x:v>
      </x:c>
      <x:c r="F334" s="12" t="n">
        <x:v>555.3</x:v>
      </x:c>
      <x:c r="G334" s="8" t="str">
        <x:v>yes</x:v>
      </x:c>
      <x:c r="H334" s="8" t="n">
        <x:v>558</x:v>
      </x:c>
      <x:c r="I334" s="8" t="str">
        <x:v>The owner field was not captured in the original notes, so classification should remain conservative.</x:v>
      </x:c>
      <x:c r="J334" s="8" t="n">
        <x:f>IF(G334="yes",1,0)</x:f>
        <x:v>1</x:v>
      </x:c>
      <x:c r="K334" s="8" t="n">
        <x:f>IF(G334="no",5,IF(E334&gt;800,3,1))</x:f>
        <x:v>1</x:v>
      </x:c>
      <x:c r="L334" s="8"/>
    </x:row>
    <x:row r="335">
      <x:c r="A335" s="8" t="str">
        <x:v>evt-00330</x:v>
      </x:c>
      <x:c r="B335" s="10" t="n">
        <x:v>46191.72880787037</x:v>
      </x:c>
      <x:c r="C335" s="8" t="str">
        <x:v>Windows</x:v>
      </x:c>
      <x:c r="D335" s="8" t="str">
        <x:v>file upload</x:v>
      </x:c>
      <x:c r="E335" s="12" t="n">
        <x:v>528</x:v>
      </x:c>
      <x:c r="F335" s="12" t="n">
        <x:v>815.6</x:v>
      </x:c>
      <x:c r="G335" s="8" t="str">
        <x:v>yes</x:v>
      </x:c>
      <x:c r="H335" s="8" t="n">
        <x:v>628</x:v>
      </x:c>
      <x:c r="I335" s="8"/>
      <x:c r="J335" s="8" t="n">
        <x:f>IF(G335="yes",1,0)</x:f>
        <x:v>1</x:v>
      </x:c>
      <x:c r="K335" s="8" t="n">
        <x:f>IF(G335="no",5,IF(E335&gt;800,3,1))</x:f>
        <x:v>1</x:v>
      </x:c>
      <x:c r="L335" s="8"/>
    </x:row>
    <x:row r="336">
      <x:c r="A336" s="8" t="str">
        <x:v>evt-00331</x:v>
      </x:c>
      <x:c r="B336" s="10" t="n">
        <x:v>46222.77118055556</x:v>
      </x:c>
      <x:c r="C336" s="8" t="str">
        <x:v>Android</x:v>
      </x:c>
      <x:c r="D336" s="8" t="str">
        <x:v>large JSON</x:v>
      </x:c>
      <x:c r="E336" s="12" t="n">
        <x:v>797</x:v>
      </x:c>
      <x:c r="F336" s="12" t="n">
        <x:v>149.5</x:v>
      </x:c>
      <x:c r="G336" s="8" t="str">
        <x:v>yes</x:v>
      </x:c>
      <x:c r="H336" s="8" t="n">
        <x:v>785</x:v>
      </x:c>
      <x:c r="I336" s="8"/>
      <x:c r="J336" s="8" t="n">
        <x:f>IF(G336="yes",1,0)</x:f>
        <x:v>1</x:v>
      </x:c>
      <x:c r="K336" s="8" t="n">
        <x:f>IF(G336="no",5,IF(E336&gt;800,3,1))</x:f>
        <x:v>1</x:v>
      </x:c>
      <x:c r="L336" s="8" t="str">
        <x:v>https://developer.android.com/reference/android/webkit/WebView</x:v>
      </x:c>
    </x:row>
    <x:row r="337">
      <x:c r="A337" s="8" t="str">
        <x:v>evt-00332</x:v>
      </x:c>
      <x:c r="B337" s="10" t="n">
        <x:v>46254.81355324074</x:v>
      </x:c>
      <x:c r="C337" s="8" t="str">
        <x:v>Android</x:v>
      </x:c>
      <x:c r="D337" s="8" t="str">
        <x:v>navigation</x:v>
      </x:c>
      <x:c r="E337" s="12" t="n">
        <x:v>356</x:v>
      </x:c>
      <x:c r="F337" s="12" t="n">
        <x:v>196.4</x:v>
      </x:c>
      <x:c r="G337" s="8" t="str">
        <x:v>no</x:v>
      </x:c>
      <x:c r="H337" s="8" t="n">
        <x:v>380</x:v>
      </x:c>
      <x:c r="I337" s="8"/>
      <x:c r="J337" s="8" t="n">
        <x:f>IF(G337="yes",1,0)</x:f>
        <x:v>0</x:v>
      </x:c>
      <x:c r="K337" s="8" t="n">
        <x:f>IF(G337="no",5,IF(E337&gt;800,3,1))</x:f>
        <x:v>5</x:v>
      </x:c>
      <x:c r="L337" s="8"/>
    </x:row>
    <x:row r="338">
      <x:c r="A338" s="8" t="str">
        <x:v>evt-00333</x:v>
      </x:c>
      <x:c r="B338" s="10" t="n">
        <x:v>46286.85592592593</x:v>
      </x:c>
      <x:c r="C338" s="8" t="str">
        <x:v>iOS</x:v>
      </x:c>
      <x:c r="D338" s="8" t="str">
        <x:v>navigation</x:v>
      </x:c>
      <x:c r="E338" s="12" t="n">
        <x:v>771</x:v>
      </x:c>
      <x:c r="F338" s="12" t="n">
        <x:v>760.5</x:v>
      </x:c>
      <x:c r="G338" s="8" t="str">
        <x:v>yes</x:v>
      </x:c>
      <x:c r="H338" s="8" t="n">
        <x:v>311</x:v>
      </x:c>
      <x:c r="I338" s="8"/>
      <x:c r="J338" s="8" t="n">
        <x:f>IF(G338="yes",1,0)</x:f>
        <x:v>1</x:v>
      </x:c>
      <x:c r="K338" s="8" t="n">
        <x:f>IF(G338="no",5,IF(E338&gt;800,3,1))</x:f>
        <x:v>1</x:v>
      </x:c>
      <x:c r="L338" s="8"/>
    </x:row>
    <x:row r="339">
      <x:c r="A339" s="8" t="str">
        <x:v>evt-00334</x:v>
      </x:c>
      <x:c r="B339" s="10" t="n">
        <x:v>46044.89829861111</x:v>
      </x:c>
      <x:c r="C339" s="8" t="str">
        <x:v>Windows</x:v>
      </x:c>
      <x:c r="D339" s="8" t="str">
        <x:v>large JSON</x:v>
      </x:c>
      <x:c r="E339" s="12" t="n">
        <x:v>1116</x:v>
      </x:c>
      <x:c r="F339" s="12" t="n">
        <x:v>141.2</x:v>
      </x:c>
      <x:c r="G339" s="8" t="str">
        <x:v>yes</x:v>
      </x:c>
      <x:c r="H339" s="8" t="n">
        <x:v>81</x:v>
      </x:c>
      <x:c r="I339" s="8" t="str">
        <x:v>The bridge callback is stable for small payloads, but large JSON messages show visible delay during navigation.</x:v>
      </x:c>
      <x:c r="J339" s="8" t="n">
        <x:f>IF(G339="yes",1,0)</x:f>
        <x:v>1</x:v>
      </x:c>
      <x:c r="K339" s="8" t="n">
        <x:f>IF(G339="no",5,IF(E339&gt;800,3,1))</x:f>
        <x:v>3</x:v>
      </x:c>
      <x:c r="L339" s="8" t="str">
        <x:v>https://github.com/react-native-webview/react-native-webview</x:v>
      </x:c>
    </x:row>
    <x:row r="340">
      <x:c r="A340" s="8" t="str">
        <x:v>evt-00335</x:v>
      </x:c>
      <x:c r="B340" s="10" t="n">
        <x:v>46076.940671296295</x:v>
      </x:c>
      <x:c r="C340" s="8" t="str">
        <x:v>Windows</x:v>
      </x:c>
      <x:c r="D340" s="8" t="str">
        <x:v>reload</x:v>
      </x:c>
      <x:c r="E340" s="12" t="n">
        <x:v>176</x:v>
      </x:c>
      <x:c r="F340" s="12" t="n">
        <x:v>466.5</x:v>
      </x:c>
      <x:c r="G340" s="8" t="str">
        <x:v>yes</x:v>
      </x:c>
      <x:c r="H340" s="8" t="n">
        <x:v>833</x:v>
      </x:c>
      <x:c r="I340" s="8" t="str">
        <x:v>This sentence is long enough to exercise wrapping and downstream chunk boundaries in Markdown output.</x:v>
      </x:c>
      <x:c r="J340" s="8" t="n">
        <x:f>IF(G340="yes",1,0)</x:f>
        <x:v>1</x:v>
      </x:c>
      <x:c r="K340" s="8" t="n">
        <x:f>IF(G340="no",5,IF(E340&gt;800,3,1))</x:f>
        <x:v>1</x:v>
      </x:c>
      <x:c r="L340" s="8"/>
    </x:row>
    <x:row r="341">
      <x:c r="A341" s="8" t="str">
        <x:v>evt-00336</x:v>
      </x:c>
      <x:c r="B341" s="10" t="n">
        <x:v>46105.98304398148</x:v>
      </x:c>
      <x:c r="C341" s="8" t="str">
        <x:v>iOS</x:v>
      </x:c>
      <x:c r="D341" s="8" t="str">
        <x:v>download</x:v>
      </x:c>
      <x:c r="E341" s="12" t="n">
        <x:v>1334</x:v>
      </x:c>
      <x:c r="F341" s="12" t="n">
        <x:v>321.3</x:v>
      </x:c>
      <x:c r="G341" s="8" t="str">
        <x:v>yes</x:v>
      </x:c>
      <x:c r="H341" s="8" t="n">
        <x:v>631</x:v>
      </x:c>
      <x:c r="I341" s="8" t="str">
        <x:v>The bridge callback is stable for small payloads, but large JSON messages show visible delay during navigation.</x:v>
      </x:c>
      <x:c r="J341" s="8" t="n">
        <x:f>IF(G341="yes",1,0)</x:f>
        <x:v>1</x:v>
      </x:c>
      <x:c r="K341" s="8" t="n">
        <x:f>IF(G341="no",5,IF(E341&gt;800,3,1))</x:f>
        <x:v>3</x:v>
      </x:c>
      <x:c r="L341" s="8"/>
    </x:row>
    <x:row r="342">
      <x:c r="A342" s="8" t="str">
        <x:v>evt-00337</x:v>
      </x:c>
      <x:c r="B342" s="10" t="n">
        <x:v>46137.025416666664</x:v>
      </x:c>
      <x:c r="C342" s="8" t="str">
        <x:v>macOS</x:v>
      </x:c>
      <x:c r="D342" s="8" t="str">
        <x:v>large JSON</x:v>
      </x:c>
      <x:c r="E342" s="12" t="n">
        <x:v>679</x:v>
      </x:c>
      <x:c r="F342" s="12" t="n">
        <x:v>901.8</x:v>
      </x:c>
      <x:c r="G342" s="8" t="str">
        <x:v>yes</x:v>
      </x:c>
      <x:c r="H342" s="8" t="n">
        <x:v>150</x:v>
      </x:c>
      <x:c r="I342" s="8"/>
      <x:c r="J342" s="8" t="n">
        <x:f>IF(G342="yes",1,0)</x:f>
        <x:v>1</x:v>
      </x:c>
      <x:c r="K342" s="8" t="n">
        <x:f>IF(G342="no",5,IF(E342&gt;800,3,1))</x:f>
        <x:v>1</x:v>
      </x:c>
      <x:c r="L342" s="8"/>
    </x:row>
    <x:row r="343">
      <x:c r="A343" s="8" t="str">
        <x:v>evt-00338</x:v>
      </x:c>
      <x:c r="B343" s="10" t="n">
        <x:v>46168.06778935185</x:v>
      </x:c>
      <x:c r="C343" s="8" t="str">
        <x:v>iOS</x:v>
      </x:c>
      <x:c r="D343" s="8" t="str">
        <x:v>navigation</x:v>
      </x:c>
      <x:c r="E343" s="12" t="n">
        <x:v>229</x:v>
      </x:c>
      <x:c r="F343" s="12" t="n">
        <x:v>156.7</x:v>
      </x:c>
      <x:c r="G343" s="8" t="str">
        <x:v>yes</x:v>
      </x:c>
      <x:c r="H343" s="8" t="n">
        <x:v>280</x:v>
      </x:c>
      <x:c r="I343" s="8" t="str">
        <x:v>Follow-up: compare the result when the network security policy is relaxed versus when it is enforced.</x:v>
      </x:c>
      <x:c r="J343" s="8" t="n">
        <x:f>IF(G343="yes",1,0)</x:f>
        <x:v>1</x:v>
      </x:c>
      <x:c r="K343" s="8" t="n">
        <x:f>IF(G343="no",5,IF(E343&gt;800,3,1))</x:f>
        <x:v>1</x:v>
      </x:c>
      <x:c r="L343" s="8" t="str">
        <x:v>https://github.com/react-native-webview/react-native-webview</x:v>
      </x:c>
    </x:row>
    <x:row r="344">
      <x:c r="A344" s="8" t="str">
        <x:v>evt-00339</x:v>
      </x:c>
      <x:c r="B344" s="10" t="n">
        <x:v>46174.11016203704</x:v>
      </x:c>
      <x:c r="C344" s="8" t="str">
        <x:v>macOS</x:v>
      </x:c>
      <x:c r="D344" s="8" t="str">
        <x:v>bridge message</x:v>
      </x:c>
      <x:c r="E344" s="12" t="n">
        <x:v>662</x:v>
      </x:c>
      <x:c r="F344" s="12" t="n">
        <x:v>801</x:v>
      </x:c>
      <x:c r="G344" s="8" t="str">
        <x:v>yes</x:v>
      </x:c>
      <x:c r="H344" s="8" t="n">
        <x:v>844</x:v>
      </x:c>
      <x:c r="I344" s="8" t="str">
        <x:v>Follow-up: compare the result when the network security policy is relaxed versus when it is enforced.</x:v>
      </x:c>
      <x:c r="J344" s="8" t="n">
        <x:f>IF(G344="yes",1,0)</x:f>
        <x:v>1</x:v>
      </x:c>
      <x:c r="K344" s="8" t="n">
        <x:f>IF(G344="no",5,IF(E344&gt;800,3,1))</x:f>
        <x:v>1</x:v>
      </x:c>
      <x:c r="L344" s="8"/>
    </x:row>
    <x:row r="345">
      <x:c r="A345" s="8" t="str">
        <x:v>evt-00340</x:v>
      </x:c>
      <x:c r="B345" s="10" t="n">
        <x:v>46205.15253472222</x:v>
      </x:c>
      <x:c r="C345" s="8" t="str">
        <x:v>Linux</x:v>
      </x:c>
      <x:c r="D345" s="8" t="str">
        <x:v>bridge message</x:v>
      </x:c>
      <x:c r="E345" s="12" t="n">
        <x:v>978</x:v>
      </x:c>
      <x:c r="F345" s="12" t="n">
        <x:v>661.1</x:v>
      </x:c>
      <x:c r="G345" s="8" t="str">
        <x:v>yes</x:v>
      </x:c>
      <x:c r="H345" s="8" t="n">
        <x:v>188</x:v>
      </x:c>
      <x:c r="I345" s="8"/>
      <x:c r="J345" s="8" t="n">
        <x:f>IF(G345="yes",1,0)</x:f>
        <x:v>1</x:v>
      </x:c>
      <x:c r="K345" s="8" t="n">
        <x:f>IF(G345="no",5,IF(E345&gt;800,3,1))</x:f>
        <x:v>3</x:v>
      </x:c>
      <x:c r="L345" s="8"/>
    </x:row>
    <x:row r="346">
      <x:c r="A346" s="8" t="str">
        <x:v>evt-00341</x:v>
      </x:c>
      <x:c r="B346" s="10" t="n">
        <x:v>46237.19490740741</x:v>
      </x:c>
      <x:c r="C346" s="8" t="str">
        <x:v>Linux</x:v>
      </x:c>
      <x:c r="D346" s="8" t="str">
        <x:v>download</x:v>
      </x:c>
      <x:c r="E346" s="12" t="n">
        <x:v>289</x:v>
      </x:c>
      <x:c r="F346" s="12" t="n">
        <x:v>836.9</x:v>
      </x:c>
      <x:c r="G346" s="8" t="str">
        <x:v>yes</x:v>
      </x:c>
      <x:c r="H346" s="8" t="n">
        <x:v>253</x:v>
      </x:c>
      <x:c r="I346" s="8"/>
      <x:c r="J346" s="8" t="n">
        <x:f>IF(G346="yes",1,0)</x:f>
        <x:v>1</x:v>
      </x:c>
      <x:c r="K346" s="8" t="n">
        <x:f>IF(G346="no",5,IF(E346&gt;800,3,1))</x:f>
        <x:v>1</x:v>
      </x:c>
      <x:c r="L346" s="8"/>
    </x:row>
    <x:row r="347">
      <x:c r="A347" s="8" t="str">
        <x:v>evt-00342</x:v>
      </x:c>
      <x:c r="B347" s="10" t="n">
        <x:v>46269.237280092595</x:v>
      </x:c>
      <x:c r="C347" s="8" t="str">
        <x:v>Windows</x:v>
      </x:c>
      <x:c r="D347" s="8" t="str">
        <x:v>navigation</x:v>
      </x:c>
      <x:c r="E347" s="12" t="n">
        <x:v>1217</x:v>
      </x:c>
      <x:c r="F347" s="12" t="n">
        <x:v>587.3</x:v>
      </x:c>
      <x:c r="G347" s="8" t="str">
        <x:v>yes</x:v>
      </x:c>
      <x:c r="H347" s="8" t="n">
        <x:v>281</x:v>
      </x:c>
      <x:c r="I347" s="8"/>
      <x:c r="J347" s="8" t="n">
        <x:f>IF(G347="yes",1,0)</x:f>
        <x:v>1</x:v>
      </x:c>
      <x:c r="K347" s="8" t="n">
        <x:f>IF(G347="no",5,IF(E347&gt;800,3,1))</x:f>
        <x:v>3</x:v>
      </x:c>
      <x:c r="L347" s="8"/>
    </x:row>
    <x:row r="348">
      <x:c r="A348" s="8" t="str">
        <x:v>evt-00343</x:v>
      </x:c>
      <x:c r="B348" s="10" t="n">
        <x:v>46027.279652777775</x:v>
      </x:c>
      <x:c r="C348" s="8" t="str">
        <x:v>Android</x:v>
      </x:c>
      <x:c r="D348" s="8" t="str">
        <x:v>large JSON</x:v>
      </x:c>
      <x:c r="E348" s="12" t="n">
        <x:v>1401</x:v>
      </x:c>
      <x:c r="F348" s="12" t="n">
        <x:v>912.8</x:v>
      </x:c>
      <x:c r="G348" s="8" t="str">
        <x:v>yes</x:v>
      </x:c>
      <x:c r="H348" s="8" t="n">
        <x:v>410</x:v>
      </x:c>
      <x:c r="I348" s="8"/>
      <x:c r="J348" s="8" t="n">
        <x:f>IF(G348="yes",1,0)</x:f>
        <x:v>1</x:v>
      </x:c>
      <x:c r="K348" s="8" t="n">
        <x:f>IF(G348="no",5,IF(E348&gt;800,3,1))</x:f>
        <x:v>3</x:v>
      </x:c>
      <x:c r="L348" s="8" t="str">
        <x:v>https://developer.microsoft.com/en-us/microsoft-edge/webview2/</x:v>
      </x:c>
    </x:row>
    <x:row r="349">
      <x:c r="A349" s="8" t="str">
        <x:v>evt-00344</x:v>
      </x:c>
      <x:c r="B349" s="10" t="n">
        <x:v>46059.32202546296</x:v>
      </x:c>
      <x:c r="C349" s="8" t="str">
        <x:v>Android</x:v>
      </x:c>
      <x:c r="D349" s="8" t="str">
        <x:v>navigation</x:v>
      </x:c>
      <x:c r="E349" s="12" t="n">
        <x:v>1453</x:v>
      </x:c>
      <x:c r="F349" s="12" t="n">
        <x:v>469</x:v>
      </x:c>
      <x:c r="G349" s="8" t="str">
        <x:v>yes</x:v>
      </x:c>
      <x:c r="H349" s="8" t="n">
        <x:v>609</x:v>
      </x:c>
      <x:c r="I349" s="8" t="str">
        <x:v>Observed in a local test run: the content rendered, but the console warning appeared twice.</x:v>
      </x:c>
      <x:c r="J349" s="8" t="n">
        <x:f>IF(G349="yes",1,0)</x:f>
        <x:v>1</x:v>
      </x:c>
      <x:c r="K349" s="8" t="n">
        <x:f>IF(G349="no",5,IF(E349&gt;800,3,1))</x:f>
        <x:v>3</x:v>
      </x:c>
      <x:c r="L349" s="8"/>
    </x:row>
    <x:row r="350">
      <x:c r="A350" s="8" t="str">
        <x:v>evt-00345</x:v>
      </x:c>
      <x:c r="B350" s="10" t="n">
        <x:v>46088.36439814815</x:v>
      </x:c>
      <x:c r="C350" s="8" t="str">
        <x:v>iOS</x:v>
      </x:c>
      <x:c r="D350" s="8" t="str">
        <x:v>file upload</x:v>
      </x:c>
      <x:c r="E350" s="12" t="n">
        <x:v>422</x:v>
      </x:c>
      <x:c r="F350" s="12" t="n">
        <x:v>271.8</x:v>
      </x:c>
      <x:c r="G350" s="8" t="str">
        <x:v>no</x:v>
      </x:c>
      <x:c r="H350" s="8" t="n">
        <x:v>370</x:v>
      </x:c>
      <x:c r="I350" s="8"/>
      <x:c r="J350" s="8" t="n">
        <x:f>IF(G350="yes",1,0)</x:f>
        <x:v>0</x:v>
      </x:c>
      <x:c r="K350" s="8" t="n">
        <x:f>IF(G350="no",5,IF(E350&gt;800,3,1))</x:f>
        <x:v>5</x:v>
      </x:c>
      <x:c r="L350" s="8"/>
    </x:row>
    <x:row r="351">
      <x:c r="A351" s="8" t="str">
        <x:v>evt-00346</x:v>
      </x:c>
      <x:c r="B351" s="10" t="n">
        <x:v>46120.40677083333</x:v>
      </x:c>
      <x:c r="C351" s="8" t="str">
        <x:v>iOS</x:v>
      </x:c>
      <x:c r="D351" s="8" t="str">
        <x:v>navigation</x:v>
      </x:c>
      <x:c r="E351" s="12" t="n">
        <x:v>261</x:v>
      </x:c>
      <x:c r="F351" s="12" t="n">
        <x:v>100.1</x:v>
      </x:c>
      <x:c r="G351" s="8" t="str">
        <x:v>yes</x:v>
      </x:c>
      <x:c r="H351" s="8" t="n">
        <x:v>528</x:v>
      </x:c>
      <x:c r="I351" s="8" t="str">
        <x:v>The bridge callback is stable for small payloads, but large JSON messages show visible delay during navigation.</x:v>
      </x:c>
      <x:c r="J351" s="8" t="n">
        <x:f>IF(G351="yes",1,0)</x:f>
        <x:v>1</x:v>
      </x:c>
      <x:c r="K351" s="8" t="n">
        <x:f>IF(G351="no",5,IF(E351&gt;800,3,1))</x:f>
        <x:v>1</x:v>
      </x:c>
      <x:c r="L351" s="8"/>
    </x:row>
    <x:row r="352">
      <x:c r="A352" s="8" t="str">
        <x:v>evt-00347</x:v>
      </x:c>
      <x:c r="B352" s="10" t="n">
        <x:v>46151.44914351852</x:v>
      </x:c>
      <x:c r="C352" s="8" t="str">
        <x:v>macOS</x:v>
      </x:c>
      <x:c r="D352" s="8" t="str">
        <x:v>download</x:v>
      </x:c>
      <x:c r="E352" s="12" t="n">
        <x:v>152</x:v>
      </x:c>
      <x:c r="F352" s="12" t="n">
        <x:v>770.1</x:v>
      </x:c>
      <x:c r="G352" s="8" t="str">
        <x:v>no</x:v>
      </x:c>
      <x:c r="H352" s="8" t="n">
        <x:v>499</x:v>
      </x:c>
      <x:c r="I352" s="8"/>
      <x:c r="J352" s="8" t="n">
        <x:f>IF(G352="yes",1,0)</x:f>
        <x:v>0</x:v>
      </x:c>
      <x:c r="K352" s="8" t="n">
        <x:f>IF(G352="no",5,IF(E352&gt;800,3,1))</x:f>
        <x:v>5</x:v>
      </x:c>
      <x:c r="L352" s="8"/>
    </x:row>
    <x:row r="353">
      <x:c r="A353" s="8" t="str">
        <x:v>evt-00348</x:v>
      </x:c>
      <x:c r="B353" s="10" t="n">
        <x:v>46183.49151620371</x:v>
      </x:c>
      <x:c r="C353" s="8" t="str">
        <x:v>Windows</x:v>
      </x:c>
      <x:c r="D353" s="8" t="str">
        <x:v>reload</x:v>
      </x:c>
      <x:c r="E353" s="12" t="n">
        <x:v>815</x:v>
      </x:c>
      <x:c r="F353" s="12" t="n">
        <x:v>171</x:v>
      </x:c>
      <x:c r="G353" s="8" t="str">
        <x:v>yes</x:v>
      </x:c>
      <x:c r="H353" s="8" t="n">
        <x:v>378</x:v>
      </x:c>
      <x:c r="I353" s="8"/>
      <x:c r="J353" s="8" t="n">
        <x:f>IF(G353="yes",1,0)</x:f>
        <x:v>1</x:v>
      </x:c>
      <x:c r="K353" s="8" t="n">
        <x:f>IF(G353="no",5,IF(E353&gt;800,3,1))</x:f>
        <x:v>3</x:v>
      </x:c>
      <x:c r="L353" s="8"/>
    </x:row>
    <x:row r="354">
      <x:c r="A354" s="8" t="str">
        <x:v>evt-00349</x:v>
      </x:c>
      <x:c r="B354" s="10" t="n">
        <x:v>46214.53388888889</x:v>
      </x:c>
      <x:c r="C354" s="8" t="str">
        <x:v>macOS</x:v>
      </x:c>
      <x:c r="D354" s="8" t="str">
        <x:v>cold launch</x:v>
      </x:c>
      <x:c r="E354" s="12" t="n">
        <x:v>651</x:v>
      </x:c>
      <x:c r="F354" s="12" t="n">
        <x:v>238.8</x:v>
      </x:c>
      <x:c r="G354" s="8" t="str">
        <x:v>yes</x:v>
      </x:c>
      <x:c r="H354" s="8" t="n">
        <x:v>307</x:v>
      </x:c>
      <x:c r="I354" s="8"/>
      <x:c r="J354" s="8" t="n">
        <x:f>IF(G354="yes",1,0)</x:f>
        <x:v>1</x:v>
      </x:c>
      <x:c r="K354" s="8" t="n">
        <x:f>IF(G354="no",5,IF(E354&gt;800,3,1))</x:f>
        <x:v>1</x:v>
      </x:c>
      <x:c r="L354" s="8"/>
    </x:row>
    <x:row r="355">
      <x:c r="A355" s="8" t="str">
        <x:v>evt-00350</x:v>
      </x:c>
      <x:c r="B355" s="10" t="n">
        <x:v>46246.576261574075</x:v>
      </x:c>
      <x:c r="C355" s="8" t="str">
        <x:v>macOS</x:v>
      </x:c>
      <x:c r="D355" s="8" t="str">
        <x:v>file upload</x:v>
      </x:c>
      <x:c r="E355" s="12" t="n">
        <x:v>1104</x:v>
      </x:c>
      <x:c r="F355" s="12" t="n">
        <x:v>126.3</x:v>
      </x:c>
      <x:c r="G355" s="8" t="str">
        <x:v>yes</x:v>
      </x:c>
      <x:c r="H355" s="8" t="n">
        <x:v>637</x:v>
      </x:c>
      <x:c r="I355" s="8"/>
      <x:c r="J355" s="8" t="n">
        <x:f>IF(G355="yes",1,0)</x:f>
        <x:v>1</x:v>
      </x:c>
      <x:c r="K355" s="8" t="n">
        <x:f>IF(G355="no",5,IF(E355&gt;800,3,1))</x:f>
        <x:v>3</x:v>
      </x:c>
      <x:c r="L355" s="8"/>
    </x:row>
    <x:row r="356">
      <x:c r="A356" s="8" t="str">
        <x:v>evt-00351</x:v>
      </x:c>
      <x:c r="B356" s="10" t="n">
        <x:v>46278.61863425926</x:v>
      </x:c>
      <x:c r="C356" s="8" t="str">
        <x:v>Android</x:v>
      </x:c>
      <x:c r="D356" s="8" t="str">
        <x:v>download</x:v>
      </x:c>
      <x:c r="E356" s="12" t="n">
        <x:v>676</x:v>
      </x:c>
      <x:c r="F356" s="12" t="n">
        <x:v>453.5</x:v>
      </x:c>
      <x:c r="G356" s="8" t="str">
        <x:v>no</x:v>
      </x:c>
      <x:c r="H356" s="8" t="n">
        <x:v>518</x:v>
      </x:c>
      <x:c r="I356" s="8" t="str">
        <x:v>A blank cell here is intentional. The source workbook has notes placed away from the nearest table.</x:v>
      </x:c>
      <x:c r="J356" s="8" t="n">
        <x:f>IF(G356="yes",1,0)</x:f>
        <x:v>0</x:v>
      </x:c>
      <x:c r="K356" s="8" t="n">
        <x:f>IF(G356="no",5,IF(E356&gt;800,3,1))</x:f>
        <x:v>5</x:v>
      </x:c>
      <x:c r="L356" s="8"/>
    </x:row>
    <x:row r="357">
      <x:c r="A357" s="8" t="str">
        <x:v>evt-00352</x:v>
      </x:c>
      <x:c r="B357" s="10" t="n">
        <x:v>46036.66100694444</x:v>
      </x:c>
      <x:c r="C357" s="8" t="str">
        <x:v>iOS</x:v>
      </x:c>
      <x:c r="D357" s="8" t="str">
        <x:v>file upload</x:v>
      </x:c>
      <x:c r="E357" s="12" t="n">
        <x:v>58</x:v>
      </x:c>
      <x:c r="F357" s="12" t="n">
        <x:v>793</x:v>
      </x:c>
      <x:c r="G357" s="8" t="str">
        <x:v>yes</x:v>
      </x:c>
      <x:c r="H357" s="8" t="n">
        <x:v>759</x:v>
      </x:c>
      <x:c r="I357" s="8" t="str">
        <x:v>Verify behavior on a cold start and after the page reloads without destroying the native view.</x:v>
      </x:c>
      <x:c r="J357" s="8" t="n">
        <x:f>IF(G357="yes",1,0)</x:f>
        <x:v>1</x:v>
      </x:c>
      <x:c r="K357" s="8" t="n">
        <x:f>IF(G357="no",5,IF(E357&gt;800,3,1))</x:f>
        <x:v>1</x:v>
      </x:c>
      <x:c r="L357" s="8" t="str">
        <x:v>https://github.com/react-native-webview/react-native-webview</x:v>
      </x:c>
    </x:row>
    <x:row r="358">
      <x:c r="A358" s="8" t="str">
        <x:v>evt-00353</x:v>
      </x:c>
      <x:c r="B358" s="10" t="n">
        <x:v>46068.70337962963</x:v>
      </x:c>
      <x:c r="C358" s="8" t="str">
        <x:v>Windows</x:v>
      </x:c>
      <x:c r="D358" s="8" t="str">
        <x:v>large JSON</x:v>
      </x:c>
      <x:c r="E358" s="12" t="n">
        <x:v>1376</x:v>
      </x:c>
      <x:c r="F358" s="12" t="n">
        <x:v>585.5</x:v>
      </x:c>
      <x:c r="G358" s="8" t="str">
        <x:v>yes</x:v>
      </x:c>
      <x:c r="H358" s="8" t="n">
        <x:v>764</x:v>
      </x:c>
      <x:c r="I358" s="8"/>
      <x:c r="J358" s="8" t="n">
        <x:f>IF(G358="yes",1,0)</x:f>
        <x:v>1</x:v>
      </x:c>
      <x:c r="K358" s="8" t="n">
        <x:f>IF(G358="no",5,IF(E358&gt;800,3,1))</x:f>
        <x:v>3</x:v>
      </x:c>
      <x:c r="L358" s="8"/>
    </x:row>
    <x:row r="359">
      <x:c r="A359" s="8" t="str">
        <x:v>evt-00354</x:v>
      </x:c>
      <x:c r="B359" s="10" t="n">
        <x:v>46097.74575231481</x:v>
      </x:c>
      <x:c r="C359" s="8" t="str">
        <x:v>macOS</x:v>
      </x:c>
      <x:c r="D359" s="8" t="str">
        <x:v>reload</x:v>
      </x:c>
      <x:c r="E359" s="12" t="n">
        <x:v>471</x:v>
      </x:c>
      <x:c r="F359" s="12" t="n">
        <x:v>811.8</x:v>
      </x:c>
      <x:c r="G359" s="8" t="str">
        <x:v>yes</x:v>
      </x:c>
      <x:c r="H359" s="8" t="n">
        <x:v>196</x:v>
      </x:c>
      <x:c r="I359" s="8" t="str">
        <x:v>Follow-up: compare the result when the network security policy is relaxed versus when it is enforced.</x:v>
      </x:c>
      <x:c r="J359" s="8" t="n">
        <x:f>IF(G359="yes",1,0)</x:f>
        <x:v>1</x:v>
      </x:c>
      <x:c r="K359" s="8" t="n">
        <x:f>IF(G359="no",5,IF(E359&gt;800,3,1))</x:f>
        <x:v>1</x:v>
      </x:c>
      <x:c r="L359" s="8"/>
    </x:row>
    <x:row r="360">
      <x:c r="A360" s="8" t="str">
        <x:v>evt-00355</x:v>
      </x:c>
      <x:c r="B360" s="10" t="n">
        <x:v>46129.788125</x:v>
      </x:c>
      <x:c r="C360" s="8" t="str">
        <x:v>macOS</x:v>
      </x:c>
      <x:c r="D360" s="8" t="str">
        <x:v>cold launch</x:v>
      </x:c>
      <x:c r="E360" s="12" t="n">
        <x:v>755</x:v>
      </x:c>
      <x:c r="F360" s="12" t="n">
        <x:v>469.6</x:v>
      </x:c>
      <x:c r="G360" s="8" t="str">
        <x:v>yes</x:v>
      </x:c>
      <x:c r="H360" s="8" t="n">
        <x:v>764</x:v>
      </x:c>
      <x:c r="I360" s="8" t="str">
        <x:v>The bridge callback is stable for small payloads, but large JSON messages show visible delay during navigation.</x:v>
      </x:c>
      <x:c r="J360" s="8" t="n">
        <x:f>IF(G360="yes",1,0)</x:f>
        <x:v>1</x:v>
      </x:c>
      <x:c r="K360" s="8" t="n">
        <x:f>IF(G360="no",5,IF(E360&gt;800,3,1))</x:f>
        <x:v>1</x:v>
      </x:c>
      <x:c r="L360" s="8"/>
    </x:row>
    <x:row r="361">
      <x:c r="A361" s="8" t="str">
        <x:v>evt-00356</x:v>
      </x:c>
      <x:c r="B361" s="10" t="n">
        <x:v>46160.83049768519</x:v>
      </x:c>
      <x:c r="C361" s="8" t="str">
        <x:v>Android</x:v>
      </x:c>
      <x:c r="D361" s="8" t="str">
        <x:v>reload</x:v>
      </x:c>
      <x:c r="E361" s="12" t="n">
        <x:v>1056</x:v>
      </x:c>
      <x:c r="F361" s="12" t="n">
        <x:v>607.8</x:v>
      </x:c>
      <x:c r="G361" s="8" t="str">
        <x:v>yes</x:v>
      </x:c>
      <x:c r="H361" s="8" t="n">
        <x:v>204</x:v>
      </x:c>
      <x:c r="I361" s="8"/>
      <x:c r="J361" s="8" t="n">
        <x:f>IF(G361="yes",1,0)</x:f>
        <x:v>1</x:v>
      </x:c>
      <x:c r="K361" s="8" t="n">
        <x:f>IF(G361="no",5,IF(E361&gt;800,3,1))</x:f>
        <x:v>3</x:v>
      </x:c>
      <x:c r="L361" s="8" t="str">
        <x:v>https://developer.microsoft.com/en-us/microsoft-edge/webview2/</x:v>
      </x:c>
    </x:row>
    <x:row r="362">
      <x:c r="A362" s="8" t="str">
        <x:v>evt-00357</x:v>
      </x:c>
      <x:c r="B362" s="10" t="n">
        <x:v>46192.87287037037</x:v>
      </x:c>
      <x:c r="C362" s="8" t="str">
        <x:v>macOS</x:v>
      </x:c>
      <x:c r="D362" s="8" t="str">
        <x:v>reload</x:v>
      </x:c>
      <x:c r="E362" s="12" t="n">
        <x:v>1202</x:v>
      </x:c>
      <x:c r="F362" s="12" t="n">
        <x:v>241.8</x:v>
      </x:c>
      <x:c r="G362" s="8" t="str">
        <x:v>yes</x:v>
      </x:c>
      <x:c r="H362" s="8" t="n">
        <x:v>692</x:v>
      </x:c>
      <x:c r="I362" s="8"/>
      <x:c r="J362" s="8" t="n">
        <x:f>IF(G362="yes",1,0)</x:f>
        <x:v>1</x:v>
      </x:c>
      <x:c r="K362" s="8" t="n">
        <x:f>IF(G362="no",5,IF(E362&gt;800,3,1))</x:f>
        <x:v>3</x:v>
      </x:c>
      <x:c r="L362" s="8" t="str">
        <x:v>https://learn.microsoft.com/en-us/microsoft-edge/webview2/concepts/security</x:v>
      </x:c>
    </x:row>
    <x:row r="363">
      <x:c r="A363" s="8" t="str">
        <x:v>evt-00358</x:v>
      </x:c>
      <x:c r="B363" s="10" t="n">
        <x:v>46223.915243055555</x:v>
      </x:c>
      <x:c r="C363" s="8" t="str">
        <x:v>iOS</x:v>
      </x:c>
      <x:c r="D363" s="8" t="str">
        <x:v>large JSON</x:v>
      </x:c>
      <x:c r="E363" s="12" t="n">
        <x:v>1029</x:v>
      </x:c>
      <x:c r="F363" s="12" t="n">
        <x:v>502</x:v>
      </x:c>
      <x:c r="G363" s="8" t="str">
        <x:v>yes</x:v>
      </x:c>
      <x:c r="H363" s="8" t="n">
        <x:v>448</x:v>
      </x:c>
      <x:c r="I363" s="8"/>
      <x:c r="J363" s="8" t="n">
        <x:f>IF(G363="yes",1,0)</x:f>
        <x:v>1</x:v>
      </x:c>
      <x:c r="K363" s="8" t="n">
        <x:f>IF(G363="no",5,IF(E363&gt;800,3,1))</x:f>
        <x:v>3</x:v>
      </x:c>
      <x:c r="L363" s="8"/>
    </x:row>
    <x:row r="364">
      <x:c r="A364" s="8" t="str">
        <x:v>evt-00359</x:v>
      </x:c>
      <x:c r="B364" s="10" t="n">
        <x:v>46255.95761574074</x:v>
      </x:c>
      <x:c r="C364" s="8" t="str">
        <x:v>iOS</x:v>
      </x:c>
      <x:c r="D364" s="8" t="str">
        <x:v>file upload</x:v>
      </x:c>
      <x:c r="E364" s="12" t="n">
        <x:v>1368</x:v>
      </x:c>
      <x:c r="F364" s="12" t="n">
        <x:v>469</x:v>
      </x:c>
      <x:c r="G364" s="8" t="str">
        <x:v>yes</x:v>
      </x:c>
      <x:c r="H364" s="8" t="n">
        <x:v>514</x:v>
      </x:c>
      <x:c r="I364" s="8" t="str">
        <x:v>Follow-up: compare the result when the network security policy is relaxed versus when it is enforced.</x:v>
      </x:c>
      <x:c r="J364" s="8" t="n">
        <x:f>IF(G364="yes",1,0)</x:f>
        <x:v>1</x:v>
      </x:c>
      <x:c r="K364" s="8" t="n">
        <x:f>IF(G364="no",5,IF(E364&gt;800,3,1))</x:f>
        <x:v>3</x:v>
      </x:c>
      <x:c r="L364" s="8"/>
    </x:row>
    <x:row r="365">
      <x:c r="A365" s="8" t="str">
        <x:v>evt-00360</x:v>
      </x:c>
      <x:c r="B365" s="10" t="n">
        <x:v>46287.99998842592</x:v>
      </x:c>
      <x:c r="C365" s="8" t="str">
        <x:v>Android</x:v>
      </x:c>
      <x:c r="D365" s="8" t="str">
        <x:v>navigation</x:v>
      </x:c>
      <x:c r="E365" s="12" t="n">
        <x:v>1330</x:v>
      </x:c>
      <x:c r="F365" s="12" t="n">
        <x:v>345.6</x:v>
      </x:c>
      <x:c r="G365" s="8" t="str">
        <x:v>yes</x:v>
      </x:c>
      <x:c r="H365" s="8" t="n">
        <x:v>741</x:v>
      </x:c>
      <x:c r="I365" s="8"/>
      <x:c r="J365" s="8" t="n">
        <x:f>IF(G365="yes",1,0)</x:f>
        <x:v>1</x:v>
      </x:c>
      <x:c r="K365" s="8" t="n">
        <x:f>IF(G365="no",5,IF(E365&gt;800,3,1))</x:f>
        <x:v>3</x:v>
      </x:c>
      <x:c r="L365" s="8" t="str">
        <x:v>https://learn.microsoft.com/en-us/microsoft-edge/webview2/concepts/security</x:v>
      </x:c>
    </x:row>
    <x:row r="366">
      <x:c r="A366" s="8" t="str">
        <x:v>evt-00361</x:v>
      </x:c>
      <x:c r="B366" s="10" t="n">
        <x:v>46045</x:v>
      </x:c>
      <x:c r="C366" s="8" t="str">
        <x:v>Android</x:v>
      </x:c>
      <x:c r="D366" s="8" t="str">
        <x:v>file upload</x:v>
      </x:c>
      <x:c r="E366" s="12" t="n">
        <x:v>422</x:v>
      </x:c>
      <x:c r="F366" s="12" t="n">
        <x:v>162</x:v>
      </x:c>
      <x:c r="G366" s="8" t="str">
        <x:v>yes</x:v>
      </x:c>
      <x:c r="H366" s="8" t="n">
        <x:v>734</x:v>
      </x:c>
      <x:c r="I366" s="8"/>
      <x:c r="J366" s="8" t="n">
        <x:f>IF(G366="yes",1,0)</x:f>
        <x:v>1</x:v>
      </x:c>
      <x:c r="K366" s="8" t="n">
        <x:f>IF(G366="no",5,IF(E366&gt;800,3,1))</x:f>
        <x:v>1</x:v>
      </x:c>
      <x:c r="L366" s="8"/>
    </x:row>
    <x:row r="367">
      <x:c r="A367" s="8" t="str">
        <x:v>evt-00362</x:v>
      </x:c>
      <x:c r="B367" s="10" t="n">
        <x:v>46077.04237268519</x:v>
      </x:c>
      <x:c r="C367" s="8" t="str">
        <x:v>macOS</x:v>
      </x:c>
      <x:c r="D367" s="8" t="str">
        <x:v>navigation</x:v>
      </x:c>
      <x:c r="E367" s="12" t="n">
        <x:v>552</x:v>
      </x:c>
      <x:c r="F367" s="12" t="n">
        <x:v>464.6</x:v>
      </x:c>
      <x:c r="G367" s="8" t="str">
        <x:v>yes</x:v>
      </x:c>
      <x:c r="H367" s="8" t="n">
        <x:v>890</x:v>
      </x:c>
      <x:c r="I367" s="8" t="str">
        <x:v>A blank cell here is intentional. The source workbook has notes placed away from the nearest table.</x:v>
      </x:c>
      <x:c r="J367" s="8" t="n">
        <x:f>IF(G367="yes",1,0)</x:f>
        <x:v>1</x:v>
      </x:c>
      <x:c r="K367" s="8" t="n">
        <x:f>IF(G367="no",5,IF(E367&gt;800,3,1))</x:f>
        <x:v>1</x:v>
      </x:c>
      <x:c r="L367" s="8" t="str">
        <x:v>https://learn.microsoft.com/en-us/microsoft-edge/webview2/concepts/security</x:v>
      </x:c>
    </x:row>
    <x:row r="368">
      <x:c r="A368" s="8" t="str">
        <x:v>evt-00363</x:v>
      </x:c>
      <x:c r="B368" s="10" t="n">
        <x:v>46106.08474537037</x:v>
      </x:c>
      <x:c r="C368" s="8" t="str">
        <x:v>macOS</x:v>
      </x:c>
      <x:c r="D368" s="8" t="str">
        <x:v>cold launch</x:v>
      </x:c>
      <x:c r="E368" s="12" t="n">
        <x:v>1272</x:v>
      </x:c>
      <x:c r="F368" s="12" t="n">
        <x:v>300.4</x:v>
      </x:c>
      <x:c r="G368" s="8" t="str">
        <x:v>yes</x:v>
      </x:c>
      <x:c r="H368" s="8" t="n">
        <x:v>831</x:v>
      </x:c>
      <x:c r="I368" s="8" t="str">
        <x:v>Potential duplicate: this paragraph is repeated in another section to test deduplication and chunk metadata.</x:v>
      </x:c>
      <x:c r="J368" s="8" t="n">
        <x:f>IF(G368="yes",1,0)</x:f>
        <x:v>1</x:v>
      </x:c>
      <x:c r="K368" s="8" t="n">
        <x:f>IF(G368="no",5,IF(E368&gt;800,3,1))</x:f>
        <x:v>3</x:v>
      </x:c>
      <x:c r="L368" s="8" t="str">
        <x:v>https://developer.microsoft.com/en-us/microsoft-edge/webview2/</x:v>
      </x:c>
    </x:row>
    <x:row r="369">
      <x:c r="A369" s="8" t="str">
        <x:v>evt-00364</x:v>
      </x:c>
      <x:c r="B369" s="10" t="n">
        <x:v>46138.127118055556</x:v>
      </x:c>
      <x:c r="C369" s="8" t="str">
        <x:v>macOS</x:v>
      </x:c>
      <x:c r="D369" s="8" t="str">
        <x:v>large JSON</x:v>
      </x:c>
      <x:c r="E369" s="12" t="n">
        <x:v>1124</x:v>
      </x:c>
      <x:c r="F369" s="12" t="n">
        <x:v>434.5</x:v>
      </x:c>
      <x:c r="G369" s="8" t="str">
        <x:v>yes</x:v>
      </x:c>
      <x:c r="H369" s="8" t="n">
        <x:v>293</x:v>
      </x:c>
      <x:c r="I369" s="8"/>
      <x:c r="J369" s="8" t="n">
        <x:f>IF(G369="yes",1,0)</x:f>
        <x:v>1</x:v>
      </x:c>
      <x:c r="K369" s="8" t="n">
        <x:f>IF(G369="no",5,IF(E369&gt;800,3,1))</x:f>
        <x:v>3</x:v>
      </x:c>
      <x:c r="L369" s="8"/>
    </x:row>
    <x:row r="370">
      <x:c r="A370" s="8" t="str">
        <x:v>evt-00365</x:v>
      </x:c>
      <x:c r="B370" s="10" t="n">
        <x:v>46143.169490740744</x:v>
      </x:c>
      <x:c r="C370" s="8" t="str">
        <x:v>Android</x:v>
      </x:c>
      <x:c r="D370" s="8" t="str">
        <x:v>reload</x:v>
      </x:c>
      <x:c r="E370" s="12" t="n">
        <x:v>290</x:v>
      </x:c>
      <x:c r="F370" s="12" t="n">
        <x:v>253.4</x:v>
      </x:c>
      <x:c r="G370" s="8" t="str">
        <x:v>yes</x:v>
      </x:c>
      <x:c r="H370" s="8" t="n">
        <x:v>423</x:v>
      </x:c>
      <x:c r="I370" s="8"/>
      <x:c r="J370" s="8" t="n">
        <x:f>IF(G370="yes",1,0)</x:f>
        <x:v>1</x:v>
      </x:c>
      <x:c r="K370" s="8" t="n">
        <x:f>IF(G370="no",5,IF(E370&gt;800,3,1))</x:f>
        <x:v>1</x:v>
      </x:c>
      <x:c r="L370" s="8" t="str">
        <x:v>https://developer.apple.com/documentation/webkit/wkwebview</x:v>
      </x:c>
    </x:row>
    <x:row r="371">
      <x:c r="A371" s="8" t="str">
        <x:v>evt-00366</x:v>
      </x:c>
      <x:c r="B371" s="10" t="n">
        <x:v>46175.211863425924</x:v>
      </x:c>
      <x:c r="C371" s="8" t="str">
        <x:v>macOS</x:v>
      </x:c>
      <x:c r="D371" s="8" t="str">
        <x:v>cold launch</x:v>
      </x:c>
      <x:c r="E371" s="12" t="n">
        <x:v>953</x:v>
      </x:c>
      <x:c r="F371" s="12" t="n">
        <x:v>674.6</x:v>
      </x:c>
      <x:c r="G371" s="8" t="str">
        <x:v>yes</x:v>
      </x:c>
      <x:c r="H371" s="8" t="n">
        <x:v>479</x:v>
      </x:c>
      <x:c r="I371" s="8"/>
      <x:c r="J371" s="8" t="n">
        <x:f>IF(G371="yes",1,0)</x:f>
        <x:v>1</x:v>
      </x:c>
      <x:c r="K371" s="8" t="n">
        <x:f>IF(G371="no",5,IF(E371&gt;800,3,1))</x:f>
        <x:v>3</x:v>
      </x:c>
      <x:c r="L371" s="8" t="str">
        <x:v>https://github.com/react-native-webview/react-native-webview</x:v>
      </x:c>
    </x:row>
    <x:row r="372">
      <x:c r="A372" s="8" t="str">
        <x:v>evt-00367</x:v>
      </x:c>
      <x:c r="B372" s="10" t="n">
        <x:v>46206.25423611111</x:v>
      </x:c>
      <x:c r="C372" s="8" t="str">
        <x:v>Windows</x:v>
      </x:c>
      <x:c r="D372" s="8" t="str">
        <x:v>file upload</x:v>
      </x:c>
      <x:c r="E372" s="12" t="n">
        <x:v>402</x:v>
      </x:c>
      <x:c r="F372" s="12" t="n">
        <x:v>112.8</x:v>
      </x:c>
      <x:c r="G372" s="8" t="str">
        <x:v>yes</x:v>
      </x:c>
      <x:c r="H372" s="8" t="n">
        <x:v>142</x:v>
      </x:c>
      <x:c r="I372" s="8" t="str">
        <x:v>The owner field was not captured in the original notes, so classification should remain conservative.</x:v>
      </x:c>
      <x:c r="J372" s="8" t="n">
        <x:f>IF(G372="yes",1,0)</x:f>
        <x:v>1</x:v>
      </x:c>
      <x:c r="K372" s="8" t="n">
        <x:f>IF(G372="no",5,IF(E372&gt;800,3,1))</x:f>
        <x:v>1</x:v>
      </x:c>
      <x:c r="L372" s="8" t="str">
        <x:v>https://developer.microsoft.com/en-us/microsoft-edge/webview2/</x:v>
      </x:c>
    </x:row>
    <x:row r="373">
      <x:c r="A373" s="8" t="str">
        <x:v>evt-00368</x:v>
      </x:c>
      <x:c r="B373" s="10" t="n">
        <x:v>46238.2966087963</x:v>
      </x:c>
      <x:c r="C373" s="8" t="str">
        <x:v>Linux</x:v>
      </x:c>
      <x:c r="D373" s="8" t="str">
        <x:v>reload</x:v>
      </x:c>
      <x:c r="E373" s="12" t="n">
        <x:v>492</x:v>
      </x:c>
      <x:c r="F373" s="12" t="n">
        <x:v>296.4</x:v>
      </x:c>
      <x:c r="G373" s="8" t="str">
        <x:v>yes</x:v>
      </x:c>
      <x:c r="H373" s="8" t="n">
        <x:v>360</x:v>
      </x:c>
      <x:c r="I373" s="8"/>
      <x:c r="J373" s="8" t="n">
        <x:f>IF(G373="yes",1,0)</x:f>
        <x:v>1</x:v>
      </x:c>
      <x:c r="K373" s="8" t="n">
        <x:f>IF(G373="no",5,IF(E373&gt;800,3,1))</x:f>
        <x:v>1</x:v>
      </x:c>
      <x:c r="L373" s="8"/>
    </x:row>
    <x:row r="374">
      <x:c r="A374" s="8" t="str">
        <x:v>evt-00369</x:v>
      </x:c>
      <x:c r="B374" s="10" t="n">
        <x:v>46270.33898148148</x:v>
      </x:c>
      <x:c r="C374" s="8" t="str">
        <x:v>macOS</x:v>
      </x:c>
      <x:c r="D374" s="8" t="str">
        <x:v>large JSON</x:v>
      </x:c>
      <x:c r="E374" s="12" t="n">
        <x:v>839</x:v>
      </x:c>
      <x:c r="F374" s="12" t="n">
        <x:v>211.5</x:v>
      </x:c>
      <x:c r="G374" s="8" t="str">
        <x:v>yes</x:v>
      </x:c>
      <x:c r="H374" s="8" t="n">
        <x:v>58</x:v>
      </x:c>
      <x:c r="I374" s="8" t="str">
        <x:v>Observed in a local test run: the content rendered, but the console warning appeared twice.</x:v>
      </x:c>
      <x:c r="J374" s="8" t="n">
        <x:f>IF(G374="yes",1,0)</x:f>
        <x:v>1</x:v>
      </x:c>
      <x:c r="K374" s="8" t="n">
        <x:f>IF(G374="no",5,IF(E374&gt;800,3,1))</x:f>
        <x:v>3</x:v>
      </x:c>
      <x:c r="L374" s="8"/>
    </x:row>
    <x:row r="375">
      <x:c r="A375" s="8" t="str">
        <x:v>evt-00370</x:v>
      </x:c>
      <x:c r="B375" s="10" t="n">
        <x:v>46028.38135416667</x:v>
      </x:c>
      <x:c r="C375" s="8" t="str">
        <x:v>Windows</x:v>
      </x:c>
      <x:c r="D375" s="8" t="str">
        <x:v>navigation</x:v>
      </x:c>
      <x:c r="E375" s="12" t="n">
        <x:v>452</x:v>
      </x:c>
      <x:c r="F375" s="12" t="n">
        <x:v>146.9</x:v>
      </x:c>
      <x:c r="G375" s="8" t="str">
        <x:v>no</x:v>
      </x:c>
      <x:c r="H375" s="8" t="n">
        <x:v>669</x:v>
      </x:c>
      <x:c r="I375" s="8" t="str">
        <x:v>A blank cell here is intentional. The source workbook has notes placed away from the nearest table.</x:v>
      </x:c>
      <x:c r="J375" s="8" t="n">
        <x:f>IF(G375="yes",1,0)</x:f>
        <x:v>0</x:v>
      </x:c>
      <x:c r="K375" s="8" t="n">
        <x:f>IF(G375="no",5,IF(E375&gt;800,3,1))</x:f>
        <x:v>5</x:v>
      </x:c>
      <x:c r="L375" s="8"/>
    </x:row>
    <x:row r="376">
      <x:c r="A376" s="8" t="str">
        <x:v>evt-00371</x:v>
      </x:c>
      <x:c r="B376" s="10" t="n">
        <x:v>46060.423726851855</x:v>
      </x:c>
      <x:c r="C376" s="8" t="str">
        <x:v>Windows</x:v>
      </x:c>
      <x:c r="D376" s="8" t="str">
        <x:v>navigation</x:v>
      </x:c>
      <x:c r="E376" s="12" t="n">
        <x:v>1432</x:v>
      </x:c>
      <x:c r="F376" s="12" t="n">
        <x:v>707.8</x:v>
      </x:c>
      <x:c r="G376" s="8" t="str">
        <x:v>yes</x:v>
      </x:c>
      <x:c r="H376" s="8" t="n">
        <x:v>638</x:v>
      </x:c>
      <x:c r="I376" s="8" t="str">
        <x:v>This sentence is long enough to exercise wrapping and downstream chunk boundaries in Markdown output.</x:v>
      </x:c>
      <x:c r="J376" s="8" t="n">
        <x:f>IF(G376="yes",1,0)</x:f>
        <x:v>1</x:v>
      </x:c>
      <x:c r="K376" s="8" t="n">
        <x:f>IF(G376="no",5,IF(E376&gt;800,3,1))</x:f>
        <x:v>3</x:v>
      </x:c>
      <x:c r="L376" s="8" t="str">
        <x:v>https://developer.android.com/reference/android/webkit/WebView</x:v>
      </x:c>
    </x:row>
    <x:row r="377">
      <x:c r="A377" s="8" t="str">
        <x:v>evt-00372</x:v>
      </x:c>
      <x:c r="B377" s="10" t="n">
        <x:v>46089.466099537036</x:v>
      </x:c>
      <x:c r="C377" s="8" t="str">
        <x:v>Linux</x:v>
      </x:c>
      <x:c r="D377" s="8" t="str">
        <x:v>bridge message</x:v>
      </x:c>
      <x:c r="E377" s="12" t="n">
        <x:v>686</x:v>
      </x:c>
      <x:c r="F377" s="12" t="n">
        <x:v>569.3</x:v>
      </x:c>
      <x:c r="G377" s="8" t="str">
        <x:v>yes</x:v>
      </x:c>
      <x:c r="H377" s="8" t="n">
        <x:v>751</x:v>
      </x:c>
      <x:c r="I377" s="8" t="str">
        <x:v>The bridge callback is stable for small payloads, but large JSON messages show visible delay during navigation.</x:v>
      </x:c>
      <x:c r="J377" s="8" t="n">
        <x:f>IF(G377="yes",1,0)</x:f>
        <x:v>1</x:v>
      </x:c>
      <x:c r="K377" s="8" t="n">
        <x:f>IF(G377="no",5,IF(E377&gt;800,3,1))</x:f>
        <x:v>1</x:v>
      </x:c>
      <x:c r="L377" s="8" t="str">
        <x:v>https://developer.microsoft.com/en-us/microsoft-edge/webview2/</x:v>
      </x:c>
    </x:row>
    <x:row r="378">
      <x:c r="A378" s="8" t="str">
        <x:v>evt-00373</x:v>
      </x:c>
      <x:c r="B378" s="10" t="n">
        <x:v>46121.508472222224</x:v>
      </x:c>
      <x:c r="C378" s="8" t="str">
        <x:v>Windows</x:v>
      </x:c>
      <x:c r="D378" s="8" t="str">
        <x:v>reload</x:v>
      </x:c>
      <x:c r="E378" s="12" t="n">
        <x:v>738</x:v>
      </x:c>
      <x:c r="F378" s="12" t="n">
        <x:v>398.9</x:v>
      </x:c>
      <x:c r="G378" s="8" t="str">
        <x:v>yes</x:v>
      </x:c>
      <x:c r="H378" s="8" t="n">
        <x:v>372</x:v>
      </x:c>
      <x:c r="I378" s="8"/>
      <x:c r="J378" s="8" t="n">
        <x:f>IF(G378="yes",1,0)</x:f>
        <x:v>1</x:v>
      </x:c>
      <x:c r="K378" s="8" t="n">
        <x:f>IF(G378="no",5,IF(E378&gt;800,3,1))</x:f>
        <x:v>1</x:v>
      </x:c>
      <x:c r="L378" s="8"/>
    </x:row>
    <x:row r="379">
      <x:c r="A379" s="8" t="str">
        <x:v>evt-00374</x:v>
      </x:c>
      <x:c r="B379" s="10" t="n">
        <x:v>46152.550844907404</x:v>
      </x:c>
      <x:c r="C379" s="8" t="str">
        <x:v>iOS</x:v>
      </x:c>
      <x:c r="D379" s="8" t="str">
        <x:v>download</x:v>
      </x:c>
      <x:c r="E379" s="12" t="n">
        <x:v>295</x:v>
      </x:c>
      <x:c r="F379" s="12" t="n">
        <x:v>370.5</x:v>
      </x:c>
      <x:c r="G379" s="8" t="str">
        <x:v>yes</x:v>
      </x:c>
      <x:c r="H379" s="8" t="n">
        <x:v>865</x:v>
      </x:c>
      <x:c r="I379" s="8" t="str">
        <x:v>Verify behavior on a cold start and after the page reloads without destroying the native view.</x:v>
      </x:c>
      <x:c r="J379" s="8" t="n">
        <x:f>IF(G379="yes",1,0)</x:f>
        <x:v>1</x:v>
      </x:c>
      <x:c r="K379" s="8" t="n">
        <x:f>IF(G379="no",5,IF(E379&gt;800,3,1))</x:f>
        <x:v>1</x:v>
      </x:c>
      <x:c r="L379" s="8" t="str">
        <x:v>https://developer.apple.com/documentation/webkit/wkwebview</x:v>
      </x:c>
    </x:row>
    <x:row r="380">
      <x:c r="A380" s="8" t="str">
        <x:v>evt-00375</x:v>
      </x:c>
      <x:c r="B380" s="10" t="n">
        <x:v>46184.59321759259</x:v>
      </x:c>
      <x:c r="C380" s="8" t="str">
        <x:v>Android</x:v>
      </x:c>
      <x:c r="D380" s="8" t="str">
        <x:v>reload</x:v>
      </x:c>
      <x:c r="E380" s="12" t="n">
        <x:v>113</x:v>
      </x:c>
      <x:c r="F380" s="12" t="n">
        <x:v>264.8</x:v>
      </x:c>
      <x:c r="G380" s="8" t="str">
        <x:v>no</x:v>
      </x:c>
      <x:c r="H380" s="8" t="n">
        <x:v>167</x:v>
      </x:c>
      <x:c r="I380" s="8"/>
      <x:c r="J380" s="8" t="n">
        <x:f>IF(G380="yes",1,0)</x:f>
        <x:v>0</x:v>
      </x:c>
      <x:c r="K380" s="8" t="n">
        <x:f>IF(G380="no",5,IF(E380&gt;800,3,1))</x:f>
        <x:v>5</x:v>
      </x:c>
      <x:c r="L380" s="8"/>
    </x:row>
    <x:row r="381">
      <x:c r="A381" s="8" t="str">
        <x:v>evt-00376</x:v>
      </x:c>
      <x:c r="B381" s="10" t="n">
        <x:v>46215.63559027778</x:v>
      </x:c>
      <x:c r="C381" s="8" t="str">
        <x:v>Android</x:v>
      </x:c>
      <x:c r="D381" s="8" t="str">
        <x:v>navigation</x:v>
      </x:c>
      <x:c r="E381" s="12" t="n">
        <x:v>1186</x:v>
      </x:c>
      <x:c r="F381" s="12" t="n">
        <x:v>645.1</x:v>
      </x:c>
      <x:c r="G381" s="8" t="str">
        <x:v>yes</x:v>
      </x:c>
      <x:c r="H381" s="8" t="n">
        <x:v>62</x:v>
      </x:c>
      <x:c r="I381" s="8"/>
      <x:c r="J381" s="8" t="n">
        <x:f>IF(G381="yes",1,0)</x:f>
        <x:v>1</x:v>
      </x:c>
      <x:c r="K381" s="8" t="n">
        <x:f>IF(G381="no",5,IF(E381&gt;800,3,1))</x:f>
        <x:v>3</x:v>
      </x:c>
      <x:c r="L381" s="8" t="str">
        <x:v>https://learn.microsoft.com/en-us/microsoft-edge/webview2/concepts/security</x:v>
      </x:c>
    </x:row>
    <x:row r="382">
      <x:c r="A382" s="8" t="str">
        <x:v>evt-00377</x:v>
      </x:c>
      <x:c r="B382" s="10" t="n">
        <x:v>46247.67796296296</x:v>
      </x:c>
      <x:c r="C382" s="8" t="str">
        <x:v>macOS</x:v>
      </x:c>
      <x:c r="D382" s="8" t="str">
        <x:v>large JSON</x:v>
      </x:c>
      <x:c r="E382" s="12" t="n">
        <x:v>599</x:v>
      </x:c>
      <x:c r="F382" s="12" t="n">
        <x:v>254.2</x:v>
      </x:c>
      <x:c r="G382" s="8" t="str">
        <x:v>yes</x:v>
      </x:c>
      <x:c r="H382" s="8" t="n">
        <x:v>695</x:v>
      </x:c>
      <x:c r="I382" s="8"/>
      <x:c r="J382" s="8" t="n">
        <x:f>IF(G382="yes",1,0)</x:f>
        <x:v>1</x:v>
      </x:c>
      <x:c r="K382" s="8" t="n">
        <x:f>IF(G382="no",5,IF(E382&gt;800,3,1))</x:f>
        <x:v>1</x:v>
      </x:c>
      <x:c r="L382" s="8"/>
    </x:row>
    <x:row r="383">
      <x:c r="A383" s="8" t="str">
        <x:v>evt-00378</x:v>
      </x:c>
      <x:c r="B383" s="10" t="n">
        <x:v>46279.72033564815</x:v>
      </x:c>
      <x:c r="C383" s="8" t="str">
        <x:v>iOS</x:v>
      </x:c>
      <x:c r="D383" s="8" t="str">
        <x:v>file upload</x:v>
      </x:c>
      <x:c r="E383" s="12" t="n">
        <x:v>922</x:v>
      </x:c>
      <x:c r="F383" s="12" t="n">
        <x:v>101</x:v>
      </x:c>
      <x:c r="G383" s="8" t="str">
        <x:v>yes</x:v>
      </x:c>
      <x:c r="H383" s="8" t="n">
        <x:v>492</x:v>
      </x:c>
      <x:c r="I383" s="8" t="str">
        <x:v>This sentence is long enough to exercise wrapping and downstream chunk boundaries in Markdown output.</x:v>
      </x:c>
      <x:c r="J383" s="8" t="n">
        <x:f>IF(G383="yes",1,0)</x:f>
        <x:v>1</x:v>
      </x:c>
      <x:c r="K383" s="8" t="n">
        <x:f>IF(G383="no",5,IF(E383&gt;800,3,1))</x:f>
        <x:v>3</x:v>
      </x:c>
      <x:c r="L383" s="8"/>
    </x:row>
    <x:row r="384">
      <x:c r="A384" s="8" t="str">
        <x:v>evt-00379</x:v>
      </x:c>
      <x:c r="B384" s="10" t="n">
        <x:v>46037.762708333335</x:v>
      </x:c>
      <x:c r="C384" s="8" t="str">
        <x:v>iOS</x:v>
      </x:c>
      <x:c r="D384" s="8" t="str">
        <x:v>cold launch</x:v>
      </x:c>
      <x:c r="E384" s="12" t="n">
        <x:v>1141</x:v>
      </x:c>
      <x:c r="F384" s="12" t="n">
        <x:v>755.2</x:v>
      </x:c>
      <x:c r="G384" s="8" t="str">
        <x:v>no</x:v>
      </x:c>
      <x:c r="H384" s="8" t="n">
        <x:v>20</x:v>
      </x:c>
      <x:c r="I384" s="8"/>
      <x:c r="J384" s="8" t="n">
        <x:f>IF(G384="yes",1,0)</x:f>
        <x:v>0</x:v>
      </x:c>
      <x:c r="K384" s="8" t="n">
        <x:f>IF(G384="no",5,IF(E384&gt;800,3,1))</x:f>
        <x:v>5</x:v>
      </x:c>
      <x:c r="L384" s="8"/>
    </x:row>
    <x:row r="385">
      <x:c r="A385" s="8" t="str">
        <x:v>evt-00380</x:v>
      </x:c>
      <x:c r="B385" s="10" t="n">
        <x:v>46069.805081018516</x:v>
      </x:c>
      <x:c r="C385" s="8" t="str">
        <x:v>Linux</x:v>
      </x:c>
      <x:c r="D385" s="8" t="str">
        <x:v>download</x:v>
      </x:c>
      <x:c r="E385" s="12" t="n">
        <x:v>736</x:v>
      </x:c>
      <x:c r="F385" s="12" t="n">
        <x:v>829</x:v>
      </x:c>
      <x:c r="G385" s="8" t="str">
        <x:v>yes</x:v>
      </x:c>
      <x:c r="H385" s="8" t="n">
        <x:v>411</x:v>
      </x:c>
      <x:c r="I385" s="8"/>
      <x:c r="J385" s="8" t="n">
        <x:f>IF(G385="yes",1,0)</x:f>
        <x:v>1</x:v>
      </x:c>
      <x:c r="K385" s="8" t="n">
        <x:f>IF(G385="no",5,IF(E385&gt;800,3,1))</x:f>
        <x:v>1</x:v>
      </x:c>
      <x:c r="L385" s="8"/>
    </x:row>
    <x:row r="386">
      <x:c r="A386" s="8" t="str">
        <x:v>evt-00381</x:v>
      </x:c>
      <x:c r="B386" s="10" t="n">
        <x:v>46098.847453703704</x:v>
      </x:c>
      <x:c r="C386" s="8" t="str">
        <x:v>Linux</x:v>
      </x:c>
      <x:c r="D386" s="8" t="str">
        <x:v>reload</x:v>
      </x:c>
      <x:c r="E386" s="12" t="n">
        <x:v>310</x:v>
      </x:c>
      <x:c r="F386" s="12" t="n">
        <x:v>413</x:v>
      </x:c>
      <x:c r="G386" s="8" t="str">
        <x:v>yes</x:v>
      </x:c>
      <x:c r="H386" s="8" t="n">
        <x:v>797</x:v>
      </x:c>
      <x:c r="I386" s="8" t="str">
        <x:v>Observed in a local test run: the content rendered, but the console warning appeared twice.</x:v>
      </x:c>
      <x:c r="J386" s="8" t="n">
        <x:f>IF(G386="yes",1,0)</x:f>
        <x:v>1</x:v>
      </x:c>
      <x:c r="K386" s="8" t="n">
        <x:f>IF(G386="no",5,IF(E386&gt;800,3,1))</x:f>
        <x:v>1</x:v>
      </x:c>
      <x:c r="L386" s="8"/>
    </x:row>
    <x:row r="387">
      <x:c r="A387" s="8" t="str">
        <x:v>evt-00382</x:v>
      </x:c>
      <x:c r="B387" s="10" t="n">
        <x:v>46130.88982638889</x:v>
      </x:c>
      <x:c r="C387" s="8" t="str">
        <x:v>Linux</x:v>
      </x:c>
      <x:c r="D387" s="8" t="str">
        <x:v>navigation</x:v>
      </x:c>
      <x:c r="E387" s="12" t="n">
        <x:v>789</x:v>
      </x:c>
      <x:c r="F387" s="12" t="n">
        <x:v>660</x:v>
      </x:c>
      <x:c r="G387" s="8" t="str">
        <x:v>yes</x:v>
      </x:c>
      <x:c r="H387" s="8" t="n">
        <x:v>791</x:v>
      </x:c>
      <x:c r="I387" s="8"/>
      <x:c r="J387" s="8" t="n">
        <x:f>IF(G387="yes",1,0)</x:f>
        <x:v>1</x:v>
      </x:c>
      <x:c r="K387" s="8" t="n">
        <x:f>IF(G387="no",5,IF(E387&gt;800,3,1))</x:f>
        <x:v>1</x:v>
      </x:c>
      <x:c r="L387" s="8" t="str">
        <x:v>https://learn.microsoft.com/en-us/microsoft-edge/webview2/concepts/security</x:v>
      </x:c>
    </x:row>
    <x:row r="388">
      <x:c r="A388" s="8" t="str">
        <x:v>evt-00383</x:v>
      </x:c>
      <x:c r="B388" s="10" t="n">
        <x:v>46161.93219907407</x:v>
      </x:c>
      <x:c r="C388" s="8" t="str">
        <x:v>Windows</x:v>
      </x:c>
      <x:c r="D388" s="8" t="str">
        <x:v>file upload</x:v>
      </x:c>
      <x:c r="E388" s="12" t="n">
        <x:v>946</x:v>
      </x:c>
      <x:c r="F388" s="12" t="n">
        <x:v>658.8</x:v>
      </x:c>
      <x:c r="G388" s="8" t="str">
        <x:v>yes</x:v>
      </x:c>
      <x:c r="H388" s="8" t="n">
        <x:v>511</x:v>
      </x:c>
      <x:c r="I388" s="8" t="str">
        <x:v>Potential duplicate: this paragraph is repeated in another section to test deduplication and chunk metadata.</x:v>
      </x:c>
      <x:c r="J388" s="8" t="n">
        <x:f>IF(G388="yes",1,0)</x:f>
        <x:v>1</x:v>
      </x:c>
      <x:c r="K388" s="8" t="n">
        <x:f>IF(G388="no",5,IF(E388&gt;800,3,1))</x:f>
        <x:v>3</x:v>
      </x:c>
      <x:c r="L388" s="8" t="str">
        <x:v>https://developer.android.com/reference/android/webkit/WebView</x:v>
      </x:c>
    </x:row>
    <x:row r="389">
      <x:c r="A389" s="8" t="str">
        <x:v>evt-00384</x:v>
      </x:c>
      <x:c r="B389" s="10" t="n">
        <x:v>46193.97457175926</x:v>
      </x:c>
      <x:c r="C389" s="8" t="str">
        <x:v>iOS</x:v>
      </x:c>
      <x:c r="D389" s="8" t="str">
        <x:v>large JSON</x:v>
      </x:c>
      <x:c r="E389" s="12" t="n">
        <x:v>607</x:v>
      </x:c>
      <x:c r="F389" s="12" t="n">
        <x:v>808.9</x:v>
      </x:c>
      <x:c r="G389" s="8" t="str">
        <x:v>no</x:v>
      </x:c>
      <x:c r="H389" s="8" t="n">
        <x:v>247</x:v>
      </x:c>
      <x:c r="I389" s="8"/>
      <x:c r="J389" s="8" t="n">
        <x:f>IF(G389="yes",1,0)</x:f>
        <x:v>0</x:v>
      </x:c>
      <x:c r="K389" s="8" t="n">
        <x:f>IF(G389="no",5,IF(E389&gt;800,3,1))</x:f>
        <x:v>5</x:v>
      </x:c>
      <x:c r="L389" s="8"/>
    </x:row>
    <x:row r="390">
      <x:c r="A390" s="8" t="str">
        <x:v>evt-00385</x:v>
      </x:c>
      <x:c r="B390" s="10" t="n">
        <x:v>46224.01694444445</x:v>
      </x:c>
      <x:c r="C390" s="8" t="str">
        <x:v>Windows</x:v>
      </x:c>
      <x:c r="D390" s="8" t="str">
        <x:v>reload</x:v>
      </x:c>
      <x:c r="E390" s="12" t="n">
        <x:v>831</x:v>
      </x:c>
      <x:c r="F390" s="12" t="n">
        <x:v>96.5</x:v>
      </x:c>
      <x:c r="G390" s="8" t="str">
        <x:v>yes</x:v>
      </x:c>
      <x:c r="H390" s="8" t="n">
        <x:v>484</x:v>
      </x:c>
      <x:c r="I390" s="8"/>
      <x:c r="J390" s="8" t="n">
        <x:f>IF(G390="yes",1,0)</x:f>
        <x:v>1</x:v>
      </x:c>
      <x:c r="K390" s="8" t="n">
        <x:f>IF(G390="no",5,IF(E390&gt;800,3,1))</x:f>
        <x:v>3</x:v>
      </x:c>
      <x:c r="L390" s="8" t="str">
        <x:v>https://developer.apple.com/documentation/webkit/wkwebview</x:v>
      </x:c>
    </x:row>
    <x:row r="391">
      <x:c r="A391" s="8" t="str">
        <x:v>evt-00386</x:v>
      </x:c>
      <x:c r="B391" s="10" t="n">
        <x:v>46256.05931712963</x:v>
      </x:c>
      <x:c r="C391" s="8" t="str">
        <x:v>iOS</x:v>
      </x:c>
      <x:c r="D391" s="8" t="str">
        <x:v>download</x:v>
      </x:c>
      <x:c r="E391" s="12" t="n">
        <x:v>1177</x:v>
      </x:c>
      <x:c r="F391" s="12" t="n">
        <x:v>732.7</x:v>
      </x:c>
      <x:c r="G391" s="8" t="str">
        <x:v>yes</x:v>
      </x:c>
      <x:c r="H391" s="8" t="n">
        <x:v>480</x:v>
      </x:c>
      <x:c r="I391" s="8"/>
      <x:c r="J391" s="8" t="n">
        <x:f>IF(G391="yes",1,0)</x:f>
        <x:v>1</x:v>
      </x:c>
      <x:c r="K391" s="8" t="n">
        <x:f>IF(G391="no",5,IF(E391&gt;800,3,1))</x:f>
        <x:v>3</x:v>
      </x:c>
      <x:c r="L391" s="8"/>
    </x:row>
    <x:row r="392">
      <x:c r="A392" s="8" t="str">
        <x:v>evt-00387</x:v>
      </x:c>
      <x:c r="B392" s="10" t="n">
        <x:v>46288.101689814815</x:v>
      </x:c>
      <x:c r="C392" s="8" t="str">
        <x:v>iOS</x:v>
      </x:c>
      <x:c r="D392" s="8" t="str">
        <x:v>bridge message</x:v>
      </x:c>
      <x:c r="E392" s="12" t="n">
        <x:v>1160</x:v>
      </x:c>
      <x:c r="F392" s="12" t="n">
        <x:v>234</x:v>
      </x:c>
      <x:c r="G392" s="8" t="str">
        <x:v>yes</x:v>
      </x:c>
      <x:c r="H392" s="8" t="n">
        <x:v>774</x:v>
      </x:c>
      <x:c r="I392" s="8"/>
      <x:c r="J392" s="8" t="n">
        <x:f>IF(G392="yes",1,0)</x:f>
        <x:v>1</x:v>
      </x:c>
      <x:c r="K392" s="8" t="n">
        <x:f>IF(G392="no",5,IF(E392&gt;800,3,1))</x:f>
        <x:v>3</x:v>
      </x:c>
      <x:c r="L392" s="8"/>
    </x:row>
    <x:row r="393">
      <x:c r="A393" s="8" t="str">
        <x:v>evt-00388</x:v>
      </x:c>
      <x:c r="B393" s="10" t="n">
        <x:v>46046.1440625</x:v>
      </x:c>
      <x:c r="C393" s="8" t="str">
        <x:v>Linux</x:v>
      </x:c>
      <x:c r="D393" s="8" t="str">
        <x:v>large JSON</x:v>
      </x:c>
      <x:c r="E393" s="12" t="n">
        <x:v>1004</x:v>
      </x:c>
      <x:c r="F393" s="12" t="n">
        <x:v>930.4</x:v>
      </x:c>
      <x:c r="G393" s="8" t="str">
        <x:v>yes</x:v>
      </x:c>
      <x:c r="H393" s="8" t="n">
        <x:v>832</x:v>
      </x:c>
      <x:c r="I393" s="8"/>
      <x:c r="J393" s="8" t="n">
        <x:f>IF(G393="yes",1,0)</x:f>
        <x:v>1</x:v>
      </x:c>
      <x:c r="K393" s="8" t="n">
        <x:f>IF(G393="no",5,IF(E393&gt;800,3,1))</x:f>
        <x:v>3</x:v>
      </x:c>
      <x:c r="L393" s="8" t="str">
        <x:v>https://developer.apple.com/documentation/webkit/wkwebview</x:v>
      </x:c>
    </x:row>
    <x:row r="394">
      <x:c r="A394" s="8" t="str">
        <x:v>evt-00389</x:v>
      </x:c>
      <x:c r="B394" s="10" t="n">
        <x:v>46078.186435185184</x:v>
      </x:c>
      <x:c r="C394" s="8" t="str">
        <x:v>Windows</x:v>
      </x:c>
      <x:c r="D394" s="8" t="str">
        <x:v>large JSON</x:v>
      </x:c>
      <x:c r="E394" s="12" t="n">
        <x:v>1426</x:v>
      </x:c>
      <x:c r="F394" s="12" t="n">
        <x:v>384</x:v>
      </x:c>
      <x:c r="G394" s="8" t="str">
        <x:v>yes</x:v>
      </x:c>
      <x:c r="H394" s="8" t="n">
        <x:v>495</x:v>
      </x:c>
      <x:c r="I394" s="8"/>
      <x:c r="J394" s="8" t="n">
        <x:f>IF(G394="yes",1,0)</x:f>
        <x:v>1</x:v>
      </x:c>
      <x:c r="K394" s="8" t="n">
        <x:f>IF(G394="no",5,IF(E394&gt;800,3,1))</x:f>
        <x:v>3</x:v>
      </x:c>
      <x:c r="L394" s="8"/>
    </x:row>
    <x:row r="395">
      <x:c r="A395" s="8" t="str">
        <x:v>evt-00390</x:v>
      </x:c>
      <x:c r="B395" s="10" t="n">
        <x:v>46107.22880787037</x:v>
      </x:c>
      <x:c r="C395" s="8" t="str">
        <x:v>iOS</x:v>
      </x:c>
      <x:c r="D395" s="8" t="str">
        <x:v>download</x:v>
      </x:c>
      <x:c r="E395" s="12" t="n">
        <x:v>1164</x:v>
      </x:c>
      <x:c r="F395" s="12" t="n">
        <x:v>796.3</x:v>
      </x:c>
      <x:c r="G395" s="8" t="str">
        <x:v>yes</x:v>
      </x:c>
      <x:c r="H395" s="8" t="n">
        <x:v>65</x:v>
      </x:c>
      <x:c r="I395" s="8" t="str">
        <x:v>A blank cell here is intentional. The source workbook has notes placed away from the nearest table.</x:v>
      </x:c>
      <x:c r="J395" s="8" t="n">
        <x:f>IF(G395="yes",1,0)</x:f>
        <x:v>1</x:v>
      </x:c>
      <x:c r="K395" s="8" t="n">
        <x:f>IF(G395="no",5,IF(E395&gt;800,3,1))</x:f>
        <x:v>3</x:v>
      </x:c>
      <x:c r="L395" s="8" t="str">
        <x:v>https://github.com/react-native-webview/react-native-webview</x:v>
      </x:c>
    </x:row>
    <x:row r="396">
      <x:c r="A396" s="8" t="str">
        <x:v>evt-00391</x:v>
      </x:c>
      <x:c r="B396" s="10" t="n">
        <x:v>46113.27118055556</x:v>
      </x:c>
      <x:c r="C396" s="8" t="str">
        <x:v>iOS</x:v>
      </x:c>
      <x:c r="D396" s="8" t="str">
        <x:v>navigation</x:v>
      </x:c>
      <x:c r="E396" s="12" t="n">
        <x:v>296</x:v>
      </x:c>
      <x:c r="F396" s="12" t="n">
        <x:v>404.5</x:v>
      </x:c>
      <x:c r="G396" s="8" t="str">
        <x:v>yes</x:v>
      </x:c>
      <x:c r="H396" s="8" t="n">
        <x:v>272</x:v>
      </x:c>
      <x:c r="I396" s="8"/>
      <x:c r="J396" s="8" t="n">
        <x:f>IF(G396="yes",1,0)</x:f>
        <x:v>1</x:v>
      </x:c>
      <x:c r="K396" s="8" t="n">
        <x:f>IF(G396="no",5,IF(E396&gt;800,3,1))</x:f>
        <x:v>1</x:v>
      </x:c>
      <x:c r="L396" s="8"/>
    </x:row>
    <x:row r="397">
      <x:c r="A397" s="8" t="str">
        <x:v>evt-00392</x:v>
      </x:c>
      <x:c r="B397" s="10" t="n">
        <x:v>46144.31355324074</x:v>
      </x:c>
      <x:c r="C397" s="8" t="str">
        <x:v>Android</x:v>
      </x:c>
      <x:c r="D397" s="8" t="str">
        <x:v>large JSON</x:v>
      </x:c>
      <x:c r="E397" s="12" t="n">
        <x:v>278</x:v>
      </x:c>
      <x:c r="F397" s="12" t="n">
        <x:v>843.9</x:v>
      </x:c>
      <x:c r="G397" s="8" t="str">
        <x:v>yes</x:v>
      </x:c>
      <x:c r="H397" s="8" t="n">
        <x:v>804</x:v>
      </x:c>
      <x:c r="I397" s="8" t="str">
        <x:v>The owner field was not captured in the original notes, so classification should remain conservative.</x:v>
      </x:c>
      <x:c r="J397" s="8" t="n">
        <x:f>IF(G397="yes",1,0)</x:f>
        <x:v>1</x:v>
      </x:c>
      <x:c r="K397" s="8" t="n">
        <x:f>IF(G397="no",5,IF(E397&gt;800,3,1))</x:f>
        <x:v>1</x:v>
      </x:c>
      <x:c r="L397" s="8"/>
    </x:row>
    <x:row r="398">
      <x:c r="A398" s="8" t="str">
        <x:v>evt-00393</x:v>
      </x:c>
      <x:c r="B398" s="10" t="n">
        <x:v>46176.35592592593</x:v>
      </x:c>
      <x:c r="C398" s="8" t="str">
        <x:v>iOS</x:v>
      </x:c>
      <x:c r="D398" s="8" t="str">
        <x:v>cold launch</x:v>
      </x:c>
      <x:c r="E398" s="12" t="n">
        <x:v>1357</x:v>
      </x:c>
      <x:c r="F398" s="12" t="n">
        <x:v>768.8</x:v>
      </x:c>
      <x:c r="G398" s="8" t="str">
        <x:v>yes</x:v>
      </x:c>
      <x:c r="H398" s="8" t="n">
        <x:v>209</x:v>
      </x:c>
      <x:c r="I398" s="8" t="str">
        <x:v>The bridge callback is stable for small payloads, but large JSON messages show visible delay during navigation.</x:v>
      </x:c>
      <x:c r="J398" s="8" t="n">
        <x:f>IF(G398="yes",1,0)</x:f>
        <x:v>1</x:v>
      </x:c>
      <x:c r="K398" s="8" t="n">
        <x:f>IF(G398="no",5,IF(E398&gt;800,3,1))</x:f>
        <x:v>3</x:v>
      </x:c>
      <x:c r="L398" s="8"/>
    </x:row>
    <x:row r="399">
      <x:c r="A399" s="8" t="str">
        <x:v>evt-00394</x:v>
      </x:c>
      <x:c r="B399" s="10" t="n">
        <x:v>46207.39829861111</x:v>
      </x:c>
      <x:c r="C399" s="8" t="str">
        <x:v>Windows</x:v>
      </x:c>
      <x:c r="D399" s="8" t="str">
        <x:v>navigation</x:v>
      </x:c>
      <x:c r="E399" s="12" t="n">
        <x:v>1397</x:v>
      </x:c>
      <x:c r="F399" s="12" t="n">
        <x:v>652</x:v>
      </x:c>
      <x:c r="G399" s="8" t="str">
        <x:v>yes</x:v>
      </x:c>
      <x:c r="H399" s="8" t="n">
        <x:v>184</x:v>
      </x:c>
      <x:c r="I399" s="8" t="str">
        <x:v>Potential duplicate: this paragraph is repeated in another section to test deduplication and chunk metadata.</x:v>
      </x:c>
      <x:c r="J399" s="8" t="n">
        <x:f>IF(G399="yes",1,0)</x:f>
        <x:v>1</x:v>
      </x:c>
      <x:c r="K399" s="8" t="n">
        <x:f>IF(G399="no",5,IF(E399&gt;800,3,1))</x:f>
        <x:v>3</x:v>
      </x:c>
      <x:c r="L399" s="8"/>
    </x:row>
    <x:row r="400">
      <x:c r="A400" s="8" t="str">
        <x:v>evt-00395</x:v>
      </x:c>
      <x:c r="B400" s="10" t="n">
        <x:v>46239.440671296295</x:v>
      </x:c>
      <x:c r="C400" s="8" t="str">
        <x:v>Linux</x:v>
      </x:c>
      <x:c r="D400" s="8" t="str">
        <x:v>navigation</x:v>
      </x:c>
      <x:c r="E400" s="12" t="n">
        <x:v>921</x:v>
      </x:c>
      <x:c r="F400" s="12" t="n">
        <x:v>517.2</x:v>
      </x:c>
      <x:c r="G400" s="8" t="str">
        <x:v>yes</x:v>
      </x:c>
      <x:c r="H400" s="8" t="n">
        <x:v>436</x:v>
      </x:c>
      <x:c r="I400" s="8" t="str">
        <x:v>Observed in a local test run: the content rendered, but the console warning appeared twice.</x:v>
      </x:c>
      <x:c r="J400" s="8" t="n">
        <x:f>IF(G400="yes",1,0)</x:f>
        <x:v>1</x:v>
      </x:c>
      <x:c r="K400" s="8" t="n">
        <x:f>IF(G400="no",5,IF(E400&gt;800,3,1))</x:f>
        <x:v>3</x:v>
      </x:c>
      <x:c r="L400" s="8"/>
    </x:row>
    <x:row r="401">
      <x:c r="A401" s="8" t="str">
        <x:v>evt-00396</x:v>
      </x:c>
      <x:c r="B401" s="10" t="n">
        <x:v>46271.48304398148</x:v>
      </x:c>
      <x:c r="C401" s="8" t="str">
        <x:v>macOS</x:v>
      </x:c>
      <x:c r="D401" s="8" t="str">
        <x:v>navigation</x:v>
      </x:c>
      <x:c r="E401" s="12" t="n">
        <x:v>496</x:v>
      </x:c>
      <x:c r="F401" s="12" t="n">
        <x:v>706</x:v>
      </x:c>
      <x:c r="G401" s="8" t="str">
        <x:v>yes</x:v>
      </x:c>
      <x:c r="H401" s="8" t="n">
        <x:v>83</x:v>
      </x:c>
      <x:c r="I401" s="8"/>
      <x:c r="J401" s="8" t="n">
        <x:f>IF(G401="yes",1,0)</x:f>
        <x:v>1</x:v>
      </x:c>
      <x:c r="K401" s="8" t="n">
        <x:f>IF(G401="no",5,IF(E401&gt;800,3,1))</x:f>
        <x:v>1</x:v>
      </x:c>
      <x:c r="L401" s="8"/>
    </x:row>
    <x:row r="402">
      <x:c r="A402" s="8" t="str">
        <x:v>evt-00397</x:v>
      </x:c>
      <x:c r="B402" s="10" t="n">
        <x:v>46029.525416666664</x:v>
      </x:c>
      <x:c r="C402" s="8" t="str">
        <x:v>Windows</x:v>
      </x:c>
      <x:c r="D402" s="8" t="str">
        <x:v>cold launch</x:v>
      </x:c>
      <x:c r="E402" s="12" t="n">
        <x:v>1279</x:v>
      </x:c>
      <x:c r="F402" s="12" t="n">
        <x:v>693.3</x:v>
      </x:c>
      <x:c r="G402" s="8" t="str">
        <x:v>yes</x:v>
      </x:c>
      <x:c r="H402" s="8" t="n">
        <x:v>448</x:v>
      </x:c>
      <x:c r="I402" s="8"/>
      <x:c r="J402" s="8" t="n">
        <x:f>IF(G402="yes",1,0)</x:f>
        <x:v>1</x:v>
      </x:c>
      <x:c r="K402" s="8" t="n">
        <x:f>IF(G402="no",5,IF(E402&gt;800,3,1))</x:f>
        <x:v>3</x:v>
      </x:c>
      <x:c r="L402" s="8"/>
    </x:row>
    <x:row r="403">
      <x:c r="A403" s="8" t="str">
        <x:v>evt-00398</x:v>
      </x:c>
      <x:c r="B403" s="10" t="n">
        <x:v>46061.56778935185</x:v>
      </x:c>
      <x:c r="C403" s="8" t="str">
        <x:v>macOS</x:v>
      </x:c>
      <x:c r="D403" s="8" t="str">
        <x:v>navigation</x:v>
      </x:c>
      <x:c r="E403" s="12" t="n">
        <x:v>1283</x:v>
      </x:c>
      <x:c r="F403" s="12" t="n">
        <x:v>885.1</x:v>
      </x:c>
      <x:c r="G403" s="8" t="str">
        <x:v>no</x:v>
      </x:c>
      <x:c r="H403" s="8" t="n">
        <x:v>819</x:v>
      </x:c>
      <x:c r="I403" s="8"/>
      <x:c r="J403" s="8" t="n">
        <x:f>IF(G403="yes",1,0)</x:f>
        <x:v>0</x:v>
      </x:c>
      <x:c r="K403" s="8" t="n">
        <x:f>IF(G403="no",5,IF(E403&gt;800,3,1))</x:f>
        <x:v>5</x:v>
      </x:c>
      <x:c r="L403" s="8" t="str">
        <x:v>https://developer.microsoft.com/en-us/microsoft-edge/webview2/</x:v>
      </x:c>
    </x:row>
    <x:row r="404">
      <x:c r="A404" s="8" t="str">
        <x:v>evt-00399</x:v>
      </x:c>
      <x:c r="B404" s="10" t="n">
        <x:v>46090.61016203704</x:v>
      </x:c>
      <x:c r="C404" s="8" t="str">
        <x:v>Linux</x:v>
      </x:c>
      <x:c r="D404" s="8" t="str">
        <x:v>download</x:v>
      </x:c>
      <x:c r="E404" s="12" t="n">
        <x:v>119</x:v>
      </x:c>
      <x:c r="F404" s="12" t="n">
        <x:v>230.3</x:v>
      </x:c>
      <x:c r="G404" s="8" t="str">
        <x:v>yes</x:v>
      </x:c>
      <x:c r="H404" s="8" t="n">
        <x:v>563</x:v>
      </x:c>
      <x:c r="I404" s="8" t="str">
        <x:v>Verify behavior on a cold start and after the page reloads without destroying the native view.</x:v>
      </x:c>
      <x:c r="J404" s="8" t="n">
        <x:f>IF(G404="yes",1,0)</x:f>
        <x:v>1</x:v>
      </x:c>
      <x:c r="K404" s="8" t="n">
        <x:f>IF(G404="no",5,IF(E404&gt;800,3,1))</x:f>
        <x:v>1</x:v>
      </x:c>
      <x:c r="L404" s="8"/>
    </x:row>
    <x:row r="405">
      <x:c r="A405" s="8" t="str">
        <x:v>evt-00400</x:v>
      </x:c>
      <x:c r="B405" s="10" t="n">
        <x:v>46122.65253472222</x:v>
      </x:c>
      <x:c r="C405" s="8" t="str">
        <x:v>Android</x:v>
      </x:c>
      <x:c r="D405" s="8" t="str">
        <x:v>bridge message</x:v>
      </x:c>
      <x:c r="E405" s="12" t="n">
        <x:v>1053</x:v>
      </x:c>
      <x:c r="F405" s="12" t="n">
        <x:v>671.4</x:v>
      </x:c>
      <x:c r="G405" s="8" t="str">
        <x:v>yes</x:v>
      </x:c>
      <x:c r="H405" s="8" t="n">
        <x:v>549</x:v>
      </x:c>
      <x:c r="I405" s="8"/>
      <x:c r="J405" s="8" t="n">
        <x:f>IF(G405="yes",1,0)</x:f>
        <x:v>1</x:v>
      </x:c>
      <x:c r="K405" s="8" t="n">
        <x:f>IF(G405="no",5,IF(E405&gt;800,3,1))</x:f>
        <x:v>3</x:v>
      </x:c>
      <x:c r="L405" s="8" t="str">
        <x:v>https://developer.apple.com/documentation/webkit/wkwebview</x:v>
      </x:c>
    </x:row>
    <x:row r="406">
      <x:c r="A406" s="8"/>
      <x:c r="B406" s="10"/>
      <x:c r="C406" s="8"/>
      <x:c r="D406" s="8"/>
      <x:c r="E406" s="12"/>
      <x:c r="F406" s="12"/>
      <x:c r="G406" s="8"/>
      <x:c r="H406" s="8"/>
      <x:c r="I406" s="8"/>
      <x:c r="J406" s="8" t="n">
        <x:f>IF(G406="yes",1,0)</x:f>
        <x:v>0</x:v>
      </x:c>
      <x:c r="K406" s="8" t="n">
        <x:f>IF(G406="no",5,IF(E406&gt;800,3,1))</x:f>
        <x:v>1</x:v>
      </x:c>
      <x:c r="L406" s="8"/>
    </x:row>
    <x:row r="407">
      <x:c r="A407" s="8" t="str">
        <x:v>evt-00401</x:v>
      </x:c>
      <x:c r="B407" s="10" t="n">
        <x:v>46153.69490740741</x:v>
      </x:c>
      <x:c r="C407" s="8" t="str">
        <x:v>Android</x:v>
      </x:c>
      <x:c r="D407" s="8" t="str">
        <x:v>file upload</x:v>
      </x:c>
      <x:c r="E407" s="12" t="n">
        <x:v>762</x:v>
      </x:c>
      <x:c r="F407" s="12" t="n">
        <x:v>197.7</x:v>
      </x:c>
      <x:c r="G407" s="8" t="str">
        <x:v>yes</x:v>
      </x:c>
      <x:c r="H407" s="8" t="n">
        <x:v>121</x:v>
      </x:c>
      <x:c r="I407" s="8" t="str">
        <x:v>A blank cell here is intentional. The source workbook has notes placed away from the nearest table.</x:v>
      </x:c>
      <x:c r="J407" s="8" t="n">
        <x:f>IF(G407="yes",1,0)</x:f>
        <x:v>1</x:v>
      </x:c>
      <x:c r="K407" s="8" t="n">
        <x:f>IF(G407="no",5,IF(E407&gt;800,3,1))</x:f>
        <x:v>1</x:v>
      </x:c>
      <x:c r="L407" s="8"/>
    </x:row>
    <x:row r="408">
      <x:c r="A408" s="8" t="str">
        <x:v>evt-00402</x:v>
      </x:c>
      <x:c r="B408" s="10" t="n">
        <x:v>46185.737280092595</x:v>
      </x:c>
      <x:c r="C408" s="8" t="str">
        <x:v>Linux</x:v>
      </x:c>
      <x:c r="D408" s="8" t="str">
        <x:v>bridge message</x:v>
      </x:c>
      <x:c r="E408" s="12" t="n">
        <x:v>887</x:v>
      </x:c>
      <x:c r="F408" s="12" t="n">
        <x:v>933.8</x:v>
      </x:c>
      <x:c r="G408" s="8" t="str">
        <x:v>yes</x:v>
      </x:c>
      <x:c r="H408" s="8" t="n">
        <x:v>457</x:v>
      </x:c>
      <x:c r="I408" s="8" t="str">
        <x:v>The bridge callback is stable for small payloads, but large JSON messages show visible delay during navigation.</x:v>
      </x:c>
      <x:c r="J408" s="8" t="n">
        <x:f>IF(G408="yes",1,0)</x:f>
        <x:v>1</x:v>
      </x:c>
      <x:c r="K408" s="8" t="n">
        <x:f>IF(G408="no",5,IF(E408&gt;800,3,1))</x:f>
        <x:v>3</x:v>
      </x:c>
      <x:c r="L408" s="8"/>
    </x:row>
    <x:row r="409">
      <x:c r="A409" s="8" t="str">
        <x:v>evt-00403</x:v>
      </x:c>
      <x:c r="B409" s="10" t="n">
        <x:v>46216.779652777775</x:v>
      </x:c>
      <x:c r="C409" s="8" t="str">
        <x:v>Linux</x:v>
      </x:c>
      <x:c r="D409" s="8" t="str">
        <x:v>large JSON</x:v>
      </x:c>
      <x:c r="E409" s="12" t="n">
        <x:v>726</x:v>
      </x:c>
      <x:c r="F409" s="12" t="n">
        <x:v>590.7</x:v>
      </x:c>
      <x:c r="G409" s="8" t="str">
        <x:v>yes</x:v>
      </x:c>
      <x:c r="H409" s="8" t="n">
        <x:v>298</x:v>
      </x:c>
      <x:c r="I409" s="8"/>
      <x:c r="J409" s="8" t="n">
        <x:f>IF(G409="yes",1,0)</x:f>
        <x:v>1</x:v>
      </x:c>
      <x:c r="K409" s="8" t="n">
        <x:f>IF(G409="no",5,IF(E409&gt;800,3,1))</x:f>
        <x:v>1</x:v>
      </x:c>
      <x:c r="L409" s="8" t="str">
        <x:v>https://learn.microsoft.com/en-us/microsoft-edge/webview2/concepts/security</x:v>
      </x:c>
    </x:row>
    <x:row r="410">
      <x:c r="A410" s="8" t="str">
        <x:v>evt-00404</x:v>
      </x:c>
      <x:c r="B410" s="10" t="n">
        <x:v>46248.82202546296</x:v>
      </x:c>
      <x:c r="C410" s="8" t="str">
        <x:v>Android</x:v>
      </x:c>
      <x:c r="D410" s="8" t="str">
        <x:v>navigation</x:v>
      </x:c>
      <x:c r="E410" s="12" t="n">
        <x:v>881</x:v>
      </x:c>
      <x:c r="F410" s="12" t="n">
        <x:v>550.2</x:v>
      </x:c>
      <x:c r="G410" s="8" t="str">
        <x:v>yes</x:v>
      </x:c>
      <x:c r="H410" s="8" t="n">
        <x:v>879</x:v>
      </x:c>
      <x:c r="I410" s="8"/>
      <x:c r="J410" s="8" t="n">
        <x:f>IF(G410="yes",1,0)</x:f>
        <x:v>1</x:v>
      </x:c>
      <x:c r="K410" s="8" t="n">
        <x:f>IF(G410="no",5,IF(E410&gt;800,3,1))</x:f>
        <x:v>3</x:v>
      </x:c>
      <x:c r="L410" s="8" t="str">
        <x:v>https://developer.android.com/reference/android/webkit/WebView</x:v>
      </x:c>
    </x:row>
    <x:row r="411">
      <x:c r="A411" s="8" t="str">
        <x:v>evt-00405</x:v>
      </x:c>
      <x:c r="B411" s="10" t="n">
        <x:v>46280.86439814815</x:v>
      </x:c>
      <x:c r="C411" s="8" t="str">
        <x:v>Android</x:v>
      </x:c>
      <x:c r="D411" s="8" t="str">
        <x:v>reload</x:v>
      </x:c>
      <x:c r="E411" s="12" t="n">
        <x:v>1450</x:v>
      </x:c>
      <x:c r="F411" s="12" t="n">
        <x:v>217</x:v>
      </x:c>
      <x:c r="G411" s="8" t="str">
        <x:v>yes</x:v>
      </x:c>
      <x:c r="H411" s="8" t="n">
        <x:v>727</x:v>
      </x:c>
      <x:c r="I411" s="8"/>
      <x:c r="J411" s="8" t="n">
        <x:f>IF(G411="yes",1,0)</x:f>
        <x:v>1</x:v>
      </x:c>
      <x:c r="K411" s="8" t="n">
        <x:f>IF(G411="no",5,IF(E411&gt;800,3,1))</x:f>
        <x:v>3</x:v>
      </x:c>
      <x:c r="L411" s="8" t="str">
        <x:v>https://developer.microsoft.com/en-us/microsoft-edge/webview2/</x:v>
      </x:c>
    </x:row>
    <x:row r="412">
      <x:c r="A412" s="8" t="str">
        <x:v>evt-00406</x:v>
      </x:c>
      <x:c r="B412" s="10" t="n">
        <x:v>46038.90677083333</x:v>
      </x:c>
      <x:c r="C412" s="8" t="str">
        <x:v>macOS</x:v>
      </x:c>
      <x:c r="D412" s="8" t="str">
        <x:v>large JSON</x:v>
      </x:c>
      <x:c r="E412" s="12" t="n">
        <x:v>328</x:v>
      </x:c>
      <x:c r="F412" s="12" t="n">
        <x:v>279.5</x:v>
      </x:c>
      <x:c r="G412" s="8" t="str">
        <x:v>yes</x:v>
      </x:c>
      <x:c r="H412" s="8" t="n">
        <x:v>502</x:v>
      </x:c>
      <x:c r="I412" s="8" t="str">
        <x:v>A blank cell here is intentional. The source workbook has notes placed away from the nearest table.</x:v>
      </x:c>
      <x:c r="J412" s="8" t="n">
        <x:f>IF(G412="yes",1,0)</x:f>
        <x:v>1</x:v>
      </x:c>
      <x:c r="K412" s="8" t="n">
        <x:f>IF(G412="no",5,IF(E412&gt;800,3,1))</x:f>
        <x:v>1</x:v>
      </x:c>
      <x:c r="L412" s="8"/>
    </x:row>
    <x:row r="413">
      <x:c r="A413" s="8" t="str">
        <x:v>evt-00407</x:v>
      </x:c>
      <x:c r="B413" s="10" t="n">
        <x:v>46070.94914351852</x:v>
      </x:c>
      <x:c r="C413" s="8" t="str">
        <x:v>iOS</x:v>
      </x:c>
      <x:c r="D413" s="8" t="str">
        <x:v>download</x:v>
      </x:c>
      <x:c r="E413" s="12" t="n">
        <x:v>264</x:v>
      </x:c>
      <x:c r="F413" s="12" t="n">
        <x:v>650.5</x:v>
      </x:c>
      <x:c r="G413" s="8" t="str">
        <x:v>no</x:v>
      </x:c>
      <x:c r="H413" s="8" t="n">
        <x:v>246</x:v>
      </x:c>
      <x:c r="I413" s="8"/>
      <x:c r="J413" s="8" t="n">
        <x:f>IF(G413="yes",1,0)</x:f>
        <x:v>0</x:v>
      </x:c>
      <x:c r="K413" s="8" t="n">
        <x:f>IF(G413="no",5,IF(E413&gt;800,3,1))</x:f>
        <x:v>5</x:v>
      </x:c>
      <x:c r="L413" s="8"/>
    </x:row>
    <x:row r="414">
      <x:c r="A414" s="8" t="str">
        <x:v>evt-00408</x:v>
      </x:c>
      <x:c r="B414" s="10" t="n">
        <x:v>46099.99151620371</x:v>
      </x:c>
      <x:c r="C414" s="8" t="str">
        <x:v>iOS</x:v>
      </x:c>
      <x:c r="D414" s="8" t="str">
        <x:v>navigation</x:v>
      </x:c>
      <x:c r="E414" s="12" t="n">
        <x:v>1136</x:v>
      </x:c>
      <x:c r="F414" s="12" t="n">
        <x:v>675.7</x:v>
      </x:c>
      <x:c r="G414" s="8" t="str">
        <x:v>yes</x:v>
      </x:c>
      <x:c r="H414" s="8" t="n">
        <x:v>94</x:v>
      </x:c>
      <x:c r="I414" s="8" t="str">
        <x:v>The bridge callback is stable for small payloads, but large JSON messages show visible delay during navigation.</x:v>
      </x:c>
      <x:c r="J414" s="8" t="n">
        <x:f>IF(G414="yes",1,0)</x:f>
        <x:v>1</x:v>
      </x:c>
      <x:c r="K414" s="8" t="n">
        <x:f>IF(G414="no",5,IF(E414&gt;800,3,1))</x:f>
        <x:v>3</x:v>
      </x:c>
      <x:c r="L414" s="8"/>
    </x:row>
    <x:row r="415">
      <x:c r="A415" s="8" t="str">
        <x:v>evt-00409</x:v>
      </x:c>
      <x:c r="B415" s="10" t="n">
        <x:v>46131.03388888889</x:v>
      </x:c>
      <x:c r="C415" s="8" t="str">
        <x:v>iOS</x:v>
      </x:c>
      <x:c r="D415" s="8" t="str">
        <x:v>reload</x:v>
      </x:c>
      <x:c r="E415" s="12" t="n">
        <x:v>988</x:v>
      </x:c>
      <x:c r="F415" s="12" t="n">
        <x:v>536.3</x:v>
      </x:c>
      <x:c r="G415" s="8" t="str">
        <x:v>yes</x:v>
      </x:c>
      <x:c r="H415" s="8" t="n">
        <x:v>536</x:v>
      </x:c>
      <x:c r="I415" s="8"/>
      <x:c r="J415" s="8" t="n">
        <x:f>IF(G415="yes",1,0)</x:f>
        <x:v>1</x:v>
      </x:c>
      <x:c r="K415" s="8" t="n">
        <x:f>IF(G415="no",5,IF(E415&gt;800,3,1))</x:f>
        <x:v>3</x:v>
      </x:c>
      <x:c r="L415" s="8"/>
    </x:row>
    <x:row r="416">
      <x:c r="A416" s="8" t="str">
        <x:v>evt-00410</x:v>
      </x:c>
      <x:c r="B416" s="10" t="n">
        <x:v>46162.076261574075</x:v>
      </x:c>
      <x:c r="C416" s="8" t="str">
        <x:v>Windows</x:v>
      </x:c>
      <x:c r="D416" s="8" t="str">
        <x:v>cold launch</x:v>
      </x:c>
      <x:c r="E416" s="12" t="n">
        <x:v>351</x:v>
      </x:c>
      <x:c r="F416" s="12" t="n">
        <x:v>490.1</x:v>
      </x:c>
      <x:c r="G416" s="8" t="str">
        <x:v>no</x:v>
      </x:c>
      <x:c r="H416" s="8" t="n">
        <x:v>125</x:v>
      </x:c>
      <x:c r="I416" s="8"/>
      <x:c r="J416" s="8" t="n">
        <x:f>IF(G416="yes",1,0)</x:f>
        <x:v>0</x:v>
      </x:c>
      <x:c r="K416" s="8" t="n">
        <x:f>IF(G416="no",5,IF(E416&gt;800,3,1))</x:f>
        <x:v>5</x:v>
      </x:c>
      <x:c r="L416" s="8"/>
    </x:row>
    <x:row r="417">
      <x:c r="A417" s="8" t="str">
        <x:v>evt-00411</x:v>
      </x:c>
      <x:c r="B417" s="10" t="n">
        <x:v>46194.11863425926</x:v>
      </x:c>
      <x:c r="C417" s="8" t="str">
        <x:v>Linux</x:v>
      </x:c>
      <x:c r="D417" s="8" t="str">
        <x:v>download</x:v>
      </x:c>
      <x:c r="E417" s="12" t="n">
        <x:v>956</x:v>
      </x:c>
      <x:c r="F417" s="12" t="n">
        <x:v>563.1</x:v>
      </x:c>
      <x:c r="G417" s="8" t="str">
        <x:v>yes</x:v>
      </x:c>
      <x:c r="H417" s="8" t="n">
        <x:v>607</x:v>
      </x:c>
      <x:c r="I417" s="8"/>
      <x:c r="J417" s="8" t="n">
        <x:f>IF(G417="yes",1,0)</x:f>
        <x:v>1</x:v>
      </x:c>
      <x:c r="K417" s="8" t="n">
        <x:f>IF(G417="no",5,IF(E417&gt;800,3,1))</x:f>
        <x:v>3</x:v>
      </x:c>
      <x:c r="L417" s="8" t="str">
        <x:v>https://developer.apple.com/documentation/webkit/wkwebview</x:v>
      </x:c>
    </x:row>
    <x:row r="418">
      <x:c r="A418" s="8" t="str">
        <x:v>evt-00412</x:v>
      </x:c>
      <x:c r="B418" s="10" t="n">
        <x:v>46225.16100694444</x:v>
      </x:c>
      <x:c r="C418" s="8" t="str">
        <x:v>Android</x:v>
      </x:c>
      <x:c r="D418" s="8" t="str">
        <x:v>download</x:v>
      </x:c>
      <x:c r="E418" s="12" t="n">
        <x:v>594</x:v>
      </x:c>
      <x:c r="F418" s="12" t="n">
        <x:v>639.5</x:v>
      </x:c>
      <x:c r="G418" s="8" t="str">
        <x:v>no</x:v>
      </x:c>
      <x:c r="H418" s="8" t="n">
        <x:v>128</x:v>
      </x:c>
      <x:c r="I418" s="8" t="str">
        <x:v>Observed in a local test run: the content rendered, but the console warning appeared twice.</x:v>
      </x:c>
      <x:c r="J418" s="8" t="n">
        <x:f>IF(G418="yes",1,0)</x:f>
        <x:v>0</x:v>
      </x:c>
      <x:c r="K418" s="8" t="n">
        <x:f>IF(G418="no",5,IF(E418&gt;800,3,1))</x:f>
        <x:v>5</x:v>
      </x:c>
      <x:c r="L418" s="8" t="str">
        <x:v>https://github.com/react-native-webview/react-native-webview</x:v>
      </x:c>
    </x:row>
    <x:row r="419">
      <x:c r="A419" s="8" t="str">
        <x:v>evt-00413</x:v>
      </x:c>
      <x:c r="B419" s="10" t="n">
        <x:v>46257.20337962963</x:v>
      </x:c>
      <x:c r="C419" s="8" t="str">
        <x:v>Windows</x:v>
      </x:c>
      <x:c r="D419" s="8" t="str">
        <x:v>navigation</x:v>
      </x:c>
      <x:c r="E419" s="12" t="n">
        <x:v>294</x:v>
      </x:c>
      <x:c r="F419" s="12" t="n">
        <x:v>122</x:v>
      </x:c>
      <x:c r="G419" s="8" t="str">
        <x:v>yes</x:v>
      </x:c>
      <x:c r="H419" s="8" t="n">
        <x:v>731</x:v>
      </x:c>
      <x:c r="I419" s="8"/>
      <x:c r="J419" s="8" t="n">
        <x:f>IF(G419="yes",1,0)</x:f>
        <x:v>1</x:v>
      </x:c>
      <x:c r="K419" s="8" t="n">
        <x:f>IF(G419="no",5,IF(E419&gt;800,3,1))</x:f>
        <x:v>1</x:v>
      </x:c>
      <x:c r="L419" s="8"/>
    </x:row>
    <x:row r="420">
      <x:c r="A420" s="8" t="str">
        <x:v>evt-00414</x:v>
      </x:c>
      <x:c r="B420" s="10" t="n">
        <x:v>46289.24575231481</x:v>
      </x:c>
      <x:c r="C420" s="8" t="str">
        <x:v>Windows</x:v>
      </x:c>
      <x:c r="D420" s="8" t="str">
        <x:v>reload</x:v>
      </x:c>
      <x:c r="E420" s="12" t="n">
        <x:v>286</x:v>
      </x:c>
      <x:c r="F420" s="12" t="n">
        <x:v>100.2</x:v>
      </x:c>
      <x:c r="G420" s="8" t="str">
        <x:v>yes</x:v>
      </x:c>
      <x:c r="H420" s="8" t="n">
        <x:v>603</x:v>
      </x:c>
      <x:c r="I420" s="8" t="str">
        <x:v>A blank cell here is intentional. The source workbook has notes placed away from the nearest table.</x:v>
      </x:c>
      <x:c r="J420" s="8" t="n">
        <x:f>IF(G420="yes",1,0)</x:f>
        <x:v>1</x:v>
      </x:c>
      <x:c r="K420" s="8" t="n">
        <x:f>IF(G420="no",5,IF(E420&gt;800,3,1))</x:f>
        <x:v>1</x:v>
      </x:c>
      <x:c r="L420" s="8"/>
    </x:row>
    <x:row r="421">
      <x:c r="A421" s="8" t="str">
        <x:v>evt-00415</x:v>
      </x:c>
      <x:c r="B421" s="10" t="n">
        <x:v>46047.288125</x:v>
      </x:c>
      <x:c r="C421" s="8" t="str">
        <x:v>Linux</x:v>
      </x:c>
      <x:c r="D421" s="8" t="str">
        <x:v>bridge message</x:v>
      </x:c>
      <x:c r="E421" s="12" t="n">
        <x:v>59</x:v>
      </x:c>
      <x:c r="F421" s="12" t="n">
        <x:v>215.9</x:v>
      </x:c>
      <x:c r="G421" s="8" t="str">
        <x:v>yes</x:v>
      </x:c>
      <x:c r="H421" s="8" t="n">
        <x:v>612</x:v>
      </x:c>
      <x:c r="I421" s="8"/>
      <x:c r="J421" s="8" t="n">
        <x:f>IF(G421="yes",1,0)</x:f>
        <x:v>1</x:v>
      </x:c>
      <x:c r="K421" s="8" t="n">
        <x:f>IF(G421="no",5,IF(E421&gt;800,3,1))</x:f>
        <x:v>1</x:v>
      </x:c>
      <x:c r="L421" s="8"/>
    </x:row>
    <x:row r="422">
      <x:c r="A422" s="8" t="str">
        <x:v>evt-00416</x:v>
      </x:c>
      <x:c r="B422" s="10" t="n">
        <x:v>46079.33049768519</x:v>
      </x:c>
      <x:c r="C422" s="8" t="str">
        <x:v>iOS</x:v>
      </x:c>
      <x:c r="D422" s="8" t="str">
        <x:v>file upload</x:v>
      </x:c>
      <x:c r="E422" s="12" t="n">
        <x:v>305</x:v>
      </x:c>
      <x:c r="F422" s="12" t="n">
        <x:v>510.5</x:v>
      </x:c>
      <x:c r="G422" s="8" t="str">
        <x:v>yes</x:v>
      </x:c>
      <x:c r="H422" s="8" t="n">
        <x:v>812</x:v>
      </x:c>
      <x:c r="I422" s="8" t="str">
        <x:v>This sentence is long enough to exercise wrapping and downstream chunk boundaries in Markdown output.</x:v>
      </x:c>
      <x:c r="J422" s="8" t="n">
        <x:f>IF(G422="yes",1,0)</x:f>
        <x:v>1</x:v>
      </x:c>
      <x:c r="K422" s="8" t="n">
        <x:f>IF(G422="no",5,IF(E422&gt;800,3,1))</x:f>
        <x:v>1</x:v>
      </x:c>
      <x:c r="L422" s="8" t="str">
        <x:v>https://developer.android.com/reference/android/webkit/WebView</x:v>
      </x:c>
    </x:row>
    <x:row r="423">
      <x:c r="A423" s="8" t="str">
        <x:v>evt-00417</x:v>
      </x:c>
      <x:c r="B423" s="10" t="n">
        <x:v>46082.37287037037</x:v>
      </x:c>
      <x:c r="C423" s="8" t="str">
        <x:v>macOS</x:v>
      </x:c>
      <x:c r="D423" s="8" t="str">
        <x:v>file upload</x:v>
      </x:c>
      <x:c r="E423" s="12" t="n">
        <x:v>827</x:v>
      </x:c>
      <x:c r="F423" s="12" t="n">
        <x:v>561.1</x:v>
      </x:c>
      <x:c r="G423" s="8" t="str">
        <x:v>no</x:v>
      </x:c>
      <x:c r="H423" s="8" t="n">
        <x:v>699</x:v>
      </x:c>
      <x:c r="I423" s="8"/>
      <x:c r="J423" s="8" t="n">
        <x:f>IF(G423="yes",1,0)</x:f>
        <x:v>0</x:v>
      </x:c>
      <x:c r="K423" s="8" t="n">
        <x:f>IF(G423="no",5,IF(E423&gt;800,3,1))</x:f>
        <x:v>5</x:v>
      </x:c>
      <x:c r="L423" s="8"/>
    </x:row>
    <x:row r="424">
      <x:c r="A424" s="8" t="str">
        <x:v>evt-00418</x:v>
      </x:c>
      <x:c r="B424" s="10" t="n">
        <x:v>46114.415243055555</x:v>
      </x:c>
      <x:c r="C424" s="8" t="str">
        <x:v>iOS</x:v>
      </x:c>
      <x:c r="D424" s="8" t="str">
        <x:v>bridge message</x:v>
      </x:c>
      <x:c r="E424" s="12" t="n">
        <x:v>723</x:v>
      </x:c>
      <x:c r="F424" s="12" t="n">
        <x:v>137</x:v>
      </x:c>
      <x:c r="G424" s="8" t="str">
        <x:v>yes</x:v>
      </x:c>
      <x:c r="H424" s="8" t="n">
        <x:v>453</x:v>
      </x:c>
      <x:c r="I424" s="8" t="str">
        <x:v>Observed in a local test run: the content rendered, but the console warning appeared twice.</x:v>
      </x:c>
      <x:c r="J424" s="8" t="n">
        <x:f>IF(G424="yes",1,0)</x:f>
        <x:v>1</x:v>
      </x:c>
      <x:c r="K424" s="8" t="n">
        <x:f>IF(G424="no",5,IF(E424&gt;800,3,1))</x:f>
        <x:v>1</x:v>
      </x:c>
      <x:c r="L424" s="8"/>
    </x:row>
    <x:row r="425">
      <x:c r="A425" s="8" t="str">
        <x:v>evt-00419</x:v>
      </x:c>
      <x:c r="B425" s="10" t="n">
        <x:v>46145.45761574074</x:v>
      </x:c>
      <x:c r="C425" s="8" t="str">
        <x:v>iOS</x:v>
      </x:c>
      <x:c r="D425" s="8" t="str">
        <x:v>navigation</x:v>
      </x:c>
      <x:c r="E425" s="12" t="n">
        <x:v>453</x:v>
      </x:c>
      <x:c r="F425" s="12" t="n">
        <x:v>484.7</x:v>
      </x:c>
      <x:c r="G425" s="8" t="str">
        <x:v>yes</x:v>
      </x:c>
      <x:c r="H425" s="8" t="n">
        <x:v>793</x:v>
      </x:c>
      <x:c r="I425" s="8" t="str">
        <x:v>Follow-up: compare the result when the network security policy is relaxed versus when it is enforced.</x:v>
      </x:c>
      <x:c r="J425" s="8" t="n">
        <x:f>IF(G425="yes",1,0)</x:f>
        <x:v>1</x:v>
      </x:c>
      <x:c r="K425" s="8" t="n">
        <x:f>IF(G425="no",5,IF(E425&gt;800,3,1))</x:f>
        <x:v>1</x:v>
      </x:c>
      <x:c r="L425" s="8" t="str">
        <x:v>https://github.com/react-native-webview/react-native-webview</x:v>
      </x:c>
    </x:row>
    <x:row r="426">
      <x:c r="A426" s="8" t="str">
        <x:v>evt-00420</x:v>
      </x:c>
      <x:c r="B426" s="10" t="n">
        <x:v>46177.49998842592</x:v>
      </x:c>
      <x:c r="C426" s="8" t="str">
        <x:v>Android</x:v>
      </x:c>
      <x:c r="D426" s="8" t="str">
        <x:v>bridge message</x:v>
      </x:c>
      <x:c r="E426" s="12" t="n">
        <x:v>625</x:v>
      </x:c>
      <x:c r="F426" s="12" t="n">
        <x:v>312.9</x:v>
      </x:c>
      <x:c r="G426" s="8" t="str">
        <x:v>yes</x:v>
      </x:c>
      <x:c r="H426" s="8" t="n">
        <x:v>470</x:v>
      </x:c>
      <x:c r="I426" s="8"/>
      <x:c r="J426" s="8" t="n">
        <x:f>IF(G426="yes",1,0)</x:f>
        <x:v>1</x:v>
      </x:c>
      <x:c r="K426" s="8" t="n">
        <x:f>IF(G426="no",5,IF(E426&gt;800,3,1))</x:f>
        <x:v>1</x:v>
      </x:c>
      <x:c r="L426" s="8" t="str">
        <x:v>https://developer.apple.com/documentation/webkit/wkwebview</x:v>
      </x:c>
    </x:row>
    <x:row r="427">
      <x:c r="A427" s="8" t="str">
        <x:v>evt-00421</x:v>
      </x:c>
      <x:c r="B427" s="10" t="n">
        <x:v>46208.5</x:v>
      </x:c>
      <x:c r="C427" s="8" t="str">
        <x:v>macOS</x:v>
      </x:c>
      <x:c r="D427" s="8" t="str">
        <x:v>file upload</x:v>
      </x:c>
      <x:c r="E427" s="12" t="n">
        <x:v>1176</x:v>
      </x:c>
      <x:c r="F427" s="12" t="n">
        <x:v>481.1</x:v>
      </x:c>
      <x:c r="G427" s="8" t="str">
        <x:v>yes</x:v>
      </x:c>
      <x:c r="H427" s="8" t="n">
        <x:v>535</x:v>
      </x:c>
      <x:c r="I427" s="8" t="str">
        <x:v>Potential duplicate: this paragraph is repeated in another section to test deduplication and chunk metadata.</x:v>
      </x:c>
      <x:c r="J427" s="8" t="n">
        <x:f>IF(G427="yes",1,0)</x:f>
        <x:v>1</x:v>
      </x:c>
      <x:c r="K427" s="8" t="n">
        <x:f>IF(G427="no",5,IF(E427&gt;800,3,1))</x:f>
        <x:v>3</x:v>
      </x:c>
      <x:c r="L427" s="8"/>
    </x:row>
    <x:row r="428">
      <x:c r="A428" s="8" t="str">
        <x:v>evt-00422</x:v>
      </x:c>
      <x:c r="B428" s="10" t="n">
        <x:v>46240.54237268519</x:v>
      </x:c>
      <x:c r="C428" s="8" t="str">
        <x:v>Windows</x:v>
      </x:c>
      <x:c r="D428" s="8" t="str">
        <x:v>navigation</x:v>
      </x:c>
      <x:c r="E428" s="12" t="n">
        <x:v>1009</x:v>
      </x:c>
      <x:c r="F428" s="12" t="n">
        <x:v>909.6</x:v>
      </x:c>
      <x:c r="G428" s="8" t="str">
        <x:v>yes</x:v>
      </x:c>
      <x:c r="H428" s="8" t="n">
        <x:v>435</x:v>
      </x:c>
      <x:c r="I428" s="8"/>
      <x:c r="J428" s="8" t="n">
        <x:f>IF(G428="yes",1,0)</x:f>
        <x:v>1</x:v>
      </x:c>
      <x:c r="K428" s="8" t="n">
        <x:f>IF(G428="no",5,IF(E428&gt;800,3,1))</x:f>
        <x:v>3</x:v>
      </x:c>
      <x:c r="L428" s="8"/>
    </x:row>
    <x:row r="429">
      <x:c r="A429" s="8" t="str">
        <x:v>evt-00423</x:v>
      </x:c>
      <x:c r="B429" s="10" t="n">
        <x:v>46272.58474537037</x:v>
      </x:c>
      <x:c r="C429" s="8" t="str">
        <x:v>Linux</x:v>
      </x:c>
      <x:c r="D429" s="8" t="str">
        <x:v>reload</x:v>
      </x:c>
      <x:c r="E429" s="12" t="n">
        <x:v>762</x:v>
      </x:c>
      <x:c r="F429" s="12" t="n">
        <x:v>142.1</x:v>
      </x:c>
      <x:c r="G429" s="8" t="str">
        <x:v>yes</x:v>
      </x:c>
      <x:c r="H429" s="8" t="n">
        <x:v>300</x:v>
      </x:c>
      <x:c r="I429" s="8"/>
      <x:c r="J429" s="8" t="n">
        <x:f>IF(G429="yes",1,0)</x:f>
        <x:v>1</x:v>
      </x:c>
      <x:c r="K429" s="8" t="n">
        <x:f>IF(G429="no",5,IF(E429&gt;800,3,1))</x:f>
        <x:v>1</x:v>
      </x:c>
      <x:c r="L429" s="8" t="str">
        <x:v>https://developer.apple.com/documentation/webkit/wkwebview</x:v>
      </x:c>
    </x:row>
    <x:row r="430">
      <x:c r="A430" s="8" t="str">
        <x:v>evt-00424</x:v>
      </x:c>
      <x:c r="B430" s="10" t="n">
        <x:v>46030.627118055556</x:v>
      </x:c>
      <x:c r="C430" s="8" t="str">
        <x:v>Linux</x:v>
      </x:c>
      <x:c r="D430" s="8" t="str">
        <x:v>file upload</x:v>
      </x:c>
      <x:c r="E430" s="12" t="n">
        <x:v>490</x:v>
      </x:c>
      <x:c r="F430" s="12" t="n">
        <x:v>200.9</x:v>
      </x:c>
      <x:c r="G430" s="8" t="str">
        <x:v>yes</x:v>
      </x:c>
      <x:c r="H430" s="8" t="n">
        <x:v>476</x:v>
      </x:c>
      <x:c r="I430" s="8"/>
      <x:c r="J430" s="8" t="n">
        <x:f>IF(G430="yes",1,0)</x:f>
        <x:v>1</x:v>
      </x:c>
      <x:c r="K430" s="8" t="n">
        <x:f>IF(G430="no",5,IF(E430&gt;800,3,1))</x:f>
        <x:v>1</x:v>
      </x:c>
      <x:c r="L430" s="8" t="str">
        <x:v>https://github.com/react-native-webview/react-native-webview</x:v>
      </x:c>
    </x:row>
    <x:row r="431">
      <x:c r="A431" s="8" t="str">
        <x:v>evt-00425</x:v>
      </x:c>
      <x:c r="B431" s="10" t="n">
        <x:v>46062.669490740744</x:v>
      </x:c>
      <x:c r="C431" s="8" t="str">
        <x:v>macOS</x:v>
      </x:c>
      <x:c r="D431" s="8" t="str">
        <x:v>cold launch</x:v>
      </x:c>
      <x:c r="E431" s="12" t="n">
        <x:v>1159</x:v>
      </x:c>
      <x:c r="F431" s="12" t="n">
        <x:v>265</x:v>
      </x:c>
      <x:c r="G431" s="8" t="str">
        <x:v>yes</x:v>
      </x:c>
      <x:c r="H431" s="8" t="n">
        <x:v>383</x:v>
      </x:c>
      <x:c r="I431" s="8" t="str">
        <x:v>A blank cell here is intentional. The source workbook has notes placed away from the nearest table.</x:v>
      </x:c>
      <x:c r="J431" s="8" t="n">
        <x:f>IF(G431="yes",1,0)</x:f>
        <x:v>1</x:v>
      </x:c>
      <x:c r="K431" s="8" t="n">
        <x:f>IF(G431="no",5,IF(E431&gt;800,3,1))</x:f>
        <x:v>3</x:v>
      </x:c>
      <x:c r="L431" s="8"/>
    </x:row>
    <x:row r="432">
      <x:c r="A432" s="8" t="str">
        <x:v>evt-00426</x:v>
      </x:c>
      <x:c r="B432" s="10" t="n">
        <x:v>46091.711863425924</x:v>
      </x:c>
      <x:c r="C432" s="8" t="str">
        <x:v>Windows</x:v>
      </x:c>
      <x:c r="D432" s="8" t="str">
        <x:v>reload</x:v>
      </x:c>
      <x:c r="E432" s="12" t="n">
        <x:v>783</x:v>
      </x:c>
      <x:c r="F432" s="12" t="n">
        <x:v>136.8</x:v>
      </x:c>
      <x:c r="G432" s="8" t="str">
        <x:v>yes</x:v>
      </x:c>
      <x:c r="H432" s="8" t="n">
        <x:v>471</x:v>
      </x:c>
      <x:c r="I432" s="8"/>
      <x:c r="J432" s="8" t="n">
        <x:f>IF(G432="yes",1,0)</x:f>
        <x:v>1</x:v>
      </x:c>
      <x:c r="K432" s="8" t="n">
        <x:f>IF(G432="no",5,IF(E432&gt;800,3,1))</x:f>
        <x:v>1</x:v>
      </x:c>
      <x:c r="L432" s="8" t="str">
        <x:v>https://developer.apple.com/documentation/webkit/wkwebview</x:v>
      </x:c>
    </x:row>
    <x:row r="433">
      <x:c r="A433" s="8" t="str">
        <x:v>evt-00427</x:v>
      </x:c>
      <x:c r="B433" s="10" t="n">
        <x:v>46123.75423611111</x:v>
      </x:c>
      <x:c r="C433" s="8" t="str">
        <x:v>Windows</x:v>
      </x:c>
      <x:c r="D433" s="8" t="str">
        <x:v>cold launch</x:v>
      </x:c>
      <x:c r="E433" s="12" t="n">
        <x:v>1272</x:v>
      </x:c>
      <x:c r="F433" s="12" t="n">
        <x:v>703.8</x:v>
      </x:c>
      <x:c r="G433" s="8" t="str">
        <x:v>yes</x:v>
      </x:c>
      <x:c r="H433" s="8" t="n">
        <x:v>641</x:v>
      </x:c>
      <x:c r="I433" s="8" t="str">
        <x:v>The bridge callback is stable for small payloads, but large JSON messages show visible delay during navigation.</x:v>
      </x:c>
      <x:c r="J433" s="8" t="n">
        <x:f>IF(G433="yes",1,0)</x:f>
        <x:v>1</x:v>
      </x:c>
      <x:c r="K433" s="8" t="n">
        <x:f>IF(G433="no",5,IF(E433&gt;800,3,1))</x:f>
        <x:v>3</x:v>
      </x:c>
      <x:c r="L433" s="8" t="str">
        <x:v>https://developer.apple.com/documentation/webkit/wkwebview</x:v>
      </x:c>
    </x:row>
    <x:row r="434">
      <x:c r="A434" s="8" t="str">
        <x:v>evt-00428</x:v>
      </x:c>
      <x:c r="B434" s="10" t="n">
        <x:v>46154.7966087963</x:v>
      </x:c>
      <x:c r="C434" s="8" t="str">
        <x:v>Windows</x:v>
      </x:c>
      <x:c r="D434" s="8" t="str">
        <x:v>download</x:v>
      </x:c>
      <x:c r="E434" s="12" t="n">
        <x:v>69</x:v>
      </x:c>
      <x:c r="F434" s="12" t="n">
        <x:v>396</x:v>
      </x:c>
      <x:c r="G434" s="8" t="str">
        <x:v>yes</x:v>
      </x:c>
      <x:c r="H434" s="8" t="n">
        <x:v>552</x:v>
      </x:c>
      <x:c r="I434" s="8"/>
      <x:c r="J434" s="8" t="n">
        <x:f>IF(G434="yes",1,0)</x:f>
        <x:v>1</x:v>
      </x:c>
      <x:c r="K434" s="8" t="n">
        <x:f>IF(G434="no",5,IF(E434&gt;800,3,1))</x:f>
        <x:v>1</x:v>
      </x:c>
      <x:c r="L434" s="8" t="str">
        <x:v>https://github.com/react-native-webview/react-native-webview</x:v>
      </x:c>
    </x:row>
    <x:row r="435">
      <x:c r="A435" s="8" t="str">
        <x:v>evt-00429</x:v>
      </x:c>
      <x:c r="B435" s="10" t="n">
        <x:v>46186.83898148148</x:v>
      </x:c>
      <x:c r="C435" s="8" t="str">
        <x:v>Android</x:v>
      </x:c>
      <x:c r="D435" s="8" t="str">
        <x:v>reload</x:v>
      </x:c>
      <x:c r="E435" s="12" t="n">
        <x:v>920</x:v>
      </x:c>
      <x:c r="F435" s="12" t="n">
        <x:v>224.3</x:v>
      </x:c>
      <x:c r="G435" s="8" t="str">
        <x:v>yes</x:v>
      </x:c>
      <x:c r="H435" s="8" t="n">
        <x:v>529</x:v>
      </x:c>
      <x:c r="I435" s="8"/>
      <x:c r="J435" s="8" t="n">
        <x:f>IF(G435="yes",1,0)</x:f>
        <x:v>1</x:v>
      </x:c>
      <x:c r="K435" s="8" t="n">
        <x:f>IF(G435="no",5,IF(E435&gt;800,3,1))</x:f>
        <x:v>3</x:v>
      </x:c>
      <x:c r="L435" s="8"/>
    </x:row>
    <x:row r="436">
      <x:c r="A436" s="8" t="str">
        <x:v>evt-00430</x:v>
      </x:c>
      <x:c r="B436" s="10" t="n">
        <x:v>46217.88135416667</x:v>
      </x:c>
      <x:c r="C436" s="8" t="str">
        <x:v>macOS</x:v>
      </x:c>
      <x:c r="D436" s="8" t="str">
        <x:v>navigation</x:v>
      </x:c>
      <x:c r="E436" s="12" t="n">
        <x:v>577</x:v>
      </x:c>
      <x:c r="F436" s="12" t="n">
        <x:v>492.3</x:v>
      </x:c>
      <x:c r="G436" s="8" t="str">
        <x:v>yes</x:v>
      </x:c>
      <x:c r="H436" s="8" t="n">
        <x:v>676</x:v>
      </x:c>
      <x:c r="I436" s="8" t="str">
        <x:v>Potential duplicate: this paragraph is repeated in another section to test deduplication and chunk metadata.</x:v>
      </x:c>
      <x:c r="J436" s="8" t="n">
        <x:f>IF(G436="yes",1,0)</x:f>
        <x:v>1</x:v>
      </x:c>
      <x:c r="K436" s="8" t="n">
        <x:f>IF(G436="no",5,IF(E436&gt;800,3,1))</x:f>
        <x:v>1</x:v>
      </x:c>
      <x:c r="L436" s="8"/>
    </x:row>
    <x:row r="437">
      <x:c r="A437" s="8" t="str">
        <x:v>evt-00431</x:v>
      </x:c>
      <x:c r="B437" s="10" t="n">
        <x:v>46249.923726851855</x:v>
      </x:c>
      <x:c r="C437" s="8" t="str">
        <x:v>Android</x:v>
      </x:c>
      <x:c r="D437" s="8" t="str">
        <x:v>navigation</x:v>
      </x:c>
      <x:c r="E437" s="12" t="n">
        <x:v>680</x:v>
      </x:c>
      <x:c r="F437" s="12" t="n">
        <x:v>377.4</x:v>
      </x:c>
      <x:c r="G437" s="8" t="str">
        <x:v>no</x:v>
      </x:c>
      <x:c r="H437" s="8" t="n">
        <x:v>574</x:v>
      </x:c>
      <x:c r="I437" s="8" t="str">
        <x:v>This sentence is long enough to exercise wrapping and downstream chunk boundaries in Markdown output.</x:v>
      </x:c>
      <x:c r="J437" s="8" t="n">
        <x:f>IF(G437="yes",1,0)</x:f>
        <x:v>0</x:v>
      </x:c>
      <x:c r="K437" s="8" t="n">
        <x:f>IF(G437="no",5,IF(E437&gt;800,3,1))</x:f>
        <x:v>5</x:v>
      </x:c>
      <x:c r="L437" s="8"/>
    </x:row>
    <x:row r="438">
      <x:c r="A438" s="8" t="str">
        <x:v>evt-00432</x:v>
      </x:c>
      <x:c r="B438" s="10" t="n">
        <x:v>46281.966099537036</x:v>
      </x:c>
      <x:c r="C438" s="8" t="str">
        <x:v>Linux</x:v>
      </x:c>
      <x:c r="D438" s="8" t="str">
        <x:v>cold launch</x:v>
      </x:c>
      <x:c r="E438" s="12" t="n">
        <x:v>129</x:v>
      </x:c>
      <x:c r="F438" s="12" t="n">
        <x:v>614.6</x:v>
      </x:c>
      <x:c r="G438" s="8" t="str">
        <x:v>yes</x:v>
      </x:c>
      <x:c r="H438" s="8" t="n">
        <x:v>56</x:v>
      </x:c>
      <x:c r="I438" s="8" t="str">
        <x:v>A blank cell here is intentional. The source workbook has notes placed away from the nearest table.</x:v>
      </x:c>
      <x:c r="J438" s="8" t="n">
        <x:f>IF(G438="yes",1,0)</x:f>
        <x:v>1</x:v>
      </x:c>
      <x:c r="K438" s="8" t="n">
        <x:f>IF(G438="no",5,IF(E438&gt;800,3,1))</x:f>
        <x:v>1</x:v>
      </x:c>
      <x:c r="L438" s="8"/>
    </x:row>
    <x:row r="439">
      <x:c r="A439" s="8" t="str">
        <x:v>evt-00433</x:v>
      </x:c>
      <x:c r="B439" s="10" t="n">
        <x:v>46039.008472222224</x:v>
      </x:c>
      <x:c r="C439" s="8" t="str">
        <x:v>iOS</x:v>
      </x:c>
      <x:c r="D439" s="8" t="str">
        <x:v>reload</x:v>
      </x:c>
      <x:c r="E439" s="12" t="n">
        <x:v>1325</x:v>
      </x:c>
      <x:c r="F439" s="12" t="n">
        <x:v>236.2</x:v>
      </x:c>
      <x:c r="G439" s="8" t="str">
        <x:v>yes</x:v>
      </x:c>
      <x:c r="H439" s="8" t="n">
        <x:v>787</x:v>
      </x:c>
      <x:c r="I439" s="8" t="str">
        <x:v>Observed in a local test run: the content rendered, but the console warning appeared twice.</x:v>
      </x:c>
      <x:c r="J439" s="8" t="n">
        <x:f>IF(G439="yes",1,0)</x:f>
        <x:v>1</x:v>
      </x:c>
      <x:c r="K439" s="8" t="n">
        <x:f>IF(G439="no",5,IF(E439&gt;800,3,1))</x:f>
        <x:v>3</x:v>
      </x:c>
      <x:c r="L439" s="8"/>
    </x:row>
    <x:row r="440">
      <x:c r="A440" s="8" t="str">
        <x:v>evt-00434</x:v>
      </x:c>
      <x:c r="B440" s="10" t="n">
        <x:v>46071.050844907404</x:v>
      </x:c>
      <x:c r="C440" s="8" t="str">
        <x:v>Linux</x:v>
      </x:c>
      <x:c r="D440" s="8" t="str">
        <x:v>download</x:v>
      </x:c>
      <x:c r="E440" s="12" t="n">
        <x:v>294</x:v>
      </x:c>
      <x:c r="F440" s="12" t="n">
        <x:v>908.1</x:v>
      </x:c>
      <x:c r="G440" s="8" t="str">
        <x:v>yes</x:v>
      </x:c>
      <x:c r="H440" s="8" t="n">
        <x:v>233</x:v>
      </x:c>
      <x:c r="I440" s="8" t="str">
        <x:v>This sentence is long enough to exercise wrapping and downstream chunk boundaries in Markdown output.</x:v>
      </x:c>
      <x:c r="J440" s="8" t="n">
        <x:f>IF(G440="yes",1,0)</x:f>
        <x:v>1</x:v>
      </x:c>
      <x:c r="K440" s="8" t="n">
        <x:f>IF(G440="no",5,IF(E440&gt;800,3,1))</x:f>
        <x:v>1</x:v>
      </x:c>
      <x:c r="L440" s="8"/>
    </x:row>
    <x:row r="441">
      <x:c r="A441" s="8" t="str">
        <x:v>evt-00435</x:v>
      </x:c>
      <x:c r="B441" s="10" t="n">
        <x:v>46100.09321759259</x:v>
      </x:c>
      <x:c r="C441" s="8" t="str">
        <x:v>iOS</x:v>
      </x:c>
      <x:c r="D441" s="8" t="str">
        <x:v>file upload</x:v>
      </x:c>
      <x:c r="E441" s="12" t="n">
        <x:v>254</x:v>
      </x:c>
      <x:c r="F441" s="12" t="n">
        <x:v>769.6</x:v>
      </x:c>
      <x:c r="G441" s="8" t="str">
        <x:v>yes</x:v>
      </x:c>
      <x:c r="H441" s="8" t="n">
        <x:v>880</x:v>
      </x:c>
      <x:c r="I441" s="8" t="str">
        <x:v>Follow-up: compare the result when the network security policy is relaxed versus when it is enforced.</x:v>
      </x:c>
      <x:c r="J441" s="8" t="n">
        <x:f>IF(G441="yes",1,0)</x:f>
        <x:v>1</x:v>
      </x:c>
      <x:c r="K441" s="8" t="n">
        <x:f>IF(G441="no",5,IF(E441&gt;800,3,1))</x:f>
        <x:v>1</x:v>
      </x:c>
      <x:c r="L441" s="8"/>
    </x:row>
    <x:row r="442">
      <x:c r="A442" s="8" t="str">
        <x:v>evt-00436</x:v>
      </x:c>
      <x:c r="B442" s="10" t="n">
        <x:v>46132.13559027778</x:v>
      </x:c>
      <x:c r="C442" s="8" t="str">
        <x:v>iOS</x:v>
      </x:c>
      <x:c r="D442" s="8" t="str">
        <x:v>cold launch</x:v>
      </x:c>
      <x:c r="E442" s="12" t="n">
        <x:v>69</x:v>
      </x:c>
      <x:c r="F442" s="12" t="n">
        <x:v>789.4</x:v>
      </x:c>
      <x:c r="G442" s="8" t="str">
        <x:v>yes</x:v>
      </x:c>
      <x:c r="H442" s="8" t="n">
        <x:v>174</x:v>
      </x:c>
      <x:c r="I442" s="8" t="str">
        <x:v>Potential duplicate: this paragraph is repeated in another section to test deduplication and chunk metadata.</x:v>
      </x:c>
      <x:c r="J442" s="8" t="n">
        <x:f>IF(G442="yes",1,0)</x:f>
        <x:v>1</x:v>
      </x:c>
      <x:c r="K442" s="8" t="n">
        <x:f>IF(G442="no",5,IF(E442&gt;800,3,1))</x:f>
        <x:v>1</x:v>
      </x:c>
      <x:c r="L442" s="8" t="str">
        <x:v>https://developer.microsoft.com/en-us/microsoft-edge/webview2/</x:v>
      </x:c>
    </x:row>
    <x:row r="443">
      <x:c r="A443" s="8" t="str">
        <x:v>evt-00437</x:v>
      </x:c>
      <x:c r="B443" s="10" t="n">
        <x:v>46163.17796296296</x:v>
      </x:c>
      <x:c r="C443" s="8" t="str">
        <x:v>Linux</x:v>
      </x:c>
      <x:c r="D443" s="8" t="str">
        <x:v>reload</x:v>
      </x:c>
      <x:c r="E443" s="12" t="n">
        <x:v>1136</x:v>
      </x:c>
      <x:c r="F443" s="12" t="n">
        <x:v>646.9</x:v>
      </x:c>
      <x:c r="G443" s="8" t="str">
        <x:v>yes</x:v>
      </x:c>
      <x:c r="H443" s="8" t="n">
        <x:v>172</x:v>
      </x:c>
      <x:c r="I443" s="8" t="str">
        <x:v>The bridge callback is stable for small payloads, but large JSON messages show visible delay during navigation.</x:v>
      </x:c>
      <x:c r="J443" s="8" t="n">
        <x:f>IF(G443="yes",1,0)</x:f>
        <x:v>1</x:v>
      </x:c>
      <x:c r="K443" s="8" t="n">
        <x:f>IF(G443="no",5,IF(E443&gt;800,3,1))</x:f>
        <x:v>3</x:v>
      </x:c>
      <x:c r="L443" s="8"/>
    </x:row>
    <x:row r="444">
      <x:c r="A444" s="8" t="str">
        <x:v>evt-00438</x:v>
      </x:c>
      <x:c r="B444" s="10" t="n">
        <x:v>46195.22033564815</x:v>
      </x:c>
      <x:c r="C444" s="8" t="str">
        <x:v>Android</x:v>
      </x:c>
      <x:c r="D444" s="8" t="str">
        <x:v>large JSON</x:v>
      </x:c>
      <x:c r="E444" s="12" t="n">
        <x:v>1259</x:v>
      </x:c>
      <x:c r="F444" s="12" t="n">
        <x:v>579.3</x:v>
      </x:c>
      <x:c r="G444" s="8" t="str">
        <x:v>yes</x:v>
      </x:c>
      <x:c r="H444" s="8" t="n">
        <x:v>518</x:v>
      </x:c>
      <x:c r="I444" s="8" t="str">
        <x:v>Observed in a local test run: the content rendered, but the console warning appeared twice.</x:v>
      </x:c>
      <x:c r="J444" s="8" t="n">
        <x:f>IF(G444="yes",1,0)</x:f>
        <x:v>1</x:v>
      </x:c>
      <x:c r="K444" s="8" t="n">
        <x:f>IF(G444="no",5,IF(E444&gt;800,3,1))</x:f>
        <x:v>3</x:v>
      </x:c>
      <x:c r="L444" s="8" t="str">
        <x:v>https://learn.microsoft.com/en-us/microsoft-edge/webview2/concepts/security</x:v>
      </x:c>
    </x:row>
    <x:row r="445">
      <x:c r="A445" s="8" t="str">
        <x:v>evt-00439</x:v>
      </x:c>
      <x:c r="B445" s="10" t="n">
        <x:v>46226.262708333335</x:v>
      </x:c>
      <x:c r="C445" s="8" t="str">
        <x:v>Windows</x:v>
      </x:c>
      <x:c r="D445" s="8" t="str">
        <x:v>download</x:v>
      </x:c>
      <x:c r="E445" s="12" t="n">
        <x:v>151</x:v>
      </x:c>
      <x:c r="F445" s="12" t="n">
        <x:v>340.3</x:v>
      </x:c>
      <x:c r="G445" s="8" t="str">
        <x:v>no</x:v>
      </x:c>
      <x:c r="H445" s="8" t="n">
        <x:v>37</x:v>
      </x:c>
      <x:c r="I445" s="8"/>
      <x:c r="J445" s="8" t="n">
        <x:f>IF(G445="yes",1,0)</x:f>
        <x:v>0</x:v>
      </x:c>
      <x:c r="K445" s="8" t="n">
        <x:f>IF(G445="no",5,IF(E445&gt;800,3,1))</x:f>
        <x:v>5</x:v>
      </x:c>
      <x:c r="L445" s="8" t="str">
        <x:v>https://github.com/react-native-webview/react-native-webview</x:v>
      </x:c>
    </x:row>
    <x:row r="446">
      <x:c r="A446" s="8" t="str">
        <x:v>evt-00440</x:v>
      </x:c>
      <x:c r="B446" s="10" t="n">
        <x:v>46258.305081018516</x:v>
      </x:c>
      <x:c r="C446" s="8" t="str">
        <x:v>Linux</x:v>
      </x:c>
      <x:c r="D446" s="8" t="str">
        <x:v>reload</x:v>
      </x:c>
      <x:c r="E446" s="12" t="n">
        <x:v>1252</x:v>
      </x:c>
      <x:c r="F446" s="12" t="n">
        <x:v>588.8</x:v>
      </x:c>
      <x:c r="G446" s="8" t="str">
        <x:v>yes</x:v>
      </x:c>
      <x:c r="H446" s="8" t="n">
        <x:v>665</x:v>
      </x:c>
      <x:c r="I446" s="8"/>
      <x:c r="J446" s="8" t="n">
        <x:f>IF(G446="yes",1,0)</x:f>
        <x:v>1</x:v>
      </x:c>
      <x:c r="K446" s="8" t="n">
        <x:f>IF(G446="no",5,IF(E446&gt;800,3,1))</x:f>
        <x:v>3</x:v>
      </x:c>
      <x:c r="L446" s="8"/>
    </x:row>
    <x:row r="447">
      <x:c r="A447" s="8" t="str">
        <x:v>evt-00441</x:v>
      </x:c>
      <x:c r="B447" s="10" t="n">
        <x:v>46290.347453703704</x:v>
      </x:c>
      <x:c r="C447" s="8" t="str">
        <x:v>Windows</x:v>
      </x:c>
      <x:c r="D447" s="8" t="str">
        <x:v>download</x:v>
      </x:c>
      <x:c r="E447" s="12" t="n">
        <x:v>1322</x:v>
      </x:c>
      <x:c r="F447" s="12" t="n">
        <x:v>243.3</x:v>
      </x:c>
      <x:c r="G447" s="8" t="str">
        <x:v>yes</x:v>
      </x:c>
      <x:c r="H447" s="8" t="n">
        <x:v>739</x:v>
      </x:c>
      <x:c r="I447" s="8"/>
      <x:c r="J447" s="8" t="n">
        <x:f>IF(G447="yes",1,0)</x:f>
        <x:v>1</x:v>
      </x:c>
      <x:c r="K447" s="8" t="n">
        <x:f>IF(G447="no",5,IF(E447&gt;800,3,1))</x:f>
        <x:v>3</x:v>
      </x:c>
      <x:c r="L447" s="8"/>
    </x:row>
    <x:row r="448">
      <x:c r="A448" s="8" t="str">
        <x:v>evt-00442</x:v>
      </x:c>
      <x:c r="B448" s="10" t="n">
        <x:v>46048.38982638889</x:v>
      </x:c>
      <x:c r="C448" s="8" t="str">
        <x:v>Android</x:v>
      </x:c>
      <x:c r="D448" s="8" t="str">
        <x:v>large JSON</x:v>
      </x:c>
      <x:c r="E448" s="12" t="n">
        <x:v>1056</x:v>
      </x:c>
      <x:c r="F448" s="12" t="n">
        <x:v>214</x:v>
      </x:c>
      <x:c r="G448" s="8" t="str">
        <x:v>yes</x:v>
      </x:c>
      <x:c r="H448" s="8" t="n">
        <x:v>123</x:v>
      </x:c>
      <x:c r="I448" s="8"/>
      <x:c r="J448" s="8" t="n">
        <x:f>IF(G448="yes",1,0)</x:f>
        <x:v>1</x:v>
      </x:c>
      <x:c r="K448" s="8" t="n">
        <x:f>IF(G448="no",5,IF(E448&gt;800,3,1))</x:f>
        <x:v>3</x:v>
      </x:c>
      <x:c r="L448" s="8" t="str">
        <x:v>https://learn.microsoft.com/en-us/microsoft-edge/webview2/concepts/security</x:v>
      </x:c>
    </x:row>
    <x:row r="449">
      <x:c r="A449" s="8" t="str">
        <x:v>evt-00443</x:v>
      </x:c>
      <x:c r="B449" s="10" t="n">
        <x:v>46054.43219907407</x:v>
      </x:c>
      <x:c r="C449" s="8" t="str">
        <x:v>Windows</x:v>
      </x:c>
      <x:c r="D449" s="8" t="str">
        <x:v>cold launch</x:v>
      </x:c>
      <x:c r="E449" s="12" t="n">
        <x:v>717</x:v>
      </x:c>
      <x:c r="F449" s="12" t="n">
        <x:v>436.9</x:v>
      </x:c>
      <x:c r="G449" s="8" t="str">
        <x:v>yes</x:v>
      </x:c>
      <x:c r="H449" s="8" t="n">
        <x:v>144</x:v>
      </x:c>
      <x:c r="I449" s="8"/>
      <x:c r="J449" s="8" t="n">
        <x:f>IF(G449="yes",1,0)</x:f>
        <x:v>1</x:v>
      </x:c>
      <x:c r="K449" s="8" t="n">
        <x:f>IF(G449="no",5,IF(E449&gt;800,3,1))</x:f>
        <x:v>1</x:v>
      </x:c>
      <x:c r="L449" s="8" t="str">
        <x:v>https://developer.apple.com/documentation/webkit/wkwebview</x:v>
      </x:c>
    </x:row>
    <x:row r="450">
      <x:c r="A450" s="8" t="str">
        <x:v>evt-00444</x:v>
      </x:c>
      <x:c r="B450" s="10" t="n">
        <x:v>46083.47457175926</x:v>
      </x:c>
      <x:c r="C450" s="8" t="str">
        <x:v>iOS</x:v>
      </x:c>
      <x:c r="D450" s="8" t="str">
        <x:v>bridge message</x:v>
      </x:c>
      <x:c r="E450" s="12" t="n">
        <x:v>465</x:v>
      </x:c>
      <x:c r="F450" s="12" t="n">
        <x:v>745.7</x:v>
      </x:c>
      <x:c r="G450" s="8" t="str">
        <x:v>yes</x:v>
      </x:c>
      <x:c r="H450" s="8" t="n">
        <x:v>266</x:v>
      </x:c>
      <x:c r="I450" s="8" t="str">
        <x:v>This sentence is long enough to exercise wrapping and downstream chunk boundaries in Markdown output.</x:v>
      </x:c>
      <x:c r="J450" s="8" t="n">
        <x:f>IF(G450="yes",1,0)</x:f>
        <x:v>1</x:v>
      </x:c>
      <x:c r="K450" s="8" t="n">
        <x:f>IF(G450="no",5,IF(E450&gt;800,3,1))</x:f>
        <x:v>1</x:v>
      </x:c>
      <x:c r="L450" s="8" t="str">
        <x:v>https://developer.microsoft.com/en-us/microsoft-edge/webview2/</x:v>
      </x:c>
    </x:row>
    <x:row r="451">
      <x:c r="A451" s="8" t="str">
        <x:v>evt-00445</x:v>
      </x:c>
      <x:c r="B451" s="10" t="n">
        <x:v>46115.51694444445</x:v>
      </x:c>
      <x:c r="C451" s="8" t="str">
        <x:v>iOS</x:v>
      </x:c>
      <x:c r="D451" s="8" t="str">
        <x:v>download</x:v>
      </x:c>
      <x:c r="E451" s="12" t="n">
        <x:v>1262</x:v>
      </x:c>
      <x:c r="F451" s="12" t="n">
        <x:v>752.8</x:v>
      </x:c>
      <x:c r="G451" s="8" t="str">
        <x:v>yes</x:v>
      </x:c>
      <x:c r="H451" s="8" t="n">
        <x:v>123</x:v>
      </x:c>
      <x:c r="I451" s="8"/>
      <x:c r="J451" s="8" t="n">
        <x:f>IF(G451="yes",1,0)</x:f>
        <x:v>1</x:v>
      </x:c>
      <x:c r="K451" s="8" t="n">
        <x:f>IF(G451="no",5,IF(E451&gt;800,3,1))</x:f>
        <x:v>3</x:v>
      </x:c>
      <x:c r="L451" s="8" t="str">
        <x:v>https://developer.android.com/reference/android/webkit/WebView</x:v>
      </x:c>
    </x:row>
    <x:row r="452">
      <x:c r="A452" s="8" t="str">
        <x:v>evt-00446</x:v>
      </x:c>
      <x:c r="B452" s="10" t="n">
        <x:v>46146.55931712963</x:v>
      </x:c>
      <x:c r="C452" s="8" t="str">
        <x:v>Windows</x:v>
      </x:c>
      <x:c r="D452" s="8" t="str">
        <x:v>download</x:v>
      </x:c>
      <x:c r="E452" s="12" t="n">
        <x:v>446</x:v>
      </x:c>
      <x:c r="F452" s="12" t="n">
        <x:v>260.4</x:v>
      </x:c>
      <x:c r="G452" s="8" t="str">
        <x:v>yes</x:v>
      </x:c>
      <x:c r="H452" s="8" t="n">
        <x:v>617</x:v>
      </x:c>
      <x:c r="I452" s="8" t="str">
        <x:v>A blank cell here is intentional. The source workbook has notes placed away from the nearest table.</x:v>
      </x:c>
      <x:c r="J452" s="8" t="n">
        <x:f>IF(G452="yes",1,0)</x:f>
        <x:v>1</x:v>
      </x:c>
      <x:c r="K452" s="8" t="n">
        <x:f>IF(G452="no",5,IF(E452&gt;800,3,1))</x:f>
        <x:v>1</x:v>
      </x:c>
      <x:c r="L452" s="8"/>
    </x:row>
    <x:row r="453">
      <x:c r="A453" s="8" t="str">
        <x:v>evt-00447</x:v>
      </x:c>
      <x:c r="B453" s="10" t="n">
        <x:v>46178.601689814815</x:v>
      </x:c>
      <x:c r="C453" s="8" t="str">
        <x:v>Windows</x:v>
      </x:c>
      <x:c r="D453" s="8" t="str">
        <x:v>file upload</x:v>
      </x:c>
      <x:c r="E453" s="12" t="n">
        <x:v>818</x:v>
      </x:c>
      <x:c r="F453" s="12" t="n">
        <x:v>396.3</x:v>
      </x:c>
      <x:c r="G453" s="8" t="str">
        <x:v>no</x:v>
      </x:c>
      <x:c r="H453" s="8" t="n">
        <x:v>216</x:v>
      </x:c>
      <x:c r="I453" s="8" t="str">
        <x:v>The bridge callback is stable for small payloads, but large JSON messages show visible delay during navigation.</x:v>
      </x:c>
      <x:c r="J453" s="8" t="n">
        <x:f>IF(G453="yes",1,0)</x:f>
        <x:v>0</x:v>
      </x:c>
      <x:c r="K453" s="8" t="n">
        <x:f>IF(G453="no",5,IF(E453&gt;800,3,1))</x:f>
        <x:v>5</x:v>
      </x:c>
      <x:c r="L453" s="8"/>
    </x:row>
    <x:row r="454">
      <x:c r="A454" s="8" t="str">
        <x:v>evt-00448</x:v>
      </x:c>
      <x:c r="B454" s="10" t="n">
        <x:v>46209.6440625</x:v>
      </x:c>
      <x:c r="C454" s="8" t="str">
        <x:v>iOS</x:v>
      </x:c>
      <x:c r="D454" s="8" t="str">
        <x:v>navigation</x:v>
      </x:c>
      <x:c r="E454" s="12" t="n">
        <x:v>495</x:v>
      </x:c>
      <x:c r="F454" s="12" t="n">
        <x:v>896.7</x:v>
      </x:c>
      <x:c r="G454" s="8" t="str">
        <x:v>yes</x:v>
      </x:c>
      <x:c r="H454" s="8" t="n">
        <x:v>587</x:v>
      </x:c>
      <x:c r="I454" s="8"/>
      <x:c r="J454" s="8" t="n">
        <x:f>IF(G454="yes",1,0)</x:f>
        <x:v>1</x:v>
      </x:c>
      <x:c r="K454" s="8" t="n">
        <x:f>IF(G454="no",5,IF(E454&gt;800,3,1))</x:f>
        <x:v>1</x:v>
      </x:c>
      <x:c r="L454" s="8"/>
    </x:row>
    <x:row r="455">
      <x:c r="A455" s="8" t="str">
        <x:v>evt-00449</x:v>
      </x:c>
      <x:c r="B455" s="10" t="n">
        <x:v>46241.686435185184</x:v>
      </x:c>
      <x:c r="C455" s="8" t="str">
        <x:v>Linux</x:v>
      </x:c>
      <x:c r="D455" s="8" t="str">
        <x:v>file upload</x:v>
      </x:c>
      <x:c r="E455" s="12" t="n">
        <x:v>1046</x:v>
      </x:c>
      <x:c r="F455" s="12" t="n">
        <x:v>242.9</x:v>
      </x:c>
      <x:c r="G455" s="8" t="str">
        <x:v>yes</x:v>
      </x:c>
      <x:c r="H455" s="8" t="n">
        <x:v>513</x:v>
      </x:c>
      <x:c r="I455" s="8" t="str">
        <x:v>The owner field was not captured in the original notes, so classification should remain conservative.</x:v>
      </x:c>
      <x:c r="J455" s="8" t="n">
        <x:f>IF(G455="yes",1,0)</x:f>
        <x:v>1</x:v>
      </x:c>
      <x:c r="K455" s="8" t="n">
        <x:f>IF(G455="no",5,IF(E455&gt;800,3,1))</x:f>
        <x:v>3</x:v>
      </x:c>
      <x:c r="L455" s="8" t="str">
        <x:v>https://developer.android.com/reference/android/webkit/WebView</x:v>
      </x:c>
    </x:row>
    <x:row r="456">
      <x:c r="A456" s="8" t="str">
        <x:v>evt-00450</x:v>
      </x:c>
      <x:c r="B456" s="10" t="n">
        <x:v>46273.72880787037</x:v>
      </x:c>
      <x:c r="C456" s="8" t="str">
        <x:v>Windows</x:v>
      </x:c>
      <x:c r="D456" s="8" t="str">
        <x:v>file upload</x:v>
      </x:c>
      <x:c r="E456" s="12" t="n">
        <x:v>919</x:v>
      </x:c>
      <x:c r="F456" s="12" t="n">
        <x:v>187.9</x:v>
      </x:c>
      <x:c r="G456" s="8" t="str">
        <x:v>yes</x:v>
      </x:c>
      <x:c r="H456" s="8" t="n">
        <x:v>899</x:v>
      </x:c>
      <x:c r="I456" s="8" t="str">
        <x:v>Verify behavior on a cold start and after the page reloads without destroying the native view.</x:v>
      </x:c>
      <x:c r="J456" s="8" t="n">
        <x:f>IF(G456="yes",1,0)</x:f>
        <x:v>1</x:v>
      </x:c>
      <x:c r="K456" s="8" t="n">
        <x:f>IF(G456="no",5,IF(E456&gt;800,3,1))</x:f>
        <x:v>3</x:v>
      </x:c>
      <x:c r="L456" s="8" t="str">
        <x:v>https://github.com/react-native-webview/react-native-webview</x:v>
      </x:c>
    </x:row>
    <x:row r="457">
      <x:c r="A457" s="8" t="str">
        <x:v>evt-00451</x:v>
      </x:c>
      <x:c r="B457" s="10" t="n">
        <x:v>46031.77118055556</x:v>
      </x:c>
      <x:c r="C457" s="8" t="str">
        <x:v>Windows</x:v>
      </x:c>
      <x:c r="D457" s="8" t="str">
        <x:v>large JSON</x:v>
      </x:c>
      <x:c r="E457" s="12" t="n">
        <x:v>440</x:v>
      </x:c>
      <x:c r="F457" s="12" t="n">
        <x:v>241.7</x:v>
      </x:c>
      <x:c r="G457" s="8" t="str">
        <x:v>yes</x:v>
      </x:c>
      <x:c r="H457" s="8" t="n">
        <x:v>348</x:v>
      </x:c>
      <x:c r="I457" s="8" t="str">
        <x:v>The owner field was not captured in the original notes, so classification should remain conservative.</x:v>
      </x:c>
      <x:c r="J457" s="8" t="n">
        <x:f>IF(G457="yes",1,0)</x:f>
        <x:v>1</x:v>
      </x:c>
      <x:c r="K457" s="8" t="n">
        <x:f>IF(G457="no",5,IF(E457&gt;800,3,1))</x:f>
        <x:v>1</x:v>
      </x:c>
      <x:c r="L457" s="8"/>
    </x:row>
    <x:row r="458">
      <x:c r="A458" s="8" t="str">
        <x:v>evt-00452</x:v>
      </x:c>
      <x:c r="B458" s="10" t="n">
        <x:v>46063.81355324074</x:v>
      </x:c>
      <x:c r="C458" s="8" t="str">
        <x:v>iOS</x:v>
      </x:c>
      <x:c r="D458" s="8" t="str">
        <x:v>bridge message</x:v>
      </x:c>
      <x:c r="E458" s="12" t="n">
        <x:v>520</x:v>
      </x:c>
      <x:c r="F458" s="12" t="n">
        <x:v>399.8</x:v>
      </x:c>
      <x:c r="G458" s="8" t="str">
        <x:v>yes</x:v>
      </x:c>
      <x:c r="H458" s="8" t="n">
        <x:v>316</x:v>
      </x:c>
      <x:c r="I458" s="8"/>
      <x:c r="J458" s="8" t="n">
        <x:f>IF(G458="yes",1,0)</x:f>
        <x:v>1</x:v>
      </x:c>
      <x:c r="K458" s="8" t="n">
        <x:f>IF(G458="no",5,IF(E458&gt;800,3,1))</x:f>
        <x:v>1</x:v>
      </x:c>
      <x:c r="L458" s="8" t="str">
        <x:v>https://learn.microsoft.com/en-us/microsoft-edge/webview2/concepts/security</x:v>
      </x:c>
    </x:row>
    <x:row r="459">
      <x:c r="A459" s="8" t="str">
        <x:v>evt-00453</x:v>
      </x:c>
      <x:c r="B459" s="10" t="n">
        <x:v>46092.85592592593</x:v>
      </x:c>
      <x:c r="C459" s="8" t="str">
        <x:v>macOS</x:v>
      </x:c>
      <x:c r="D459" s="8" t="str">
        <x:v>large JSON</x:v>
      </x:c>
      <x:c r="E459" s="12" t="n">
        <x:v>413</x:v>
      </x:c>
      <x:c r="F459" s="12" t="n">
        <x:v>622.5</x:v>
      </x:c>
      <x:c r="G459" s="8" t="str">
        <x:v>yes</x:v>
      </x:c>
      <x:c r="H459" s="8" t="n">
        <x:v>85</x:v>
      </x:c>
      <x:c r="I459" s="8" t="str">
        <x:v>A blank cell here is intentional. The source workbook has notes placed away from the nearest table.</x:v>
      </x:c>
      <x:c r="J459" s="8" t="n">
        <x:f>IF(G459="yes",1,0)</x:f>
        <x:v>1</x:v>
      </x:c>
      <x:c r="K459" s="8" t="n">
        <x:f>IF(G459="no",5,IF(E459&gt;800,3,1))</x:f>
        <x:v>1</x:v>
      </x:c>
      <x:c r="L459" s="8"/>
    </x:row>
    <x:row r="460">
      <x:c r="A460" s="8" t="str">
        <x:v>evt-00454</x:v>
      </x:c>
      <x:c r="B460" s="10" t="n">
        <x:v>46124.89829861111</x:v>
      </x:c>
      <x:c r="C460" s="8" t="str">
        <x:v>Linux</x:v>
      </x:c>
      <x:c r="D460" s="8" t="str">
        <x:v>bridge message</x:v>
      </x:c>
      <x:c r="E460" s="12" t="n">
        <x:v>185</x:v>
      </x:c>
      <x:c r="F460" s="12" t="n">
        <x:v>867.7</x:v>
      </x:c>
      <x:c r="G460" s="8" t="str">
        <x:v>yes</x:v>
      </x:c>
      <x:c r="H460" s="8" t="n">
        <x:v>208</x:v>
      </x:c>
      <x:c r="I460" s="8" t="str">
        <x:v>A blank cell here is intentional. The source workbook has notes placed away from the nearest table.</x:v>
      </x:c>
      <x:c r="J460" s="8" t="n">
        <x:f>IF(G460="yes",1,0)</x:f>
        <x:v>1</x:v>
      </x:c>
      <x:c r="K460" s="8" t="n">
        <x:f>IF(G460="no",5,IF(E460&gt;800,3,1))</x:f>
        <x:v>1</x:v>
      </x:c>
      <x:c r="L460" s="8"/>
    </x:row>
    <x:row r="461">
      <x:c r="A461" s="8" t="str">
        <x:v>evt-00455</x:v>
      </x:c>
      <x:c r="B461" s="10" t="n">
        <x:v>46155.940671296295</x:v>
      </x:c>
      <x:c r="C461" s="8" t="str">
        <x:v>Linux</x:v>
      </x:c>
      <x:c r="D461" s="8" t="str">
        <x:v>download</x:v>
      </x:c>
      <x:c r="E461" s="12" t="n">
        <x:v>1069</x:v>
      </x:c>
      <x:c r="F461" s="12" t="n">
        <x:v>432.6</x:v>
      </x:c>
      <x:c r="G461" s="8" t="str">
        <x:v>yes</x:v>
      </x:c>
      <x:c r="H461" s="8" t="n">
        <x:v>668</x:v>
      </x:c>
      <x:c r="I461" s="8"/>
      <x:c r="J461" s="8" t="n">
        <x:f>IF(G461="yes",1,0)</x:f>
        <x:v>1</x:v>
      </x:c>
      <x:c r="K461" s="8" t="n">
        <x:f>IF(G461="no",5,IF(E461&gt;800,3,1))</x:f>
        <x:v>3</x:v>
      </x:c>
      <x:c r="L461" s="8"/>
    </x:row>
    <x:row r="462">
      <x:c r="A462" s="8" t="str">
        <x:v>evt-00456</x:v>
      </x:c>
      <x:c r="B462" s="10" t="n">
        <x:v>46187.98304398148</x:v>
      </x:c>
      <x:c r="C462" s="8" t="str">
        <x:v>Android</x:v>
      </x:c>
      <x:c r="D462" s="8" t="str">
        <x:v>download</x:v>
      </x:c>
      <x:c r="E462" s="12" t="n">
        <x:v>1304</x:v>
      </x:c>
      <x:c r="F462" s="12" t="n">
        <x:v>345.4</x:v>
      </x:c>
      <x:c r="G462" s="8" t="str">
        <x:v>yes</x:v>
      </x:c>
      <x:c r="H462" s="8" t="n">
        <x:v>750</x:v>
      </x:c>
      <x:c r="I462" s="8" t="str">
        <x:v>The bridge callback is stable for small payloads, but large JSON messages show visible delay during navigation.</x:v>
      </x:c>
      <x:c r="J462" s="8" t="n">
        <x:f>IF(G462="yes",1,0)</x:f>
        <x:v>1</x:v>
      </x:c>
      <x:c r="K462" s="8" t="n">
        <x:f>IF(G462="no",5,IF(E462&gt;800,3,1))</x:f>
        <x:v>3</x:v>
      </x:c>
      <x:c r="L462" s="8" t="str">
        <x:v>https://github.com/react-native-webview/react-native-webview</x:v>
      </x:c>
    </x:row>
    <x:row r="463">
      <x:c r="A463" s="8" t="str">
        <x:v>evt-00457</x:v>
      </x:c>
      <x:c r="B463" s="10" t="n">
        <x:v>46218.025416666664</x:v>
      </x:c>
      <x:c r="C463" s="8" t="str">
        <x:v>Windows</x:v>
      </x:c>
      <x:c r="D463" s="8" t="str">
        <x:v>reload</x:v>
      </x:c>
      <x:c r="E463" s="12" t="n">
        <x:v>1313</x:v>
      </x:c>
      <x:c r="F463" s="12" t="n">
        <x:v>394.7</x:v>
      </x:c>
      <x:c r="G463" s="8" t="str">
        <x:v>yes</x:v>
      </x:c>
      <x:c r="H463" s="8" t="n">
        <x:v>404</x:v>
      </x:c>
      <x:c r="I463" s="8" t="str">
        <x:v>This sentence is long enough to exercise wrapping and downstream chunk boundaries in Markdown output.</x:v>
      </x:c>
      <x:c r="J463" s="8" t="n">
        <x:f>IF(G463="yes",1,0)</x:f>
        <x:v>1</x:v>
      </x:c>
      <x:c r="K463" s="8" t="n">
        <x:f>IF(G463="no",5,IF(E463&gt;800,3,1))</x:f>
        <x:v>3</x:v>
      </x:c>
      <x:c r="L463" s="8" t="str">
        <x:v>https://developer.apple.com/documentation/webkit/wkwebview</x:v>
      </x:c>
    </x:row>
    <x:row r="464">
      <x:c r="A464" s="8" t="str">
        <x:v>evt-00458</x:v>
      </x:c>
      <x:c r="B464" s="10" t="n">
        <x:v>46250.06778935185</x:v>
      </x:c>
      <x:c r="C464" s="8" t="str">
        <x:v>iOS</x:v>
      </x:c>
      <x:c r="D464" s="8" t="str">
        <x:v>file upload</x:v>
      </x:c>
      <x:c r="E464" s="12" t="n">
        <x:v>290</x:v>
      </x:c>
      <x:c r="F464" s="12" t="n">
        <x:v>877.6</x:v>
      </x:c>
      <x:c r="G464" s="8" t="str">
        <x:v>yes</x:v>
      </x:c>
      <x:c r="H464" s="8" t="n">
        <x:v>361</x:v>
      </x:c>
      <x:c r="I464" s="8" t="str">
        <x:v>The owner field was not captured in the original notes, so classification should remain conservative.</x:v>
      </x:c>
      <x:c r="J464" s="8" t="n">
        <x:f>IF(G464="yes",1,0)</x:f>
        <x:v>1</x:v>
      </x:c>
      <x:c r="K464" s="8" t="n">
        <x:f>IF(G464="no",5,IF(E464&gt;800,3,1))</x:f>
        <x:v>1</x:v>
      </x:c>
      <x:c r="L464" s="8" t="str">
        <x:v>https://developer.apple.com/documentation/webkit/wkwebview</x:v>
      </x:c>
    </x:row>
    <x:row r="465">
      <x:c r="A465" s="8" t="str">
        <x:v>evt-00459</x:v>
      </x:c>
      <x:c r="B465" s="10" t="n">
        <x:v>46282.11016203704</x:v>
      </x:c>
      <x:c r="C465" s="8" t="str">
        <x:v>Windows</x:v>
      </x:c>
      <x:c r="D465" s="8" t="str">
        <x:v>navigation</x:v>
      </x:c>
      <x:c r="E465" s="12" t="n">
        <x:v>21</x:v>
      </x:c>
      <x:c r="F465" s="12" t="n">
        <x:v>778.4</x:v>
      </x:c>
      <x:c r="G465" s="8" t="str">
        <x:v>yes</x:v>
      </x:c>
      <x:c r="H465" s="8" t="n">
        <x:v>56</x:v>
      </x:c>
      <x:c r="I465" s="8"/>
      <x:c r="J465" s="8" t="n">
        <x:f>IF(G465="yes",1,0)</x:f>
        <x:v>1</x:v>
      </x:c>
      <x:c r="K465" s="8" t="n">
        <x:f>IF(G465="no",5,IF(E465&gt;800,3,1))</x:f>
        <x:v>1</x:v>
      </x:c>
      <x:c r="L465" s="8" t="str">
        <x:v>https://developer.apple.com/documentation/webkit/wkwebview</x:v>
      </x:c>
    </x:row>
    <x:row r="466">
      <x:c r="A466" s="8" t="str">
        <x:v>evt-00460</x:v>
      </x:c>
      <x:c r="B466" s="10" t="n">
        <x:v>46040.15253472222</x:v>
      </x:c>
      <x:c r="C466" s="8" t="str">
        <x:v>iOS</x:v>
      </x:c>
      <x:c r="D466" s="8" t="str">
        <x:v>bridge message</x:v>
      </x:c>
      <x:c r="E466" s="12" t="n">
        <x:v>801</x:v>
      </x:c>
      <x:c r="F466" s="12" t="n">
        <x:v>329.6</x:v>
      </x:c>
      <x:c r="G466" s="8" t="str">
        <x:v>yes</x:v>
      </x:c>
      <x:c r="H466" s="8" t="n">
        <x:v>574</x:v>
      </x:c>
      <x:c r="I466" s="8"/>
      <x:c r="J466" s="8" t="n">
        <x:f>IF(G466="yes",1,0)</x:f>
        <x:v>1</x:v>
      </x:c>
      <x:c r="K466" s="8" t="n">
        <x:f>IF(G466="no",5,IF(E466&gt;800,3,1))</x:f>
        <x:v>3</x:v>
      </x:c>
      <x:c r="L466" s="8"/>
    </x:row>
    <x:row r="467">
      <x:c r="A467" s="8" t="str">
        <x:v>evt-00461</x:v>
      </x:c>
      <x:c r="B467" s="10" t="n">
        <x:v>46072.19490740741</x:v>
      </x:c>
      <x:c r="C467" s="8" t="str">
        <x:v>Windows</x:v>
      </x:c>
      <x:c r="D467" s="8" t="str">
        <x:v>bridge message</x:v>
      </x:c>
      <x:c r="E467" s="12" t="n">
        <x:v>139</x:v>
      </x:c>
      <x:c r="F467" s="12" t="n">
        <x:v>595.3</x:v>
      </x:c>
      <x:c r="G467" s="8" t="str">
        <x:v>yes</x:v>
      </x:c>
      <x:c r="H467" s="8" t="n">
        <x:v>895</x:v>
      </x:c>
      <x:c r="I467" s="8" t="str">
        <x:v>Verify behavior on a cold start and after the page reloads without destroying the native view.</x:v>
      </x:c>
      <x:c r="J467" s="8" t="n">
        <x:f>IF(G467="yes",1,0)</x:f>
        <x:v>1</x:v>
      </x:c>
      <x:c r="K467" s="8" t="n">
        <x:f>IF(G467="no",5,IF(E467&gt;800,3,1))</x:f>
        <x:v>1</x:v>
      </x:c>
      <x:c r="L467" s="8"/>
    </x:row>
    <x:row r="468">
      <x:c r="A468" s="8" t="str">
        <x:v>evt-00462</x:v>
      </x:c>
      <x:c r="B468" s="10" t="n">
        <x:v>46101.237280092595</x:v>
      </x:c>
      <x:c r="C468" s="8" t="str">
        <x:v>Android</x:v>
      </x:c>
      <x:c r="D468" s="8" t="str">
        <x:v>file upload</x:v>
      </x:c>
      <x:c r="E468" s="12" t="n">
        <x:v>738</x:v>
      </x:c>
      <x:c r="F468" s="12" t="n">
        <x:v>583.7</x:v>
      </x:c>
      <x:c r="G468" s="8" t="str">
        <x:v>yes</x:v>
      </x:c>
      <x:c r="H468" s="8" t="n">
        <x:v>74</x:v>
      </x:c>
      <x:c r="I468" s="8" t="str">
        <x:v>This sentence is long enough to exercise wrapping and downstream chunk boundaries in Markdown output.</x:v>
      </x:c>
      <x:c r="J468" s="8" t="n">
        <x:f>IF(G468="yes",1,0)</x:f>
        <x:v>1</x:v>
      </x:c>
      <x:c r="K468" s="8" t="n">
        <x:f>IF(G468="no",5,IF(E468&gt;800,3,1))</x:f>
        <x:v>1</x:v>
      </x:c>
      <x:c r="L468" s="8" t="str">
        <x:v>https://github.com/react-native-webview/react-native-webview</x:v>
      </x:c>
    </x:row>
    <x:row r="469">
      <x:c r="A469" s="8" t="str">
        <x:v>evt-00463</x:v>
      </x:c>
      <x:c r="B469" s="10" t="n">
        <x:v>46133.279652777775</x:v>
      </x:c>
      <x:c r="C469" s="8" t="str">
        <x:v>macOS</x:v>
      </x:c>
      <x:c r="D469" s="8" t="str">
        <x:v>navigation</x:v>
      </x:c>
      <x:c r="E469" s="12" t="n">
        <x:v>876</x:v>
      </x:c>
      <x:c r="F469" s="12" t="n">
        <x:v>495.2</x:v>
      </x:c>
      <x:c r="G469" s="8" t="str">
        <x:v>yes</x:v>
      </x:c>
      <x:c r="H469" s="8" t="n">
        <x:v>617</x:v>
      </x:c>
      <x:c r="I469" s="8"/>
      <x:c r="J469" s="8" t="n">
        <x:f>IF(G469="yes",1,0)</x:f>
        <x:v>1</x:v>
      </x:c>
      <x:c r="K469" s="8" t="n">
        <x:f>IF(G469="no",5,IF(E469&gt;800,3,1))</x:f>
        <x:v>3</x:v>
      </x:c>
      <x:c r="L469" s="8"/>
    </x:row>
    <x:row r="470">
      <x:c r="A470" s="8" t="str">
        <x:v>evt-00464</x:v>
      </x:c>
      <x:c r="B470" s="10" t="n">
        <x:v>46164.32202546296</x:v>
      </x:c>
      <x:c r="C470" s="8" t="str">
        <x:v>macOS</x:v>
      </x:c>
      <x:c r="D470" s="8" t="str">
        <x:v>bridge message</x:v>
      </x:c>
      <x:c r="E470" s="12" t="n">
        <x:v>1447</x:v>
      </x:c>
      <x:c r="F470" s="12" t="n">
        <x:v>590</x:v>
      </x:c>
      <x:c r="G470" s="8" t="str">
        <x:v>yes</x:v>
      </x:c>
      <x:c r="H470" s="8" t="n">
        <x:v>774</x:v>
      </x:c>
      <x:c r="I470" s="8"/>
      <x:c r="J470" s="8" t="n">
        <x:f>IF(G470="yes",1,0)</x:f>
        <x:v>1</x:v>
      </x:c>
      <x:c r="K470" s="8" t="n">
        <x:f>IF(G470="no",5,IF(E470&gt;800,3,1))</x:f>
        <x:v>3</x:v>
      </x:c>
      <x:c r="L470" s="8" t="str">
        <x:v>https://github.com/react-native-webview/react-native-webview</x:v>
      </x:c>
    </x:row>
    <x:row r="471">
      <x:c r="A471" s="8" t="str">
        <x:v>evt-00465</x:v>
      </x:c>
      <x:c r="B471" s="10" t="n">
        <x:v>46196.36439814815</x:v>
      </x:c>
      <x:c r="C471" s="8" t="str">
        <x:v>Linux</x:v>
      </x:c>
      <x:c r="D471" s="8" t="str">
        <x:v>navigation</x:v>
      </x:c>
      <x:c r="E471" s="12" t="n">
        <x:v>24</x:v>
      </x:c>
      <x:c r="F471" s="12" t="n">
        <x:v>170.5</x:v>
      </x:c>
      <x:c r="G471" s="8" t="str">
        <x:v>yes</x:v>
      </x:c>
      <x:c r="H471" s="8" t="n">
        <x:v>252</x:v>
      </x:c>
      <x:c r="I471" s="8"/>
      <x:c r="J471" s="8" t="n">
        <x:f>IF(G471="yes",1,0)</x:f>
        <x:v>1</x:v>
      </x:c>
      <x:c r="K471" s="8" t="n">
        <x:f>IF(G471="no",5,IF(E471&gt;800,3,1))</x:f>
        <x:v>1</x:v>
      </x:c>
      <x:c r="L471" s="8"/>
    </x:row>
    <x:row r="472">
      <x:c r="A472" s="8" t="str">
        <x:v>evt-00466</x:v>
      </x:c>
      <x:c r="B472" s="10" t="n">
        <x:v>46227.40677083333</x:v>
      </x:c>
      <x:c r="C472" s="8" t="str">
        <x:v>iOS</x:v>
      </x:c>
      <x:c r="D472" s="8" t="str">
        <x:v>file upload</x:v>
      </x:c>
      <x:c r="E472" s="12" t="n">
        <x:v>106</x:v>
      </x:c>
      <x:c r="F472" s="12" t="n">
        <x:v>323.8</x:v>
      </x:c>
      <x:c r="G472" s="8" t="str">
        <x:v>yes</x:v>
      </x:c>
      <x:c r="H472" s="8" t="n">
        <x:v>565</x:v>
      </x:c>
      <x:c r="I472" s="8" t="str">
        <x:v>Verify behavior on a cold start and after the page reloads without destroying the native view.</x:v>
      </x:c>
      <x:c r="J472" s="8" t="n">
        <x:f>IF(G472="yes",1,0)</x:f>
        <x:v>1</x:v>
      </x:c>
      <x:c r="K472" s="8" t="n">
        <x:f>IF(G472="no",5,IF(E472&gt;800,3,1))</x:f>
        <x:v>1</x:v>
      </x:c>
      <x:c r="L472" s="8" t="str">
        <x:v>https://developer.apple.com/documentation/webkit/wkwebview</x:v>
      </x:c>
    </x:row>
    <x:row r="473">
      <x:c r="A473" s="8" t="str">
        <x:v>evt-00467</x:v>
      </x:c>
      <x:c r="B473" s="10" t="n">
        <x:v>46259.44914351852</x:v>
      </x:c>
      <x:c r="C473" s="8" t="str">
        <x:v>iOS</x:v>
      </x:c>
      <x:c r="D473" s="8" t="str">
        <x:v>bridge message</x:v>
      </x:c>
      <x:c r="E473" s="12" t="n">
        <x:v>1363</x:v>
      </x:c>
      <x:c r="F473" s="12" t="n">
        <x:v>581.2</x:v>
      </x:c>
      <x:c r="G473" s="8" t="str">
        <x:v>yes</x:v>
      </x:c>
      <x:c r="H473" s="8" t="n">
        <x:v>630</x:v>
      </x:c>
      <x:c r="I473" s="8" t="str">
        <x:v>Potential duplicate: this paragraph is repeated in another section to test deduplication and chunk metadata.</x:v>
      </x:c>
      <x:c r="J473" s="8" t="n">
        <x:f>IF(G473="yes",1,0)</x:f>
        <x:v>1</x:v>
      </x:c>
      <x:c r="K473" s="8" t="n">
        <x:f>IF(G473="no",5,IF(E473&gt;800,3,1))</x:f>
        <x:v>3</x:v>
      </x:c>
      <x:c r="L473" s="8" t="str">
        <x:v>https://developer.microsoft.com/en-us/microsoft-edge/webview2/</x:v>
      </x:c>
    </x:row>
    <x:row r="474">
      <x:c r="A474" s="8" t="str">
        <x:v>evt-00468</x:v>
      </x:c>
      <x:c r="B474" s="10" t="n">
        <x:v>46291.49151620371</x:v>
      </x:c>
      <x:c r="C474" s="8" t="str">
        <x:v>Linux</x:v>
      </x:c>
      <x:c r="D474" s="8" t="str">
        <x:v>cold launch</x:v>
      </x:c>
      <x:c r="E474" s="12" t="n">
        <x:v>179</x:v>
      </x:c>
      <x:c r="F474" s="12" t="n">
        <x:v>423.5</x:v>
      </x:c>
      <x:c r="G474" s="8" t="str">
        <x:v>yes</x:v>
      </x:c>
      <x:c r="H474" s="8" t="n">
        <x:v>847</x:v>
      </x:c>
      <x:c r="I474" s="8" t="str">
        <x:v>The owner field was not captured in the original notes, so classification should remain conservative.</x:v>
      </x:c>
      <x:c r="J474" s="8" t="n">
        <x:f>IF(G474="yes",1,0)</x:f>
        <x:v>1</x:v>
      </x:c>
      <x:c r="K474" s="8" t="n">
        <x:f>IF(G474="no",5,IF(E474&gt;800,3,1))</x:f>
        <x:v>1</x:v>
      </x:c>
      <x:c r="L474" s="8"/>
    </x:row>
    <x:row r="475">
      <x:c r="A475" s="8" t="str">
        <x:v>evt-00469</x:v>
      </x:c>
      <x:c r="B475" s="10" t="n">
        <x:v>46023.53388888889</x:v>
      </x:c>
      <x:c r="C475" s="8" t="str">
        <x:v>Android</x:v>
      </x:c>
      <x:c r="D475" s="8" t="str">
        <x:v>file upload</x:v>
      </x:c>
      <x:c r="E475" s="12" t="n">
        <x:v>625</x:v>
      </x:c>
      <x:c r="F475" s="12" t="n">
        <x:v>132.2</x:v>
      </x:c>
      <x:c r="G475" s="8" t="str">
        <x:v>yes</x:v>
      </x:c>
      <x:c r="H475" s="8" t="n">
        <x:v>494</x:v>
      </x:c>
      <x:c r="I475" s="8"/>
      <x:c r="J475" s="8" t="n">
        <x:f>IF(G475="yes",1,0)</x:f>
        <x:v>1</x:v>
      </x:c>
      <x:c r="K475" s="8" t="n">
        <x:f>IF(G475="no",5,IF(E475&gt;800,3,1))</x:f>
        <x:v>1</x:v>
      </x:c>
      <x:c r="L475" s="8" t="str">
        <x:v>https://developer.apple.com/documentation/webkit/wkwebview</x:v>
      </x:c>
    </x:row>
    <x:row r="476">
      <x:c r="A476" s="8" t="str">
        <x:v>evt-00470</x:v>
      </x:c>
      <x:c r="B476" s="10" t="n">
        <x:v>46055.576261574075</x:v>
      </x:c>
      <x:c r="C476" s="8" t="str">
        <x:v>macOS</x:v>
      </x:c>
      <x:c r="D476" s="8" t="str">
        <x:v>download</x:v>
      </x:c>
      <x:c r="E476" s="12" t="n">
        <x:v>976</x:v>
      </x:c>
      <x:c r="F476" s="12" t="n">
        <x:v>743.8</x:v>
      </x:c>
      <x:c r="G476" s="8" t="str">
        <x:v>yes</x:v>
      </x:c>
      <x:c r="H476" s="8" t="n">
        <x:v>775</x:v>
      </x:c>
      <x:c r="I476" s="8"/>
      <x:c r="J476" s="8" t="n">
        <x:f>IF(G476="yes",1,0)</x:f>
        <x:v>1</x:v>
      </x:c>
      <x:c r="K476" s="8" t="n">
        <x:f>IF(G476="no",5,IF(E476&gt;800,3,1))</x:f>
        <x:v>3</x:v>
      </x:c>
      <x:c r="L476" s="8" t="str">
        <x:v>https://developer.android.com/reference/android/webkit/WebView</x:v>
      </x:c>
    </x:row>
    <x:row r="477">
      <x:c r="A477" s="8" t="str">
        <x:v>evt-00471</x:v>
      </x:c>
      <x:c r="B477" s="10" t="n">
        <x:v>46084.61863425926</x:v>
      </x:c>
      <x:c r="C477" s="8" t="str">
        <x:v>iOS</x:v>
      </x:c>
      <x:c r="D477" s="8" t="str">
        <x:v>large JSON</x:v>
      </x:c>
      <x:c r="E477" s="12" t="n">
        <x:v>1231</x:v>
      </x:c>
      <x:c r="F477" s="12" t="n">
        <x:v>519</x:v>
      </x:c>
      <x:c r="G477" s="8" t="str">
        <x:v>yes</x:v>
      </x:c>
      <x:c r="H477" s="8" t="n">
        <x:v>752</x:v>
      </x:c>
      <x:c r="I477" s="8"/>
      <x:c r="J477" s="8" t="n">
        <x:f>IF(G477="yes",1,0)</x:f>
        <x:v>1</x:v>
      </x:c>
      <x:c r="K477" s="8" t="n">
        <x:f>IF(G477="no",5,IF(E477&gt;800,3,1))</x:f>
        <x:v>3</x:v>
      </x:c>
      <x:c r="L477" s="8" t="str">
        <x:v>https://github.com/react-native-webview/react-native-webview</x:v>
      </x:c>
    </x:row>
    <x:row r="478">
      <x:c r="A478" s="8" t="str">
        <x:v>evt-00472</x:v>
      </x:c>
      <x:c r="B478" s="10" t="n">
        <x:v>46116.66100694444</x:v>
      </x:c>
      <x:c r="C478" s="8" t="str">
        <x:v>Linux</x:v>
      </x:c>
      <x:c r="D478" s="8" t="str">
        <x:v>large JSON</x:v>
      </x:c>
      <x:c r="E478" s="12" t="n">
        <x:v>495</x:v>
      </x:c>
      <x:c r="F478" s="12" t="n">
        <x:v>847.9</x:v>
      </x:c>
      <x:c r="G478" s="8" t="str">
        <x:v>no</x:v>
      </x:c>
      <x:c r="H478" s="8" t="n">
        <x:v>194</x:v>
      </x:c>
      <x:c r="I478" s="8" t="str">
        <x:v>Potential duplicate: this paragraph is repeated in another section to test deduplication and chunk metadata.</x:v>
      </x:c>
      <x:c r="J478" s="8" t="n">
        <x:f>IF(G478="yes",1,0)</x:f>
        <x:v>0</x:v>
      </x:c>
      <x:c r="K478" s="8" t="n">
        <x:f>IF(G478="no",5,IF(E478&gt;800,3,1))</x:f>
        <x:v>5</x:v>
      </x:c>
      <x:c r="L478" s="8"/>
    </x:row>
    <x:row r="479">
      <x:c r="A479" s="8" t="str">
        <x:v>evt-00473</x:v>
      </x:c>
      <x:c r="B479" s="10" t="n">
        <x:v>46147.70337962963</x:v>
      </x:c>
      <x:c r="C479" s="8" t="str">
        <x:v>Android</x:v>
      </x:c>
      <x:c r="D479" s="8" t="str">
        <x:v>navigation</x:v>
      </x:c>
      <x:c r="E479" s="12" t="n">
        <x:v>1013</x:v>
      </x:c>
      <x:c r="F479" s="12" t="n">
        <x:v>472</x:v>
      </x:c>
      <x:c r="G479" s="8" t="str">
        <x:v>yes</x:v>
      </x:c>
      <x:c r="H479" s="8" t="n">
        <x:v>243</x:v>
      </x:c>
      <x:c r="I479" s="8" t="str">
        <x:v>Observed in a local test run: the content rendered, but the console warning appeared twice.</x:v>
      </x:c>
      <x:c r="J479" s="8" t="n">
        <x:f>IF(G479="yes",1,0)</x:f>
        <x:v>1</x:v>
      </x:c>
      <x:c r="K479" s="8" t="n">
        <x:f>IF(G479="no",5,IF(E479&gt;800,3,1))</x:f>
        <x:v>3</x:v>
      </x:c>
      <x:c r="L479" s="8"/>
    </x:row>
    <x:row r="480">
      <x:c r="A480" s="8" t="str">
        <x:v>evt-00474</x:v>
      </x:c>
      <x:c r="B480" s="10" t="n">
        <x:v>46179.74575231481</x:v>
      </x:c>
      <x:c r="C480" s="8" t="str">
        <x:v>macOS</x:v>
      </x:c>
      <x:c r="D480" s="8" t="str">
        <x:v>file upload</x:v>
      </x:c>
      <x:c r="E480" s="12" t="n">
        <x:v>108</x:v>
      </x:c>
      <x:c r="F480" s="12" t="n">
        <x:v>515.1</x:v>
      </x:c>
      <x:c r="G480" s="8" t="str">
        <x:v>yes</x:v>
      </x:c>
      <x:c r="H480" s="8" t="n">
        <x:v>77</x:v>
      </x:c>
      <x:c r="I480" s="8" t="str">
        <x:v>Follow-up: compare the result when the network security policy is relaxed versus when it is enforced.</x:v>
      </x:c>
      <x:c r="J480" s="8" t="n">
        <x:f>IF(G480="yes",1,0)</x:f>
        <x:v>1</x:v>
      </x:c>
      <x:c r="K480" s="8" t="n">
        <x:f>IF(G480="no",5,IF(E480&gt;800,3,1))</x:f>
        <x:v>1</x:v>
      </x:c>
      <x:c r="L480" s="8" t="str">
        <x:v>https://developer.apple.com/documentation/webkit/wkwebview</x:v>
      </x:c>
    </x:row>
    <x:row r="481">
      <x:c r="A481" s="8" t="str">
        <x:v>evt-00475</x:v>
      </x:c>
      <x:c r="B481" s="10" t="n">
        <x:v>46210.788125</x:v>
      </x:c>
      <x:c r="C481" s="8" t="str">
        <x:v>Android</x:v>
      </x:c>
      <x:c r="D481" s="8" t="str">
        <x:v>download</x:v>
      </x:c>
      <x:c r="E481" s="12" t="n">
        <x:v>162</x:v>
      </x:c>
      <x:c r="F481" s="12" t="n">
        <x:v>558.8</x:v>
      </x:c>
      <x:c r="G481" s="8" t="str">
        <x:v>yes</x:v>
      </x:c>
      <x:c r="H481" s="8" t="n">
        <x:v>659</x:v>
      </x:c>
      <x:c r="I481" s="8"/>
      <x:c r="J481" s="8" t="n">
        <x:f>IF(G481="yes",1,0)</x:f>
        <x:v>1</x:v>
      </x:c>
      <x:c r="K481" s="8" t="n">
        <x:f>IF(G481="no",5,IF(E481&gt;800,3,1))</x:f>
        <x:v>1</x:v>
      </x:c>
      <x:c r="L481" s="8"/>
    </x:row>
    <x:row r="482">
      <x:c r="A482" s="8" t="str">
        <x:v>evt-00476</x:v>
      </x:c>
      <x:c r="B482" s="10" t="n">
        <x:v>46242.83049768519</x:v>
      </x:c>
      <x:c r="C482" s="8" t="str">
        <x:v>Windows</x:v>
      </x:c>
      <x:c r="D482" s="8" t="str">
        <x:v>bridge message</x:v>
      </x:c>
      <x:c r="E482" s="12" t="n">
        <x:v>1050</x:v>
      </x:c>
      <x:c r="F482" s="12" t="n">
        <x:v>530.1</x:v>
      </x:c>
      <x:c r="G482" s="8" t="str">
        <x:v>yes</x:v>
      </x:c>
      <x:c r="H482" s="8" t="n">
        <x:v>569</x:v>
      </x:c>
      <x:c r="I482" s="8" t="str">
        <x:v>Follow-up: compare the result when the network security policy is relaxed versus when it is enforced.</x:v>
      </x:c>
      <x:c r="J482" s="8" t="n">
        <x:f>IF(G482="yes",1,0)</x:f>
        <x:v>1</x:v>
      </x:c>
      <x:c r="K482" s="8" t="n">
        <x:f>IF(G482="no",5,IF(E482&gt;800,3,1))</x:f>
        <x:v>3</x:v>
      </x:c>
      <x:c r="L482" s="8" t="str">
        <x:v>https://developer.apple.com/documentation/webkit/wkwebview</x:v>
      </x:c>
    </x:row>
    <x:row r="483">
      <x:c r="A483" s="8" t="str">
        <x:v>evt-00477</x:v>
      </x:c>
      <x:c r="B483" s="10" t="n">
        <x:v>46274.87287037037</x:v>
      </x:c>
      <x:c r="C483" s="8" t="str">
        <x:v>macOS</x:v>
      </x:c>
      <x:c r="D483" s="8" t="str">
        <x:v>large JSON</x:v>
      </x:c>
      <x:c r="E483" s="12" t="n">
        <x:v>888</x:v>
      </x:c>
      <x:c r="F483" s="12" t="n">
        <x:v>524.3</x:v>
      </x:c>
      <x:c r="G483" s="8" t="str">
        <x:v>yes</x:v>
      </x:c>
      <x:c r="H483" s="8" t="n">
        <x:v>662</x:v>
      </x:c>
      <x:c r="I483" s="8" t="str">
        <x:v>A blank cell here is intentional. The source workbook has notes placed away from the nearest table.</x:v>
      </x:c>
      <x:c r="J483" s="8" t="n">
        <x:f>IF(G483="yes",1,0)</x:f>
        <x:v>1</x:v>
      </x:c>
      <x:c r="K483" s="8" t="n">
        <x:f>IF(G483="no",5,IF(E483&gt;800,3,1))</x:f>
        <x:v>3</x:v>
      </x:c>
      <x:c r="L483" s="8"/>
    </x:row>
    <x:row r="484">
      <x:c r="A484" s="8" t="str">
        <x:v>evt-00478</x:v>
      </x:c>
      <x:c r="B484" s="10" t="n">
        <x:v>46032.915243055555</x:v>
      </x:c>
      <x:c r="C484" s="8" t="str">
        <x:v>Linux</x:v>
      </x:c>
      <x:c r="D484" s="8" t="str">
        <x:v>reload</x:v>
      </x:c>
      <x:c r="E484" s="12" t="n">
        <x:v>940</x:v>
      </x:c>
      <x:c r="F484" s="12" t="n">
        <x:v>139.2</x:v>
      </x:c>
      <x:c r="G484" s="8" t="str">
        <x:v>yes</x:v>
      </x:c>
      <x:c r="H484" s="8" t="n">
        <x:v>207</x:v>
      </x:c>
      <x:c r="I484" s="8"/>
      <x:c r="J484" s="8" t="n">
        <x:f>IF(G484="yes",1,0)</x:f>
        <x:v>1</x:v>
      </x:c>
      <x:c r="K484" s="8" t="n">
        <x:f>IF(G484="no",5,IF(E484&gt;800,3,1))</x:f>
        <x:v>3</x:v>
      </x:c>
      <x:c r="L484" s="8"/>
    </x:row>
    <x:row r="485">
      <x:c r="A485" s="8" t="str">
        <x:v>evt-00479</x:v>
      </x:c>
      <x:c r="B485" s="10" t="n">
        <x:v>46064.95761574074</x:v>
      </x:c>
      <x:c r="C485" s="8" t="str">
        <x:v>Windows</x:v>
      </x:c>
      <x:c r="D485" s="8" t="str">
        <x:v>large JSON</x:v>
      </x:c>
      <x:c r="E485" s="12" t="n">
        <x:v>1359</x:v>
      </x:c>
      <x:c r="F485" s="12" t="n">
        <x:v>873</x:v>
      </x:c>
      <x:c r="G485" s="8" t="str">
        <x:v>no</x:v>
      </x:c>
      <x:c r="H485" s="8" t="n">
        <x:v>648</x:v>
      </x:c>
      <x:c r="I485" s="8"/>
      <x:c r="J485" s="8" t="n">
        <x:f>IF(G485="yes",1,0)</x:f>
        <x:v>0</x:v>
      </x:c>
      <x:c r="K485" s="8" t="n">
        <x:f>IF(G485="no",5,IF(E485&gt;800,3,1))</x:f>
        <x:v>5</x:v>
      </x:c>
      <x:c r="L485" s="8" t="str">
        <x:v>https://developer.microsoft.com/en-us/microsoft-edge/webview2/</x:v>
      </x:c>
    </x:row>
    <x:row r="486">
      <x:c r="A486" s="8" t="str">
        <x:v>evt-00480</x:v>
      </x:c>
      <x:c r="B486" s="10" t="n">
        <x:v>46093.99998842592</x:v>
      </x:c>
      <x:c r="C486" s="8" t="str">
        <x:v>Android</x:v>
      </x:c>
      <x:c r="D486" s="8" t="str">
        <x:v>large JSON</x:v>
      </x:c>
      <x:c r="E486" s="12" t="n">
        <x:v>1431</x:v>
      </x:c>
      <x:c r="F486" s="12" t="n">
        <x:v>266.7</x:v>
      </x:c>
      <x:c r="G486" s="8" t="str">
        <x:v>yes</x:v>
      </x:c>
      <x:c r="H486" s="8" t="n">
        <x:v>767</x:v>
      </x:c>
      <x:c r="I486" s="8"/>
      <x:c r="J486" s="8" t="n">
        <x:f>IF(G486="yes",1,0)</x:f>
        <x:v>1</x:v>
      </x:c>
      <x:c r="K486" s="8" t="n">
        <x:f>IF(G486="no",5,IF(E486&gt;800,3,1))</x:f>
        <x:v>3</x:v>
      </x:c>
      <x:c r="L486" s="8" t="str">
        <x:v>https://learn.microsoft.com/en-us/microsoft-edge/webview2/concepts/security</x:v>
      </x:c>
    </x:row>
    <x:row r="487">
      <x:c r="A487" s="8" t="str">
        <x:v>evt-00481</x:v>
      </x:c>
      <x:c r="B487" s="10" t="n">
        <x:v>46125</x:v>
      </x:c>
      <x:c r="C487" s="8" t="str">
        <x:v>Windows</x:v>
      </x:c>
      <x:c r="D487" s="8" t="str">
        <x:v>navigation</x:v>
      </x:c>
      <x:c r="E487" s="12" t="n">
        <x:v>989</x:v>
      </x:c>
      <x:c r="F487" s="12" t="n">
        <x:v>329.2</x:v>
      </x:c>
      <x:c r="G487" s="8" t="str">
        <x:v>yes</x:v>
      </x:c>
      <x:c r="H487" s="8" t="n">
        <x:v>680</x:v>
      </x:c>
      <x:c r="I487" s="8"/>
      <x:c r="J487" s="8" t="n">
        <x:f>IF(G487="yes",1,0)</x:f>
        <x:v>1</x:v>
      </x:c>
      <x:c r="K487" s="8" t="n">
        <x:f>IF(G487="no",5,IF(E487&gt;800,3,1))</x:f>
        <x:v>3</x:v>
      </x:c>
      <x:c r="L487" s="8"/>
    </x:row>
    <x:row r="488">
      <x:c r="A488" s="8" t="str">
        <x:v>evt-00482</x:v>
      </x:c>
      <x:c r="B488" s="10" t="n">
        <x:v>46156.04237268519</x:v>
      </x:c>
      <x:c r="C488" s="8" t="str">
        <x:v>Android</x:v>
      </x:c>
      <x:c r="D488" s="8" t="str">
        <x:v>navigation</x:v>
      </x:c>
      <x:c r="E488" s="12" t="n">
        <x:v>273</x:v>
      </x:c>
      <x:c r="F488" s="12" t="n">
        <x:v>337.3</x:v>
      </x:c>
      <x:c r="G488" s="8" t="str">
        <x:v>yes</x:v>
      </x:c>
      <x:c r="H488" s="8" t="n">
        <x:v>414</x:v>
      </x:c>
      <x:c r="I488" s="8" t="str">
        <x:v>This sentence is long enough to exercise wrapping and downstream chunk boundaries in Markdown output.</x:v>
      </x:c>
      <x:c r="J488" s="8" t="n">
        <x:f>IF(G488="yes",1,0)</x:f>
        <x:v>1</x:v>
      </x:c>
      <x:c r="K488" s="8" t="n">
        <x:f>IF(G488="no",5,IF(E488&gt;800,3,1))</x:f>
        <x:v>1</x:v>
      </x:c>
      <x:c r="L488" s="8" t="str">
        <x:v>https://github.com/react-native-webview/react-native-webview</x:v>
      </x:c>
    </x:row>
    <x:row r="489">
      <x:c r="A489" s="8" t="str">
        <x:v>evt-00483</x:v>
      </x:c>
      <x:c r="B489" s="10" t="n">
        <x:v>46188.08474537037</x:v>
      </x:c>
      <x:c r="C489" s="8" t="str">
        <x:v>Android</x:v>
      </x:c>
      <x:c r="D489" s="8" t="str">
        <x:v>large JSON</x:v>
      </x:c>
      <x:c r="E489" s="12" t="n">
        <x:v>1070</x:v>
      </x:c>
      <x:c r="F489" s="12" t="n">
        <x:v>776.3</x:v>
      </x:c>
      <x:c r="G489" s="8" t="str">
        <x:v>yes</x:v>
      </x:c>
      <x:c r="H489" s="8" t="n">
        <x:v>63</x:v>
      </x:c>
      <x:c r="I489" s="8" t="str">
        <x:v>This sentence is long enough to exercise wrapping and downstream chunk boundaries in Markdown output.</x:v>
      </x:c>
      <x:c r="J489" s="8" t="n">
        <x:f>IF(G489="yes",1,0)</x:f>
        <x:v>1</x:v>
      </x:c>
      <x:c r="K489" s="8" t="n">
        <x:f>IF(G489="no",5,IF(E489&gt;800,3,1))</x:f>
        <x:v>3</x:v>
      </x:c>
      <x:c r="L489" s="8" t="str">
        <x:v>https://developer.microsoft.com/en-us/microsoft-edge/webview2/</x:v>
      </x:c>
    </x:row>
    <x:row r="490">
      <x:c r="A490" s="8" t="str">
        <x:v>evt-00484</x:v>
      </x:c>
      <x:c r="B490" s="10" t="n">
        <x:v>46219.127118055556</x:v>
      </x:c>
      <x:c r="C490" s="8" t="str">
        <x:v>macOS</x:v>
      </x:c>
      <x:c r="D490" s="8" t="str">
        <x:v>navigation</x:v>
      </x:c>
      <x:c r="E490" s="12" t="n">
        <x:v>62</x:v>
      </x:c>
      <x:c r="F490" s="12" t="n">
        <x:v>595.5</x:v>
      </x:c>
      <x:c r="G490" s="8" t="str">
        <x:v>yes</x:v>
      </x:c>
      <x:c r="H490" s="8" t="n">
        <x:v>209</x:v>
      </x:c>
      <x:c r="I490" s="8"/>
      <x:c r="J490" s="8" t="n">
        <x:f>IF(G490="yes",1,0)</x:f>
        <x:v>1</x:v>
      </x:c>
      <x:c r="K490" s="8" t="n">
        <x:f>IF(G490="no",5,IF(E490&gt;800,3,1))</x:f>
        <x:v>1</x:v>
      </x:c>
      <x:c r="L490" s="8" t="str">
        <x:v>https://developer.microsoft.com/en-us/microsoft-edge/webview2/</x:v>
      </x:c>
    </x:row>
    <x:row r="491">
      <x:c r="A491" s="8" t="str">
        <x:v>evt-00485</x:v>
      </x:c>
      <x:c r="B491" s="10" t="n">
        <x:v>46251.169490740744</x:v>
      </x:c>
      <x:c r="C491" s="8" t="str">
        <x:v>Windows</x:v>
      </x:c>
      <x:c r="D491" s="8" t="str">
        <x:v>navigation</x:v>
      </x:c>
      <x:c r="E491" s="12" t="n">
        <x:v>851</x:v>
      </x:c>
      <x:c r="F491" s="12" t="n">
        <x:v>789.4</x:v>
      </x:c>
      <x:c r="G491" s="8" t="str">
        <x:v>yes</x:v>
      </x:c>
      <x:c r="H491" s="8" t="n">
        <x:v>408</x:v>
      </x:c>
      <x:c r="I491" s="8" t="str">
        <x:v>The bridge callback is stable for small payloads, but large JSON messages show visible delay during navigation.</x:v>
      </x:c>
      <x:c r="J491" s="8" t="n">
        <x:f>IF(G491="yes",1,0)</x:f>
        <x:v>1</x:v>
      </x:c>
      <x:c r="K491" s="8" t="n">
        <x:f>IF(G491="no",5,IF(E491&gt;800,3,1))</x:f>
        <x:v>3</x:v>
      </x:c>
      <x:c r="L491" s="8" t="str">
        <x:v>https://developer.android.com/reference/android/webkit/WebView</x:v>
      </x:c>
    </x:row>
    <x:row r="492">
      <x:c r="A492" s="8" t="str">
        <x:v>evt-00486</x:v>
      </x:c>
      <x:c r="B492" s="10" t="n">
        <x:v>46283.211863425924</x:v>
      </x:c>
      <x:c r="C492" s="8" t="str">
        <x:v>macOS</x:v>
      </x:c>
      <x:c r="D492" s="8" t="str">
        <x:v>large JSON</x:v>
      </x:c>
      <x:c r="E492" s="12" t="n">
        <x:v>570</x:v>
      </x:c>
      <x:c r="F492" s="12" t="n">
        <x:v>895.4</x:v>
      </x:c>
      <x:c r="G492" s="8" t="str">
        <x:v>yes</x:v>
      </x:c>
      <x:c r="H492" s="8" t="n">
        <x:v>55</x:v>
      </x:c>
      <x:c r="I492" s="8"/>
      <x:c r="J492" s="8" t="n">
        <x:f>IF(G492="yes",1,0)</x:f>
        <x:v>1</x:v>
      </x:c>
      <x:c r="K492" s="8" t="n">
        <x:f>IF(G492="no",5,IF(E492&gt;800,3,1))</x:f>
        <x:v>1</x:v>
      </x:c>
      <x:c r="L492" s="8"/>
    </x:row>
    <x:row r="493">
      <x:c r="A493" s="8" t="str">
        <x:v>evt-00487</x:v>
      </x:c>
      <x:c r="B493" s="10" t="n">
        <x:v>46041.25423611111</x:v>
      </x:c>
      <x:c r="C493" s="8" t="str">
        <x:v>iOS</x:v>
      </x:c>
      <x:c r="D493" s="8" t="str">
        <x:v>file upload</x:v>
      </x:c>
      <x:c r="E493" s="12" t="n">
        <x:v>677</x:v>
      </x:c>
      <x:c r="F493" s="12" t="n">
        <x:v>515.1</x:v>
      </x:c>
      <x:c r="G493" s="8" t="str">
        <x:v>yes</x:v>
      </x:c>
      <x:c r="H493" s="8" t="n">
        <x:v>870</x:v>
      </x:c>
      <x:c r="I493" s="8"/>
      <x:c r="J493" s="8" t="n">
        <x:f>IF(G493="yes",1,0)</x:f>
        <x:v>1</x:v>
      </x:c>
      <x:c r="K493" s="8" t="n">
        <x:f>IF(G493="no",5,IF(E493&gt;800,3,1))</x:f>
        <x:v>1</x:v>
      </x:c>
      <x:c r="L493" s="8"/>
    </x:row>
    <x:row r="494">
      <x:c r="A494" s="8" t="str">
        <x:v>evt-00488</x:v>
      </x:c>
      <x:c r="B494" s="10" t="n">
        <x:v>46073.2966087963</x:v>
      </x:c>
      <x:c r="C494" s="8" t="str">
        <x:v>Windows</x:v>
      </x:c>
      <x:c r="D494" s="8" t="str">
        <x:v>download</x:v>
      </x:c>
      <x:c r="E494" s="12" t="n">
        <x:v>385</x:v>
      </x:c>
      <x:c r="F494" s="12" t="n">
        <x:v>477.5</x:v>
      </x:c>
      <x:c r="G494" s="8" t="str">
        <x:v>yes</x:v>
      </x:c>
      <x:c r="H494" s="8" t="n">
        <x:v>350</x:v>
      </x:c>
      <x:c r="I494" s="8" t="str">
        <x:v>The owner field was not captured in the original notes, so classification should remain conservative.</x:v>
      </x:c>
      <x:c r="J494" s="8" t="n">
        <x:f>IF(G494="yes",1,0)</x:f>
        <x:v>1</x:v>
      </x:c>
      <x:c r="K494" s="8" t="n">
        <x:f>IF(G494="no",5,IF(E494&gt;800,3,1))</x:f>
        <x:v>1</x:v>
      </x:c>
      <x:c r="L494" s="8"/>
    </x:row>
    <x:row r="495">
      <x:c r="A495" s="8" t="str">
        <x:v>evt-00489</x:v>
      </x:c>
      <x:c r="B495" s="10" t="n">
        <x:v>46102.33898148148</x:v>
      </x:c>
      <x:c r="C495" s="8" t="str">
        <x:v>Linux</x:v>
      </x:c>
      <x:c r="D495" s="8" t="str">
        <x:v>download</x:v>
      </x:c>
      <x:c r="E495" s="12" t="n">
        <x:v>1057</x:v>
      </x:c>
      <x:c r="F495" s="12" t="n">
        <x:v>863.1</x:v>
      </x:c>
      <x:c r="G495" s="8" t="str">
        <x:v>yes</x:v>
      </x:c>
      <x:c r="H495" s="8" t="n">
        <x:v>601</x:v>
      </x:c>
      <x:c r="I495" s="8"/>
      <x:c r="J495" s="8" t="n">
        <x:f>IF(G495="yes",1,0)</x:f>
        <x:v>1</x:v>
      </x:c>
      <x:c r="K495" s="8" t="n">
        <x:f>IF(G495="no",5,IF(E495&gt;800,3,1))</x:f>
        <x:v>3</x:v>
      </x:c>
      <x:c r="L495" s="8" t="str">
        <x:v>https://github.com/react-native-webview/react-native-webview</x:v>
      </x:c>
    </x:row>
    <x:row r="496">
      <x:c r="A496" s="8" t="str">
        <x:v>evt-00490</x:v>
      </x:c>
      <x:c r="B496" s="10" t="n">
        <x:v>46134.38135416667</x:v>
      </x:c>
      <x:c r="C496" s="8" t="str">
        <x:v>macOS</x:v>
      </x:c>
      <x:c r="D496" s="8" t="str">
        <x:v>reload</x:v>
      </x:c>
      <x:c r="E496" s="12" t="n">
        <x:v>772</x:v>
      </x:c>
      <x:c r="F496" s="12" t="n">
        <x:v>165.4</x:v>
      </x:c>
      <x:c r="G496" s="8" t="str">
        <x:v>yes</x:v>
      </x:c>
      <x:c r="H496" s="8" t="n">
        <x:v>240</x:v>
      </x:c>
      <x:c r="I496" s="8"/>
      <x:c r="J496" s="8" t="n">
        <x:f>IF(G496="yes",1,0)</x:f>
        <x:v>1</x:v>
      </x:c>
      <x:c r="K496" s="8" t="n">
        <x:f>IF(G496="no",5,IF(E496&gt;800,3,1))</x:f>
        <x:v>1</x:v>
      </x:c>
      <x:c r="L496" s="8"/>
    </x:row>
    <x:row r="497">
      <x:c r="A497" s="8" t="str">
        <x:v>evt-00491</x:v>
      </x:c>
      <x:c r="B497" s="10" t="n">
        <x:v>46165.423726851855</x:v>
      </x:c>
      <x:c r="C497" s="8" t="str">
        <x:v>macOS</x:v>
      </x:c>
      <x:c r="D497" s="8" t="str">
        <x:v>bridge message</x:v>
      </x:c>
      <x:c r="E497" s="12" t="n">
        <x:v>449</x:v>
      </x:c>
      <x:c r="F497" s="12" t="n">
        <x:v>836.8</x:v>
      </x:c>
      <x:c r="G497" s="8" t="str">
        <x:v>yes</x:v>
      </x:c>
      <x:c r="H497" s="8" t="n">
        <x:v>539</x:v>
      </x:c>
      <x:c r="I497" s="8"/>
      <x:c r="J497" s="8" t="n">
        <x:f>IF(G497="yes",1,0)</x:f>
        <x:v>1</x:v>
      </x:c>
      <x:c r="K497" s="8" t="n">
        <x:f>IF(G497="no",5,IF(E497&gt;800,3,1))</x:f>
        <x:v>1</x:v>
      </x:c>
      <x:c r="L497" s="8" t="str">
        <x:v>https://developer.microsoft.com/en-us/microsoft-edge/webview2/</x:v>
      </x:c>
    </x:row>
    <x:row r="498">
      <x:c r="A498" s="8" t="str">
        <x:v>evt-00492</x:v>
      </x:c>
      <x:c r="B498" s="10" t="n">
        <x:v>46197.466099537036</x:v>
      </x:c>
      <x:c r="C498" s="8" t="str">
        <x:v>macOS</x:v>
      </x:c>
      <x:c r="D498" s="8" t="str">
        <x:v>bridge message</x:v>
      </x:c>
      <x:c r="E498" s="12" t="n">
        <x:v>1030</x:v>
      </x:c>
      <x:c r="F498" s="12" t="n">
        <x:v>142.4</x:v>
      </x:c>
      <x:c r="G498" s="8" t="str">
        <x:v>yes</x:v>
      </x:c>
      <x:c r="H498" s="8" t="n">
        <x:v>801</x:v>
      </x:c>
      <x:c r="I498" s="8"/>
      <x:c r="J498" s="8" t="n">
        <x:f>IF(G498="yes",1,0)</x:f>
        <x:v>1</x:v>
      </x:c>
      <x:c r="K498" s="8" t="n">
        <x:f>IF(G498="no",5,IF(E498&gt;800,3,1))</x:f>
        <x:v>3</x:v>
      </x:c>
      <x:c r="L498" s="8" t="str">
        <x:v>https://developer.android.com/reference/android/webkit/WebView</x:v>
      </x:c>
    </x:row>
    <x:row r="499">
      <x:c r="A499" s="8" t="str">
        <x:v>evt-00493</x:v>
      </x:c>
      <x:c r="B499" s="10" t="n">
        <x:v>46228.508472222224</x:v>
      </x:c>
      <x:c r="C499" s="8" t="str">
        <x:v>Windows</x:v>
      </x:c>
      <x:c r="D499" s="8" t="str">
        <x:v>download</x:v>
      </x:c>
      <x:c r="E499" s="12" t="n">
        <x:v>158</x:v>
      </x:c>
      <x:c r="F499" s="12" t="n">
        <x:v>507.7</x:v>
      </x:c>
      <x:c r="G499" s="8" t="str">
        <x:v>no</x:v>
      </x:c>
      <x:c r="H499" s="8" t="n">
        <x:v>890</x:v>
      </x:c>
      <x:c r="I499" s="8"/>
      <x:c r="J499" s="8" t="n">
        <x:f>IF(G499="yes",1,0)</x:f>
        <x:v>0</x:v>
      </x:c>
      <x:c r="K499" s="8" t="n">
        <x:f>IF(G499="no",5,IF(E499&gt;800,3,1))</x:f>
        <x:v>5</x:v>
      </x:c>
      <x:c r="L499" s="8"/>
    </x:row>
    <x:row r="500">
      <x:c r="A500" s="8" t="str">
        <x:v>evt-00494</x:v>
      </x:c>
      <x:c r="B500" s="10" t="n">
        <x:v>46260.550844907404</x:v>
      </x:c>
      <x:c r="C500" s="8" t="str">
        <x:v>Android</x:v>
      </x:c>
      <x:c r="D500" s="8" t="str">
        <x:v>large JSON</x:v>
      </x:c>
      <x:c r="E500" s="12" t="n">
        <x:v>897</x:v>
      </x:c>
      <x:c r="F500" s="12" t="n">
        <x:v>293.2</x:v>
      </x:c>
      <x:c r="G500" s="8" t="str">
        <x:v>yes</x:v>
      </x:c>
      <x:c r="H500" s="8" t="n">
        <x:v>34</x:v>
      </x:c>
      <x:c r="I500" s="8" t="str">
        <x:v>A blank cell here is intentional. The source workbook has notes placed away from the nearest table.</x:v>
      </x:c>
      <x:c r="J500" s="8" t="n">
        <x:f>IF(G500="yes",1,0)</x:f>
        <x:v>1</x:v>
      </x:c>
      <x:c r="K500" s="8" t="n">
        <x:f>IF(G500="no",5,IF(E500&gt;800,3,1))</x:f>
        <x:v>3</x:v>
      </x:c>
      <x:c r="L500" s="8"/>
    </x:row>
    <x:row r="501">
      <x:c r="A501" s="8" t="str">
        <x:v>evt-00495</x:v>
      </x:c>
      <x:c r="B501" s="10" t="n">
        <x:v>46266.59321759259</x:v>
      </x:c>
      <x:c r="C501" s="8" t="str">
        <x:v>iOS</x:v>
      </x:c>
      <x:c r="D501" s="8" t="str">
        <x:v>cold launch</x:v>
      </x:c>
      <x:c r="E501" s="12" t="n">
        <x:v>1404</x:v>
      </x:c>
      <x:c r="F501" s="12" t="n">
        <x:v>434.5</x:v>
      </x:c>
      <x:c r="G501" s="8" t="str">
        <x:v>yes</x:v>
      </x:c>
      <x:c r="H501" s="8" t="n">
        <x:v>152</x:v>
      </x:c>
      <x:c r="I501" s="8"/>
      <x:c r="J501" s="8" t="n">
        <x:f>IF(G501="yes",1,0)</x:f>
        <x:v>1</x:v>
      </x:c>
      <x:c r="K501" s="8" t="n">
        <x:f>IF(G501="no",5,IF(E501&gt;800,3,1))</x:f>
        <x:v>3</x:v>
      </x:c>
      <x:c r="L501" s="8" t="str">
        <x:v>https://developer.microsoft.com/en-us/microsoft-edge/webview2/</x:v>
      </x:c>
    </x:row>
    <x:row r="502">
      <x:c r="A502" s="8" t="str">
        <x:v>evt-00496</x:v>
      </x:c>
      <x:c r="B502" s="10" t="n">
        <x:v>46024.63559027778</x:v>
      </x:c>
      <x:c r="C502" s="8" t="str">
        <x:v>iOS</x:v>
      </x:c>
      <x:c r="D502" s="8" t="str">
        <x:v>reload</x:v>
      </x:c>
      <x:c r="E502" s="12" t="n">
        <x:v>357</x:v>
      </x:c>
      <x:c r="F502" s="12" t="n">
        <x:v>774.1</x:v>
      </x:c>
      <x:c r="G502" s="8" t="str">
        <x:v>yes</x:v>
      </x:c>
      <x:c r="H502" s="8" t="n">
        <x:v>237</x:v>
      </x:c>
      <x:c r="I502" s="8" t="str">
        <x:v>Follow-up: compare the result when the network security policy is relaxed versus when it is enforced.</x:v>
      </x:c>
      <x:c r="J502" s="8" t="n">
        <x:f>IF(G502="yes",1,0)</x:f>
        <x:v>1</x:v>
      </x:c>
      <x:c r="K502" s="8" t="n">
        <x:f>IF(G502="no",5,IF(E502&gt;800,3,1))</x:f>
        <x:v>1</x:v>
      </x:c>
      <x:c r="L502" s="8" t="str">
        <x:v>https://github.com/react-native-webview/react-native-webview</x:v>
      </x:c>
    </x:row>
    <x:row r="503">
      <x:c r="A503" s="8" t="str">
        <x:v>evt-00497</x:v>
      </x:c>
      <x:c r="B503" s="10" t="n">
        <x:v>46056.67796296296</x:v>
      </x:c>
      <x:c r="C503" s="8" t="str">
        <x:v>Windows</x:v>
      </x:c>
      <x:c r="D503" s="8" t="str">
        <x:v>download</x:v>
      </x:c>
      <x:c r="E503" s="12" t="n">
        <x:v>1199</x:v>
      </x:c>
      <x:c r="F503" s="12" t="n">
        <x:v>916.9</x:v>
      </x:c>
      <x:c r="G503" s="8" t="str">
        <x:v>yes</x:v>
      </x:c>
      <x:c r="H503" s="8" t="n">
        <x:v>438</x:v>
      </x:c>
      <x:c r="I503" s="8"/>
      <x:c r="J503" s="8" t="n">
        <x:f>IF(G503="yes",1,0)</x:f>
        <x:v>1</x:v>
      </x:c>
      <x:c r="K503" s="8" t="n">
        <x:f>IF(G503="no",5,IF(E503&gt;800,3,1))</x:f>
        <x:v>3</x:v>
      </x:c>
      <x:c r="L503" s="8"/>
    </x:row>
    <x:row r="504">
      <x:c r="A504" s="8" t="str">
        <x:v>evt-00498</x:v>
      </x:c>
      <x:c r="B504" s="10" t="n">
        <x:v>46085.72033564815</x:v>
      </x:c>
      <x:c r="C504" s="8" t="str">
        <x:v>Linux</x:v>
      </x:c>
      <x:c r="D504" s="8" t="str">
        <x:v>large JSON</x:v>
      </x:c>
      <x:c r="E504" s="12" t="n">
        <x:v>681</x:v>
      </x:c>
      <x:c r="F504" s="12" t="n">
        <x:v>703.6</x:v>
      </x:c>
      <x:c r="G504" s="8" t="str">
        <x:v>yes</x:v>
      </x:c>
      <x:c r="H504" s="8" t="n">
        <x:v>225</x:v>
      </x:c>
      <x:c r="I504" s="8"/>
      <x:c r="J504" s="8" t="n">
        <x:f>IF(G504="yes",1,0)</x:f>
        <x:v>1</x:v>
      </x:c>
      <x:c r="K504" s="8" t="n">
        <x:f>IF(G504="no",5,IF(E504&gt;800,3,1))</x:f>
        <x:v>1</x:v>
      </x:c>
      <x:c r="L504" s="8" t="str">
        <x:v>https://developer.android.com/reference/android/webkit/WebView</x:v>
      </x:c>
    </x:row>
    <x:row r="505">
      <x:c r="A505" s="8" t="str">
        <x:v>evt-00499</x:v>
      </x:c>
      <x:c r="B505" s="10" t="n">
        <x:v>46117.762708333335</x:v>
      </x:c>
      <x:c r="C505" s="8" t="str">
        <x:v>Windows</x:v>
      </x:c>
      <x:c r="D505" s="8" t="str">
        <x:v>navigation</x:v>
      </x:c>
      <x:c r="E505" s="12" t="n">
        <x:v>676</x:v>
      </x:c>
      <x:c r="F505" s="12" t="n">
        <x:v>802.6</x:v>
      </x:c>
      <x:c r="G505" s="8" t="str">
        <x:v>no</x:v>
      </x:c>
      <x:c r="H505" s="8" t="n">
        <x:v>435</x:v>
      </x:c>
      <x:c r="I505" s="8" t="str">
        <x:v>Follow-up: compare the result when the network security policy is relaxed versus when it is enforced.</x:v>
      </x:c>
      <x:c r="J505" s="8" t="n">
        <x:f>IF(G505="yes",1,0)</x:f>
        <x:v>0</x:v>
      </x:c>
      <x:c r="K505" s="8" t="n">
        <x:f>IF(G505="no",5,IF(E505&gt;800,3,1))</x:f>
        <x:v>5</x:v>
      </x:c>
      <x:c r="L505" s="8"/>
    </x:row>
    <x:row r="506">
      <x:c r="A506" s="8" t="str">
        <x:v>evt-00500</x:v>
      </x:c>
      <x:c r="B506" s="10" t="n">
        <x:v>46148.805081018516</x:v>
      </x:c>
      <x:c r="C506" s="8" t="str">
        <x:v>macOS</x:v>
      </x:c>
      <x:c r="D506" s="8" t="str">
        <x:v>reload</x:v>
      </x:c>
      <x:c r="E506" s="12" t="n">
        <x:v>566</x:v>
      </x:c>
      <x:c r="F506" s="12" t="n">
        <x:v>492.4</x:v>
      </x:c>
      <x:c r="G506" s="8" t="str">
        <x:v>yes</x:v>
      </x:c>
      <x:c r="H506" s="8" t="n">
        <x:v>333</x:v>
      </x:c>
      <x:c r="I506" s="8"/>
      <x:c r="J506" s="8" t="n">
        <x:f>IF(G506="yes",1,0)</x:f>
        <x:v>1</x:v>
      </x:c>
      <x:c r="K506" s="8" t="n">
        <x:f>IF(G506="no",5,IF(E506&gt;800,3,1))</x:f>
        <x:v>1</x:v>
      </x:c>
      <x:c r="L506" s="8"/>
    </x:row>
    <x:row r="507">
      <x:c r="A507" s="8"/>
      <x:c r="B507" s="10"/>
      <x:c r="C507" s="8"/>
      <x:c r="D507" s="8"/>
      <x:c r="E507" s="12"/>
      <x:c r="F507" s="12"/>
      <x:c r="G507" s="8"/>
      <x:c r="H507" s="8"/>
      <x:c r="I507" s="8"/>
      <x:c r="J507" s="8" t="n">
        <x:f>IF(G507="yes",1,0)</x:f>
        <x:v>0</x:v>
      </x:c>
      <x:c r="K507" s="8" t="n">
        <x:f>IF(G507="no",5,IF(E507&gt;800,3,1))</x:f>
        <x:v>1</x:v>
      </x:c>
      <x:c r="L507" s="8"/>
    </x:row>
    <x:row r="508">
      <x:c r="A508" s="8" t="str">
        <x:v>evt-00501</x:v>
      </x:c>
      <x:c r="B508" s="10" t="n">
        <x:v>46180.847453703704</x:v>
      </x:c>
      <x:c r="C508" s="8" t="str">
        <x:v>Windows</x:v>
      </x:c>
      <x:c r="D508" s="8" t="str">
        <x:v>bridge message</x:v>
      </x:c>
      <x:c r="E508" s="12" t="n">
        <x:v>561</x:v>
      </x:c>
      <x:c r="F508" s="12" t="n">
        <x:v>356.3</x:v>
      </x:c>
      <x:c r="G508" s="8" t="str">
        <x:v>no</x:v>
      </x:c>
      <x:c r="H508" s="8" t="n">
        <x:v>155</x:v>
      </x:c>
      <x:c r="I508" s="8"/>
      <x:c r="J508" s="8" t="n">
        <x:f>IF(G508="yes",1,0)</x:f>
        <x:v>0</x:v>
      </x:c>
      <x:c r="K508" s="8" t="n">
        <x:f>IF(G508="no",5,IF(E508&gt;800,3,1))</x:f>
        <x:v>5</x:v>
      </x:c>
      <x:c r="L508" s="8"/>
    </x:row>
    <x:row r="509">
      <x:c r="A509" s="8" t="str">
        <x:v>evt-00502</x:v>
      </x:c>
      <x:c r="B509" s="10" t="n">
        <x:v>46211.88982638889</x:v>
      </x:c>
      <x:c r="C509" s="8" t="str">
        <x:v>macOS</x:v>
      </x:c>
      <x:c r="D509" s="8" t="str">
        <x:v>bridge message</x:v>
      </x:c>
      <x:c r="E509" s="12" t="n">
        <x:v>261</x:v>
      </x:c>
      <x:c r="F509" s="12" t="n">
        <x:v>448.8</x:v>
      </x:c>
      <x:c r="G509" s="8" t="str">
        <x:v>yes</x:v>
      </x:c>
      <x:c r="H509" s="8" t="n">
        <x:v>387</x:v>
      </x:c>
      <x:c r="I509" s="8" t="str">
        <x:v>Verify behavior on a cold start and after the page reloads without destroying the native view.</x:v>
      </x:c>
      <x:c r="J509" s="8" t="n">
        <x:f>IF(G509="yes",1,0)</x:f>
        <x:v>1</x:v>
      </x:c>
      <x:c r="K509" s="8" t="n">
        <x:f>IF(G509="no",5,IF(E509&gt;800,3,1))</x:f>
        <x:v>1</x:v>
      </x:c>
      <x:c r="L509" s="8"/>
    </x:row>
    <x:row r="510">
      <x:c r="A510" s="8" t="str">
        <x:v>evt-00503</x:v>
      </x:c>
      <x:c r="B510" s="10" t="n">
        <x:v>46243.93219907407</x:v>
      </x:c>
      <x:c r="C510" s="8" t="str">
        <x:v>iOS</x:v>
      </x:c>
      <x:c r="D510" s="8" t="str">
        <x:v>file upload</x:v>
      </x:c>
      <x:c r="E510" s="12" t="n">
        <x:v>1380</x:v>
      </x:c>
      <x:c r="F510" s="12" t="n">
        <x:v>644.2</x:v>
      </x:c>
      <x:c r="G510" s="8" t="str">
        <x:v>yes</x:v>
      </x:c>
      <x:c r="H510" s="8" t="n">
        <x:v>250</x:v>
      </x:c>
      <x:c r="I510" s="8"/>
      <x:c r="J510" s="8" t="n">
        <x:f>IF(G510="yes",1,0)</x:f>
        <x:v>1</x:v>
      </x:c>
      <x:c r="K510" s="8" t="n">
        <x:f>IF(G510="no",5,IF(E510&gt;800,3,1))</x:f>
        <x:v>3</x:v>
      </x:c>
      <x:c r="L510" s="8"/>
    </x:row>
    <x:row r="511">
      <x:c r="A511" s="8" t="str">
        <x:v>evt-00504</x:v>
      </x:c>
      <x:c r="B511" s="10" t="n">
        <x:v>46275.97457175926</x:v>
      </x:c>
      <x:c r="C511" s="8" t="str">
        <x:v>iOS</x:v>
      </x:c>
      <x:c r="D511" s="8" t="str">
        <x:v>file upload</x:v>
      </x:c>
      <x:c r="E511" s="12" t="n">
        <x:v>986</x:v>
      </x:c>
      <x:c r="F511" s="12" t="n">
        <x:v>508.1</x:v>
      </x:c>
      <x:c r="G511" s="8" t="str">
        <x:v>yes</x:v>
      </x:c>
      <x:c r="H511" s="8" t="n">
        <x:v>379</x:v>
      </x:c>
      <x:c r="I511" s="8" t="str">
        <x:v>Potential duplicate: this paragraph is repeated in another section to test deduplication and chunk metadata.</x:v>
      </x:c>
      <x:c r="J511" s="8" t="n">
        <x:f>IF(G511="yes",1,0)</x:f>
        <x:v>1</x:v>
      </x:c>
      <x:c r="K511" s="8" t="n">
        <x:f>IF(G511="no",5,IF(E511&gt;800,3,1))</x:f>
        <x:v>3</x:v>
      </x:c>
      <x:c r="L511" s="8"/>
    </x:row>
    <x:row r="512">
      <x:c r="A512" s="8" t="str">
        <x:v>evt-00505</x:v>
      </x:c>
      <x:c r="B512" s="10" t="n">
        <x:v>46033.01694444445</x:v>
      </x:c>
      <x:c r="C512" s="8" t="str">
        <x:v>Windows</x:v>
      </x:c>
      <x:c r="D512" s="8" t="str">
        <x:v>cold launch</x:v>
      </x:c>
      <x:c r="E512" s="12" t="n">
        <x:v>1083</x:v>
      </x:c>
      <x:c r="F512" s="12" t="n">
        <x:v>850.1</x:v>
      </x:c>
      <x:c r="G512" s="8" t="str">
        <x:v>yes</x:v>
      </x:c>
      <x:c r="H512" s="8" t="n">
        <x:v>112</x:v>
      </x:c>
      <x:c r="I512" s="8"/>
      <x:c r="J512" s="8" t="n">
        <x:f>IF(G512="yes",1,0)</x:f>
        <x:v>1</x:v>
      </x:c>
      <x:c r="K512" s="8" t="n">
        <x:f>IF(G512="no",5,IF(E512&gt;800,3,1))</x:f>
        <x:v>3</x:v>
      </x:c>
      <x:c r="L512" s="8"/>
    </x:row>
    <x:row r="513">
      <x:c r="A513" s="8" t="str">
        <x:v>evt-00506</x:v>
      </x:c>
      <x:c r="B513" s="10" t="n">
        <x:v>46065.05931712963</x:v>
      </x:c>
      <x:c r="C513" s="8" t="str">
        <x:v>macOS</x:v>
      </x:c>
      <x:c r="D513" s="8" t="str">
        <x:v>bridge message</x:v>
      </x:c>
      <x:c r="E513" s="12" t="n">
        <x:v>258</x:v>
      </x:c>
      <x:c r="F513" s="12" t="n">
        <x:v>345.9</x:v>
      </x:c>
      <x:c r="G513" s="8" t="str">
        <x:v>yes</x:v>
      </x:c>
      <x:c r="H513" s="8" t="n">
        <x:v>796</x:v>
      </x:c>
      <x:c r="I513" s="8" t="str">
        <x:v>The owner field was not captured in the original notes, so classification should remain conservative.</x:v>
      </x:c>
      <x:c r="J513" s="8" t="n">
        <x:f>IF(G513="yes",1,0)</x:f>
        <x:v>1</x:v>
      </x:c>
      <x:c r="K513" s="8" t="n">
        <x:f>IF(G513="no",5,IF(E513&gt;800,3,1))</x:f>
        <x:v>1</x:v>
      </x:c>
      <x:c r="L513" s="8" t="str">
        <x:v>https://github.com/react-native-webview/react-native-webview</x:v>
      </x:c>
    </x:row>
    <x:row r="514">
      <x:c r="A514" s="8" t="str">
        <x:v>evt-00507</x:v>
      </x:c>
      <x:c r="B514" s="10" t="n">
        <x:v>46094.101689814815</x:v>
      </x:c>
      <x:c r="C514" s="8" t="str">
        <x:v>iOS</x:v>
      </x:c>
      <x:c r="D514" s="8" t="str">
        <x:v>reload</x:v>
      </x:c>
      <x:c r="E514" s="12" t="n">
        <x:v>156</x:v>
      </x:c>
      <x:c r="F514" s="12" t="n">
        <x:v>794.6</x:v>
      </x:c>
      <x:c r="G514" s="8" t="str">
        <x:v>yes</x:v>
      </x:c>
      <x:c r="H514" s="8" t="n">
        <x:v>359</x:v>
      </x:c>
      <x:c r="I514" s="8"/>
      <x:c r="J514" s="8" t="n">
        <x:f>IF(G514="yes",1,0)</x:f>
        <x:v>1</x:v>
      </x:c>
      <x:c r="K514" s="8" t="n">
        <x:f>IF(G514="no",5,IF(E514&gt;800,3,1))</x:f>
        <x:v>1</x:v>
      </x:c>
      <x:c r="L514" s="8" t="str">
        <x:v>https://developer.microsoft.com/en-us/microsoft-edge/webview2/</x:v>
      </x:c>
    </x:row>
    <x:row r="515">
      <x:c r="A515" s="8" t="str">
        <x:v>evt-00508</x:v>
      </x:c>
      <x:c r="B515" s="10" t="n">
        <x:v>46126.1440625</x:v>
      </x:c>
      <x:c r="C515" s="8" t="str">
        <x:v>Windows</x:v>
      </x:c>
      <x:c r="D515" s="8" t="str">
        <x:v>reload</x:v>
      </x:c>
      <x:c r="E515" s="12" t="n">
        <x:v>225</x:v>
      </x:c>
      <x:c r="F515" s="12" t="n">
        <x:v>781.9</x:v>
      </x:c>
      <x:c r="G515" s="8" t="str">
        <x:v>yes</x:v>
      </x:c>
      <x:c r="H515" s="8" t="n">
        <x:v>628</x:v>
      </x:c>
      <x:c r="I515" s="8"/>
      <x:c r="J515" s="8" t="n">
        <x:f>IF(G515="yes",1,0)</x:f>
        <x:v>1</x:v>
      </x:c>
      <x:c r="K515" s="8" t="n">
        <x:f>IF(G515="no",5,IF(E515&gt;800,3,1))</x:f>
        <x:v>1</x:v>
      </x:c>
      <x:c r="L515" s="8"/>
    </x:row>
    <x:row r="516">
      <x:c r="A516" s="8" t="str">
        <x:v>evt-00509</x:v>
      </x:c>
      <x:c r="B516" s="10" t="n">
        <x:v>46157.186435185184</x:v>
      </x:c>
      <x:c r="C516" s="8" t="str">
        <x:v>Android</x:v>
      </x:c>
      <x:c r="D516" s="8" t="str">
        <x:v>bridge message</x:v>
      </x:c>
      <x:c r="E516" s="12" t="n">
        <x:v>235</x:v>
      </x:c>
      <x:c r="F516" s="12" t="n">
        <x:v>850.1</x:v>
      </x:c>
      <x:c r="G516" s="8" t="str">
        <x:v>yes</x:v>
      </x:c>
      <x:c r="H516" s="8" t="n">
        <x:v>374</x:v>
      </x:c>
      <x:c r="I516" s="8"/>
      <x:c r="J516" s="8" t="n">
        <x:f>IF(G516="yes",1,0)</x:f>
        <x:v>1</x:v>
      </x:c>
      <x:c r="K516" s="8" t="n">
        <x:f>IF(G516="no",5,IF(E516&gt;800,3,1))</x:f>
        <x:v>1</x:v>
      </x:c>
      <x:c r="L516" s="8" t="str">
        <x:v>https://developer.android.com/reference/android/webkit/WebView</x:v>
      </x:c>
    </x:row>
    <x:row r="517">
      <x:c r="A517" s="8" t="str">
        <x:v>evt-00510</x:v>
      </x:c>
      <x:c r="B517" s="10" t="n">
        <x:v>46189.22880787037</x:v>
      </x:c>
      <x:c r="C517" s="8" t="str">
        <x:v>Linux</x:v>
      </x:c>
      <x:c r="D517" s="8" t="str">
        <x:v>bridge message</x:v>
      </x:c>
      <x:c r="E517" s="12" t="n">
        <x:v>1291</x:v>
      </x:c>
      <x:c r="F517" s="12" t="n">
        <x:v>441.9</x:v>
      </x:c>
      <x:c r="G517" s="8" t="str">
        <x:v>yes</x:v>
      </x:c>
      <x:c r="H517" s="8" t="n">
        <x:v>695</x:v>
      </x:c>
      <x:c r="I517" s="8" t="str">
        <x:v>Potential duplicate: this paragraph is repeated in another section to test deduplication and chunk metadata.</x:v>
      </x:c>
      <x:c r="J517" s="8" t="n">
        <x:f>IF(G517="yes",1,0)</x:f>
        <x:v>1</x:v>
      </x:c>
      <x:c r="K517" s="8" t="n">
        <x:f>IF(G517="no",5,IF(E517&gt;800,3,1))</x:f>
        <x:v>3</x:v>
      </x:c>
      <x:c r="L517" s="8"/>
    </x:row>
    <x:row r="518">
      <x:c r="A518" s="8" t="str">
        <x:v>evt-00511</x:v>
      </x:c>
      <x:c r="B518" s="10" t="n">
        <x:v>46220.27118055556</x:v>
      </x:c>
      <x:c r="C518" s="8" t="str">
        <x:v>Android</x:v>
      </x:c>
      <x:c r="D518" s="8" t="str">
        <x:v>navigation</x:v>
      </x:c>
      <x:c r="E518" s="12" t="n">
        <x:v>1255</x:v>
      </x:c>
      <x:c r="F518" s="12" t="n">
        <x:v>755.1</x:v>
      </x:c>
      <x:c r="G518" s="8" t="str">
        <x:v>yes</x:v>
      </x:c>
      <x:c r="H518" s="8" t="n">
        <x:v>569</x:v>
      </x:c>
      <x:c r="I518" s="8"/>
      <x:c r="J518" s="8" t="n">
        <x:f>IF(G518="yes",1,0)</x:f>
        <x:v>1</x:v>
      </x:c>
      <x:c r="K518" s="8" t="n">
        <x:f>IF(G518="no",5,IF(E518&gt;800,3,1))</x:f>
        <x:v>3</x:v>
      </x:c>
      <x:c r="L518" s="8"/>
    </x:row>
    <x:row r="519">
      <x:c r="A519" s="8" t="str">
        <x:v>evt-00512</x:v>
      </x:c>
      <x:c r="B519" s="10" t="n">
        <x:v>46252.31355324074</x:v>
      </x:c>
      <x:c r="C519" s="8" t="str">
        <x:v>Android</x:v>
      </x:c>
      <x:c r="D519" s="8" t="str">
        <x:v>large JSON</x:v>
      </x:c>
      <x:c r="E519" s="12" t="n">
        <x:v>1245</x:v>
      </x:c>
      <x:c r="F519" s="12" t="n">
        <x:v>336.1</x:v>
      </x:c>
      <x:c r="G519" s="8" t="str">
        <x:v>no</x:v>
      </x:c>
      <x:c r="H519" s="8" t="n">
        <x:v>811</x:v>
      </x:c>
      <x:c r="I519" s="8"/>
      <x:c r="J519" s="8" t="n">
        <x:f>IF(G519="yes",1,0)</x:f>
        <x:v>0</x:v>
      </x:c>
      <x:c r="K519" s="8" t="n">
        <x:f>IF(G519="no",5,IF(E519&gt;800,3,1))</x:f>
        <x:v>5</x:v>
      </x:c>
      <x:c r="L519" s="8"/>
    </x:row>
    <x:row r="520">
      <x:c r="A520" s="8" t="str">
        <x:v>evt-00513</x:v>
      </x:c>
      <x:c r="B520" s="10" t="n">
        <x:v>46284.35592592593</x:v>
      </x:c>
      <x:c r="C520" s="8" t="str">
        <x:v>Windows</x:v>
      </x:c>
      <x:c r="D520" s="8" t="str">
        <x:v>reload</x:v>
      </x:c>
      <x:c r="E520" s="12" t="n">
        <x:v>502</x:v>
      </x:c>
      <x:c r="F520" s="12" t="n">
        <x:v>346.8</x:v>
      </x:c>
      <x:c r="G520" s="8" t="str">
        <x:v>yes</x:v>
      </x:c>
      <x:c r="H520" s="8" t="n">
        <x:v>739</x:v>
      </x:c>
      <x:c r="I520" s="8" t="str">
        <x:v>Verify behavior on a cold start and after the page reloads without destroying the native view.</x:v>
      </x:c>
      <x:c r="J520" s="8" t="n">
        <x:f>IF(G520="yes",1,0)</x:f>
        <x:v>1</x:v>
      </x:c>
      <x:c r="K520" s="8" t="n">
        <x:f>IF(G520="no",5,IF(E520&gt;800,3,1))</x:f>
        <x:v>1</x:v>
      </x:c>
      <x:c r="L520" s="8" t="str">
        <x:v>https://github.com/react-native-webview/react-native-webview</x:v>
      </x:c>
    </x:row>
    <x:row r="521">
      <x:c r="A521" s="8" t="str">
        <x:v>evt-00514</x:v>
      </x:c>
      <x:c r="B521" s="10" t="n">
        <x:v>46042.39829861111</x:v>
      </x:c>
      <x:c r="C521" s="8" t="str">
        <x:v>Windows</x:v>
      </x:c>
      <x:c r="D521" s="8" t="str">
        <x:v>large JSON</x:v>
      </x:c>
      <x:c r="E521" s="12" t="n">
        <x:v>427</x:v>
      </x:c>
      <x:c r="F521" s="12" t="n">
        <x:v>352.9</x:v>
      </x:c>
      <x:c r="G521" s="8" t="str">
        <x:v>yes</x:v>
      </x:c>
      <x:c r="H521" s="8" t="n">
        <x:v>547</x:v>
      </x:c>
      <x:c r="I521" s="8" t="str">
        <x:v>Potential duplicate: this paragraph is repeated in another section to test deduplication and chunk metadata.</x:v>
      </x:c>
      <x:c r="J521" s="8" t="n">
        <x:f>IF(G521="yes",1,0)</x:f>
        <x:v>1</x:v>
      </x:c>
      <x:c r="K521" s="8" t="n">
        <x:f>IF(G521="no",5,IF(E521&gt;800,3,1))</x:f>
        <x:v>1</x:v>
      </x:c>
      <x:c r="L521" s="8" t="str">
        <x:v>https://github.com/react-native-webview/react-native-webview</x:v>
      </x:c>
    </x:row>
    <x:row r="522">
      <x:c r="A522" s="8" t="str">
        <x:v>evt-00515</x:v>
      </x:c>
      <x:c r="B522" s="10" t="n">
        <x:v>46074.440671296295</x:v>
      </x:c>
      <x:c r="C522" s="8" t="str">
        <x:v>Android</x:v>
      </x:c>
      <x:c r="D522" s="8" t="str">
        <x:v>large JSON</x:v>
      </x:c>
      <x:c r="E522" s="12" t="n">
        <x:v>1432</x:v>
      </x:c>
      <x:c r="F522" s="12" t="n">
        <x:v>200.5</x:v>
      </x:c>
      <x:c r="G522" s="8" t="str">
        <x:v>yes</x:v>
      </x:c>
      <x:c r="H522" s="8" t="n">
        <x:v>688</x:v>
      </x:c>
      <x:c r="I522" s="8"/>
      <x:c r="J522" s="8" t="n">
        <x:f>IF(G522="yes",1,0)</x:f>
        <x:v>1</x:v>
      </x:c>
      <x:c r="K522" s="8" t="n">
        <x:f>IF(G522="no",5,IF(E522&gt;800,3,1))</x:f>
        <x:v>3</x:v>
      </x:c>
      <x:c r="L522" s="8" t="str">
        <x:v>https://developer.android.com/reference/android/webkit/WebView</x:v>
      </x:c>
    </x:row>
    <x:row r="523">
      <x:c r="A523" s="8" t="str">
        <x:v>evt-00516</x:v>
      </x:c>
      <x:c r="B523" s="10" t="n">
        <x:v>46103.48304398148</x:v>
      </x:c>
      <x:c r="C523" s="8" t="str">
        <x:v>Windows</x:v>
      </x:c>
      <x:c r="D523" s="8" t="str">
        <x:v>reload</x:v>
      </x:c>
      <x:c r="E523" s="12" t="n">
        <x:v>288</x:v>
      </x:c>
      <x:c r="F523" s="12" t="n">
        <x:v>561.6</x:v>
      </x:c>
      <x:c r="G523" s="8" t="str">
        <x:v>yes</x:v>
      </x:c>
      <x:c r="H523" s="8" t="n">
        <x:v>528</x:v>
      </x:c>
      <x:c r="I523" s="8" t="str">
        <x:v>A blank cell here is intentional. The source workbook has notes placed away from the nearest table.</x:v>
      </x:c>
      <x:c r="J523" s="8" t="n">
        <x:f>IF(G523="yes",1,0)</x:f>
        <x:v>1</x:v>
      </x:c>
      <x:c r="K523" s="8" t="n">
        <x:f>IF(G523="no",5,IF(E523&gt;800,3,1))</x:f>
        <x:v>1</x:v>
      </x:c>
      <x:c r="L523" s="8"/>
    </x:row>
    <x:row r="524">
      <x:c r="A524" s="8" t="str">
        <x:v>evt-00517</x:v>
      </x:c>
      <x:c r="B524" s="10" t="n">
        <x:v>46135.525416666664</x:v>
      </x:c>
      <x:c r="C524" s="8" t="str">
        <x:v>Android</x:v>
      </x:c>
      <x:c r="D524" s="8" t="str">
        <x:v>cold launch</x:v>
      </x:c>
      <x:c r="E524" s="12" t="n">
        <x:v>219</x:v>
      </x:c>
      <x:c r="F524" s="12" t="n">
        <x:v>467</x:v>
      </x:c>
      <x:c r="G524" s="8" t="str">
        <x:v>no</x:v>
      </x:c>
      <x:c r="H524" s="8" t="n">
        <x:v>536</x:v>
      </x:c>
      <x:c r="I524" s="8" t="str">
        <x:v>Potential duplicate: this paragraph is repeated in another section to test deduplication and chunk metadata.</x:v>
      </x:c>
      <x:c r="J524" s="8" t="n">
        <x:f>IF(G524="yes",1,0)</x:f>
        <x:v>0</x:v>
      </x:c>
      <x:c r="K524" s="8" t="n">
        <x:f>IF(G524="no",5,IF(E524&gt;800,3,1))</x:f>
        <x:v>5</x:v>
      </x:c>
      <x:c r="L524" s="8"/>
    </x:row>
    <x:row r="525">
      <x:c r="A525" s="8" t="str">
        <x:v>evt-00518</x:v>
      </x:c>
      <x:c r="B525" s="10" t="n">
        <x:v>46166.56778935185</x:v>
      </x:c>
      <x:c r="C525" s="8" t="str">
        <x:v>macOS</x:v>
      </x:c>
      <x:c r="D525" s="8" t="str">
        <x:v>bridge message</x:v>
      </x:c>
      <x:c r="E525" s="12" t="n">
        <x:v>976</x:v>
      </x:c>
      <x:c r="F525" s="12" t="n">
        <x:v>371</x:v>
      </x:c>
      <x:c r="G525" s="8" t="str">
        <x:v>no</x:v>
      </x:c>
      <x:c r="H525" s="8" t="n">
        <x:v>700</x:v>
      </x:c>
      <x:c r="I525" s="8" t="str">
        <x:v>Verify behavior on a cold start and after the page reloads without destroying the native view.</x:v>
      </x:c>
      <x:c r="J525" s="8" t="n">
        <x:f>IF(G525="yes",1,0)</x:f>
        <x:v>0</x:v>
      </x:c>
      <x:c r="K525" s="8" t="n">
        <x:f>IF(G525="no",5,IF(E525&gt;800,3,1))</x:f>
        <x:v>5</x:v>
      </x:c>
      <x:c r="L525" s="8" t="str">
        <x:v>https://github.com/react-native-webview/react-native-webview</x:v>
      </x:c>
    </x:row>
    <x:row r="526">
      <x:c r="A526" s="8" t="str">
        <x:v>evt-00519</x:v>
      </x:c>
      <x:c r="B526" s="10" t="n">
        <x:v>46198.61016203704</x:v>
      </x:c>
      <x:c r="C526" s="8" t="str">
        <x:v>Android</x:v>
      </x:c>
      <x:c r="D526" s="8" t="str">
        <x:v>download</x:v>
      </x:c>
      <x:c r="E526" s="12" t="n">
        <x:v>186</x:v>
      </x:c>
      <x:c r="F526" s="12" t="n">
        <x:v>251.2</x:v>
      </x:c>
      <x:c r="G526" s="8" t="str">
        <x:v>yes</x:v>
      </x:c>
      <x:c r="H526" s="8" t="n">
        <x:v>560</x:v>
      </x:c>
      <x:c r="I526" s="8"/>
      <x:c r="J526" s="8" t="n">
        <x:f>IF(G526="yes",1,0)</x:f>
        <x:v>1</x:v>
      </x:c>
      <x:c r="K526" s="8" t="n">
        <x:f>IF(G526="no",5,IF(E526&gt;800,3,1))</x:f>
        <x:v>1</x:v>
      </x:c>
      <x:c r="L526" s="8"/>
    </x:row>
    <x:row r="527">
      <x:c r="A527" s="8" t="str">
        <x:v>evt-00520</x:v>
      </x:c>
      <x:c r="B527" s="10" t="n">
        <x:v>46229.65253472222</x:v>
      </x:c>
      <x:c r="C527" s="8" t="str">
        <x:v>Android</x:v>
      </x:c>
      <x:c r="D527" s="8" t="str">
        <x:v>large JSON</x:v>
      </x:c>
      <x:c r="E527" s="12" t="n">
        <x:v>1038</x:v>
      </x:c>
      <x:c r="F527" s="12" t="n">
        <x:v>778.4</x:v>
      </x:c>
      <x:c r="G527" s="8" t="str">
        <x:v>yes</x:v>
      </x:c>
      <x:c r="H527" s="8" t="n">
        <x:v>86</x:v>
      </x:c>
      <x:c r="I527" s="8" t="str">
        <x:v>Follow-up: compare the result when the network security policy is relaxed versus when it is enforced.</x:v>
      </x:c>
      <x:c r="J527" s="8" t="n">
        <x:f>IF(G527="yes",1,0)</x:f>
        <x:v>1</x:v>
      </x:c>
      <x:c r="K527" s="8" t="n">
        <x:f>IF(G527="no",5,IF(E527&gt;800,3,1))</x:f>
        <x:v>3</x:v>
      </x:c>
      <x:c r="L527" s="8" t="str">
        <x:v>https://developer.apple.com/documentation/webkit/wkwebview</x:v>
      </x:c>
    </x:row>
    <x:row r="528">
      <x:c r="A528" s="8" t="str">
        <x:v>evt-00521</x:v>
      </x:c>
      <x:c r="B528" s="10" t="n">
        <x:v>46235.69490740741</x:v>
      </x:c>
      <x:c r="C528" s="8" t="str">
        <x:v>Android</x:v>
      </x:c>
      <x:c r="D528" s="8" t="str">
        <x:v>reload</x:v>
      </x:c>
      <x:c r="E528" s="12" t="n">
        <x:v>1242</x:v>
      </x:c>
      <x:c r="F528" s="12" t="n">
        <x:v>727.6</x:v>
      </x:c>
      <x:c r="G528" s="8" t="str">
        <x:v>yes</x:v>
      </x:c>
      <x:c r="H528" s="8" t="n">
        <x:v>56</x:v>
      </x:c>
      <x:c r="I528" s="8" t="str">
        <x:v>Observed in a local test run: the content rendered, but the console warning appeared twice.</x:v>
      </x:c>
      <x:c r="J528" s="8" t="n">
        <x:f>IF(G528="yes",1,0)</x:f>
        <x:v>1</x:v>
      </x:c>
      <x:c r="K528" s="8" t="n">
        <x:f>IF(G528="no",5,IF(E528&gt;800,3,1))</x:f>
        <x:v>3</x:v>
      </x:c>
      <x:c r="L528" s="8"/>
    </x:row>
    <x:row r="529">
      <x:c r="A529" s="8" t="str">
        <x:v>evt-00522</x:v>
      </x:c>
      <x:c r="B529" s="10" t="n">
        <x:v>46267.737280092595</x:v>
      </x:c>
      <x:c r="C529" s="8" t="str">
        <x:v>macOS</x:v>
      </x:c>
      <x:c r="D529" s="8" t="str">
        <x:v>large JSON</x:v>
      </x:c>
      <x:c r="E529" s="12" t="n">
        <x:v>454</x:v>
      </x:c>
      <x:c r="F529" s="12" t="n">
        <x:v>176.1</x:v>
      </x:c>
      <x:c r="G529" s="8" t="str">
        <x:v>no</x:v>
      </x:c>
      <x:c r="H529" s="8" t="n">
        <x:v>421</x:v>
      </x:c>
      <x:c r="I529" s="8" t="str">
        <x:v>A blank cell here is intentional. The source workbook has notes placed away from the nearest table.</x:v>
      </x:c>
      <x:c r="J529" s="8" t="n">
        <x:f>IF(G529="yes",1,0)</x:f>
        <x:v>0</x:v>
      </x:c>
      <x:c r="K529" s="8" t="n">
        <x:f>IF(G529="no",5,IF(E529&gt;800,3,1))</x:f>
        <x:v>5</x:v>
      </x:c>
      <x:c r="L529" s="8"/>
    </x:row>
    <x:row r="530">
      <x:c r="A530" s="8" t="str">
        <x:v>evt-00523</x:v>
      </x:c>
      <x:c r="B530" s="10" t="n">
        <x:v>46025.779652777775</x:v>
      </x:c>
      <x:c r="C530" s="8" t="str">
        <x:v>Linux</x:v>
      </x:c>
      <x:c r="D530" s="8" t="str">
        <x:v>bridge message</x:v>
      </x:c>
      <x:c r="E530" s="12" t="n">
        <x:v>1243</x:v>
      </x:c>
      <x:c r="F530" s="12" t="n">
        <x:v>194.1</x:v>
      </x:c>
      <x:c r="G530" s="8" t="str">
        <x:v>yes</x:v>
      </x:c>
      <x:c r="H530" s="8" t="n">
        <x:v>96</x:v>
      </x:c>
      <x:c r="I530" s="8" t="str">
        <x:v>The owner field was not captured in the original notes, so classification should remain conservative.</x:v>
      </x:c>
      <x:c r="J530" s="8" t="n">
        <x:f>IF(G530="yes",1,0)</x:f>
        <x:v>1</x:v>
      </x:c>
      <x:c r="K530" s="8" t="n">
        <x:f>IF(G530="no",5,IF(E530&gt;800,3,1))</x:f>
        <x:v>3</x:v>
      </x:c>
      <x:c r="L530" s="8"/>
    </x:row>
    <x:row r="531">
      <x:c r="A531" s="8" t="str">
        <x:v>evt-00524</x:v>
      </x:c>
      <x:c r="B531" s="10" t="n">
        <x:v>46057.82202546296</x:v>
      </x:c>
      <x:c r="C531" s="8" t="str">
        <x:v>Linux</x:v>
      </x:c>
      <x:c r="D531" s="8" t="str">
        <x:v>large JSON</x:v>
      </x:c>
      <x:c r="E531" s="12" t="n">
        <x:v>796</x:v>
      </x:c>
      <x:c r="F531" s="12" t="n">
        <x:v>734.3</x:v>
      </x:c>
      <x:c r="G531" s="8" t="str">
        <x:v>yes</x:v>
      </x:c>
      <x:c r="H531" s="8" t="n">
        <x:v>886</x:v>
      </x:c>
      <x:c r="I531" s="8"/>
      <x:c r="J531" s="8" t="n">
        <x:f>IF(G531="yes",1,0)</x:f>
        <x:v>1</x:v>
      </x:c>
      <x:c r="K531" s="8" t="n">
        <x:f>IF(G531="no",5,IF(E531&gt;800,3,1))</x:f>
        <x:v>1</x:v>
      </x:c>
      <x:c r="L531" s="8" t="str">
        <x:v>https://developer.microsoft.com/en-us/microsoft-edge/webview2/</x:v>
      </x:c>
    </x:row>
    <x:row r="532">
      <x:c r="A532" s="8" t="str">
        <x:v>evt-00525</x:v>
      </x:c>
      <x:c r="B532" s="10" t="n">
        <x:v>46086.86439814815</x:v>
      </x:c>
      <x:c r="C532" s="8" t="str">
        <x:v>Windows</x:v>
      </x:c>
      <x:c r="D532" s="8" t="str">
        <x:v>navigation</x:v>
      </x:c>
      <x:c r="E532" s="12" t="n">
        <x:v>1240</x:v>
      </x:c>
      <x:c r="F532" s="12" t="n">
        <x:v>182.7</x:v>
      </x:c>
      <x:c r="G532" s="8" t="str">
        <x:v>yes</x:v>
      </x:c>
      <x:c r="H532" s="8" t="n">
        <x:v>231</x:v>
      </x:c>
      <x:c r="I532" s="8"/>
      <x:c r="J532" s="8" t="n">
        <x:f>IF(G532="yes",1,0)</x:f>
        <x:v>1</x:v>
      </x:c>
      <x:c r="K532" s="8" t="n">
        <x:f>IF(G532="no",5,IF(E532&gt;800,3,1))</x:f>
        <x:v>3</x:v>
      </x:c>
      <x:c r="L532" s="8" t="str">
        <x:v>https://github.com/react-native-webview/react-native-webview</x:v>
      </x:c>
    </x:row>
    <x:row r="533">
      <x:c r="A533" s="8" t="str">
        <x:v>evt-00526</x:v>
      </x:c>
      <x:c r="B533" s="10" t="n">
        <x:v>46118.90677083333</x:v>
      </x:c>
      <x:c r="C533" s="8" t="str">
        <x:v>Windows</x:v>
      </x:c>
      <x:c r="D533" s="8" t="str">
        <x:v>navigation</x:v>
      </x:c>
      <x:c r="E533" s="12" t="n">
        <x:v>1315</x:v>
      </x:c>
      <x:c r="F533" s="12" t="n">
        <x:v>343.8</x:v>
      </x:c>
      <x:c r="G533" s="8" t="str">
        <x:v>no</x:v>
      </x:c>
      <x:c r="H533" s="8" t="n">
        <x:v>168</x:v>
      </x:c>
      <x:c r="I533" s="8" t="str">
        <x:v>Follow-up: compare the result when the network security policy is relaxed versus when it is enforced.</x:v>
      </x:c>
      <x:c r="J533" s="8" t="n">
        <x:f>IF(G533="yes",1,0)</x:f>
        <x:v>0</x:v>
      </x:c>
      <x:c r="K533" s="8" t="n">
        <x:f>IF(G533="no",5,IF(E533&gt;800,3,1))</x:f>
        <x:v>5</x:v>
      </x:c>
      <x:c r="L533" s="8"/>
    </x:row>
    <x:row r="534">
      <x:c r="A534" s="8" t="str">
        <x:v>evt-00527</x:v>
      </x:c>
      <x:c r="B534" s="10" t="n">
        <x:v>46149.94914351852</x:v>
      </x:c>
      <x:c r="C534" s="8" t="str">
        <x:v>iOS</x:v>
      </x:c>
      <x:c r="D534" s="8" t="str">
        <x:v>file upload</x:v>
      </x:c>
      <x:c r="E534" s="12" t="n">
        <x:v>1420</x:v>
      </x:c>
      <x:c r="F534" s="12" t="n">
        <x:v>131</x:v>
      </x:c>
      <x:c r="G534" s="8" t="str">
        <x:v>yes</x:v>
      </x:c>
      <x:c r="H534" s="8" t="n">
        <x:v>682</x:v>
      </x:c>
      <x:c r="I534" s="8" t="str">
        <x:v>Follow-up: compare the result when the network security policy is relaxed versus when it is enforced.</x:v>
      </x:c>
      <x:c r="J534" s="8" t="n">
        <x:f>IF(G534="yes",1,0)</x:f>
        <x:v>1</x:v>
      </x:c>
      <x:c r="K534" s="8" t="n">
        <x:f>IF(G534="no",5,IF(E534&gt;800,3,1))</x:f>
        <x:v>3</x:v>
      </x:c>
      <x:c r="L534" s="8" t="str">
        <x:v>https://learn.microsoft.com/en-us/microsoft-edge/webview2/concepts/security</x:v>
      </x:c>
    </x:row>
    <x:row r="535">
      <x:c r="A535" s="8" t="str">
        <x:v>evt-00528</x:v>
      </x:c>
      <x:c r="B535" s="10" t="n">
        <x:v>46181.99151620371</x:v>
      </x:c>
      <x:c r="C535" s="8" t="str">
        <x:v>Android</x:v>
      </x:c>
      <x:c r="D535" s="8" t="str">
        <x:v>bridge message</x:v>
      </x:c>
      <x:c r="E535" s="12" t="n">
        <x:v>288</x:v>
      </x:c>
      <x:c r="F535" s="12" t="n">
        <x:v>123.3</x:v>
      </x:c>
      <x:c r="G535" s="8" t="str">
        <x:v>yes</x:v>
      </x:c>
      <x:c r="H535" s="8" t="n">
        <x:v>375</x:v>
      </x:c>
      <x:c r="I535" s="8" t="str">
        <x:v>The bridge callback is stable for small payloads, but large JSON messages show visible delay during navigation.</x:v>
      </x:c>
      <x:c r="J535" s="8" t="n">
        <x:f>IF(G535="yes",1,0)</x:f>
        <x:v>1</x:v>
      </x:c>
      <x:c r="K535" s="8" t="n">
        <x:f>IF(G535="no",5,IF(E535&gt;800,3,1))</x:f>
        <x:v>1</x:v>
      </x:c>
      <x:c r="L535" s="8"/>
    </x:row>
    <x:row r="536">
      <x:c r="A536" s="8" t="str">
        <x:v>evt-00529</x:v>
      </x:c>
      <x:c r="B536" s="10" t="n">
        <x:v>46212.03388888889</x:v>
      </x:c>
      <x:c r="C536" s="8" t="str">
        <x:v>iOS</x:v>
      </x:c>
      <x:c r="D536" s="8" t="str">
        <x:v>large JSON</x:v>
      </x:c>
      <x:c r="E536" s="12" t="n">
        <x:v>787</x:v>
      </x:c>
      <x:c r="F536" s="12" t="n">
        <x:v>276.2</x:v>
      </x:c>
      <x:c r="G536" s="8" t="str">
        <x:v>yes</x:v>
      </x:c>
      <x:c r="H536" s="8" t="n">
        <x:v>205</x:v>
      </x:c>
      <x:c r="I536" s="8"/>
      <x:c r="J536" s="8" t="n">
        <x:f>IF(G536="yes",1,0)</x:f>
        <x:v>1</x:v>
      </x:c>
      <x:c r="K536" s="8" t="n">
        <x:f>IF(G536="no",5,IF(E536&gt;800,3,1))</x:f>
        <x:v>1</x:v>
      </x:c>
      <x:c r="L536" s="8"/>
    </x:row>
    <x:row r="537">
      <x:c r="A537" s="8" t="str">
        <x:v>evt-00530</x:v>
      </x:c>
      <x:c r="B537" s="10" t="n">
        <x:v>46244.076261574075</x:v>
      </x:c>
      <x:c r="C537" s="8" t="str">
        <x:v>Windows</x:v>
      </x:c>
      <x:c r="D537" s="8" t="str">
        <x:v>cold launch</x:v>
      </x:c>
      <x:c r="E537" s="12" t="n">
        <x:v>1030</x:v>
      </x:c>
      <x:c r="F537" s="12" t="n">
        <x:v>590.7</x:v>
      </x:c>
      <x:c r="G537" s="8" t="str">
        <x:v>yes</x:v>
      </x:c>
      <x:c r="H537" s="8" t="n">
        <x:v>775</x:v>
      </x:c>
      <x:c r="I537" s="8"/>
      <x:c r="J537" s="8" t="n">
        <x:f>IF(G537="yes",1,0)</x:f>
        <x:v>1</x:v>
      </x:c>
      <x:c r="K537" s="8" t="n">
        <x:f>IF(G537="no",5,IF(E537&gt;800,3,1))</x:f>
        <x:v>3</x:v>
      </x:c>
      <x:c r="L537" s="8" t="str">
        <x:v>https://developer.apple.com/documentation/webkit/wkwebview</x:v>
      </x:c>
    </x:row>
    <x:row r="538">
      <x:c r="A538" s="8" t="str">
        <x:v>evt-00531</x:v>
      </x:c>
      <x:c r="B538" s="10" t="n">
        <x:v>46276.11863425926</x:v>
      </x:c>
      <x:c r="C538" s="8" t="str">
        <x:v>Linux</x:v>
      </x:c>
      <x:c r="D538" s="8" t="str">
        <x:v>bridge message</x:v>
      </x:c>
      <x:c r="E538" s="12" t="n">
        <x:v>890</x:v>
      </x:c>
      <x:c r="F538" s="12" t="n">
        <x:v>643.2</x:v>
      </x:c>
      <x:c r="G538" s="8" t="str">
        <x:v>yes</x:v>
      </x:c>
      <x:c r="H538" s="8" t="n">
        <x:v>673</x:v>
      </x:c>
      <x:c r="I538" s="8" t="str">
        <x:v>Potential duplicate: this paragraph is repeated in another section to test deduplication and chunk metadata.</x:v>
      </x:c>
      <x:c r="J538" s="8" t="n">
        <x:f>IF(G538="yes",1,0)</x:f>
        <x:v>1</x:v>
      </x:c>
      <x:c r="K538" s="8" t="n">
        <x:f>IF(G538="no",5,IF(E538&gt;800,3,1))</x:f>
        <x:v>3</x:v>
      </x:c>
      <x:c r="L538" s="8"/>
    </x:row>
    <x:row r="539">
      <x:c r="A539" s="8" t="str">
        <x:v>evt-00532</x:v>
      </x:c>
      <x:c r="B539" s="10" t="n">
        <x:v>46034.16100694444</x:v>
      </x:c>
      <x:c r="C539" s="8" t="str">
        <x:v>macOS</x:v>
      </x:c>
      <x:c r="D539" s="8" t="str">
        <x:v>file upload</x:v>
      </x:c>
      <x:c r="E539" s="12" t="n">
        <x:v>566</x:v>
      </x:c>
      <x:c r="F539" s="12" t="n">
        <x:v>415.8</x:v>
      </x:c>
      <x:c r="G539" s="8" t="str">
        <x:v>yes</x:v>
      </x:c>
      <x:c r="H539" s="8" t="n">
        <x:v>831</x:v>
      </x:c>
      <x:c r="I539" s="8" t="str">
        <x:v>This sentence is long enough to exercise wrapping and downstream chunk boundaries in Markdown output.</x:v>
      </x:c>
      <x:c r="J539" s="8" t="n">
        <x:f>IF(G539="yes",1,0)</x:f>
        <x:v>1</x:v>
      </x:c>
      <x:c r="K539" s="8" t="n">
        <x:f>IF(G539="no",5,IF(E539&gt;800,3,1))</x:f>
        <x:v>1</x:v>
      </x:c>
      <x:c r="L539" s="8"/>
    </x:row>
    <x:row r="540">
      <x:c r="A540" s="8" t="str">
        <x:v>evt-00533</x:v>
      </x:c>
      <x:c r="B540" s="10" t="n">
        <x:v>46066.20337962963</x:v>
      </x:c>
      <x:c r="C540" s="8" t="str">
        <x:v>iOS</x:v>
      </x:c>
      <x:c r="D540" s="8" t="str">
        <x:v>file upload</x:v>
      </x:c>
      <x:c r="E540" s="12" t="n">
        <x:v>16</x:v>
      </x:c>
      <x:c r="F540" s="12" t="n">
        <x:v>334.8</x:v>
      </x:c>
      <x:c r="G540" s="8" t="str">
        <x:v>yes</x:v>
      </x:c>
      <x:c r="H540" s="8" t="n">
        <x:v>406</x:v>
      </x:c>
      <x:c r="I540" s="8" t="str">
        <x:v>Observed in a local test run: the content rendered, but the console warning appeared twice.</x:v>
      </x:c>
      <x:c r="J540" s="8" t="n">
        <x:f>IF(G540="yes",1,0)</x:f>
        <x:v>1</x:v>
      </x:c>
      <x:c r="K540" s="8" t="n">
        <x:f>IF(G540="no",5,IF(E540&gt;800,3,1))</x:f>
        <x:v>1</x:v>
      </x:c>
      <x:c r="L540" s="8" t="str">
        <x:v>https://github.com/react-native-webview/react-native-webview</x:v>
      </x:c>
    </x:row>
    <x:row r="541">
      <x:c r="A541" s="8" t="str">
        <x:v>evt-00534</x:v>
      </x:c>
      <x:c r="B541" s="10" t="n">
        <x:v>46095.24575231481</x:v>
      </x:c>
      <x:c r="C541" s="8" t="str">
        <x:v>Linux</x:v>
      </x:c>
      <x:c r="D541" s="8" t="str">
        <x:v>download</x:v>
      </x:c>
      <x:c r="E541" s="12" t="n">
        <x:v>541</x:v>
      </x:c>
      <x:c r="F541" s="12" t="n">
        <x:v>554.9</x:v>
      </x:c>
      <x:c r="G541" s="8" t="str">
        <x:v>yes</x:v>
      </x:c>
      <x:c r="H541" s="8" t="n">
        <x:v>84</x:v>
      </x:c>
      <x:c r="I541" s="8"/>
      <x:c r="J541" s="8" t="n">
        <x:f>IF(G541="yes",1,0)</x:f>
        <x:v>1</x:v>
      </x:c>
      <x:c r="K541" s="8" t="n">
        <x:f>IF(G541="no",5,IF(E541&gt;800,3,1))</x:f>
        <x:v>1</x:v>
      </x:c>
      <x:c r="L541" s="8" t="str">
        <x:v>https://developer.apple.com/documentation/webkit/wkwebview</x:v>
      </x:c>
    </x:row>
    <x:row r="542">
      <x:c r="A542" s="8" t="str">
        <x:v>evt-00535</x:v>
      </x:c>
      <x:c r="B542" s="10" t="n">
        <x:v>46127.288125</x:v>
      </x:c>
      <x:c r="C542" s="8" t="str">
        <x:v>iOS</x:v>
      </x:c>
      <x:c r="D542" s="8" t="str">
        <x:v>file upload</x:v>
      </x:c>
      <x:c r="E542" s="12" t="n">
        <x:v>507</x:v>
      </x:c>
      <x:c r="F542" s="12" t="n">
        <x:v>904</x:v>
      </x:c>
      <x:c r="G542" s="8" t="str">
        <x:v>yes</x:v>
      </x:c>
      <x:c r="H542" s="8" t="n">
        <x:v>56</x:v>
      </x:c>
      <x:c r="I542" s="8" t="str">
        <x:v>Verify behavior on a cold start and after the page reloads without destroying the native view.</x:v>
      </x:c>
      <x:c r="J542" s="8" t="n">
        <x:f>IF(G542="yes",1,0)</x:f>
        <x:v>1</x:v>
      </x:c>
      <x:c r="K542" s="8" t="n">
        <x:f>IF(G542="no",5,IF(E542&gt;800,3,1))</x:f>
        <x:v>1</x:v>
      </x:c>
      <x:c r="L542" s="8"/>
    </x:row>
    <x:row r="543">
      <x:c r="A543" s="8" t="str">
        <x:v>evt-00536</x:v>
      </x:c>
      <x:c r="B543" s="10" t="n">
        <x:v>46158.33049768519</x:v>
      </x:c>
      <x:c r="C543" s="8" t="str">
        <x:v>Android</x:v>
      </x:c>
      <x:c r="D543" s="8" t="str">
        <x:v>cold launch</x:v>
      </x:c>
      <x:c r="E543" s="12" t="n">
        <x:v>295</x:v>
      </x:c>
      <x:c r="F543" s="12" t="n">
        <x:v>119.1</x:v>
      </x:c>
      <x:c r="G543" s="8" t="str">
        <x:v>yes</x:v>
      </x:c>
      <x:c r="H543" s="8" t="n">
        <x:v>697</x:v>
      </x:c>
      <x:c r="I543" s="8" t="str">
        <x:v>Observed in a local test run: the content rendered, but the console warning appeared twice.</x:v>
      </x:c>
      <x:c r="J543" s="8" t="n">
        <x:f>IF(G543="yes",1,0)</x:f>
        <x:v>1</x:v>
      </x:c>
      <x:c r="K543" s="8" t="n">
        <x:f>IF(G543="no",5,IF(E543&gt;800,3,1))</x:f>
        <x:v>1</x:v>
      </x:c>
      <x:c r="L543" s="8"/>
    </x:row>
    <x:row r="544">
      <x:c r="A544" s="8" t="str">
        <x:v>evt-00537</x:v>
      </x:c>
      <x:c r="B544" s="10" t="n">
        <x:v>46190.37287037037</x:v>
      </x:c>
      <x:c r="C544" s="8" t="str">
        <x:v>Windows</x:v>
      </x:c>
      <x:c r="D544" s="8" t="str">
        <x:v>reload</x:v>
      </x:c>
      <x:c r="E544" s="12" t="n">
        <x:v>338</x:v>
      </x:c>
      <x:c r="F544" s="12" t="n">
        <x:v>817.5</x:v>
      </x:c>
      <x:c r="G544" s="8" t="str">
        <x:v>yes</x:v>
      </x:c>
      <x:c r="H544" s="8" t="n">
        <x:v>10</x:v>
      </x:c>
      <x:c r="I544" s="8"/>
      <x:c r="J544" s="8" t="n">
        <x:f>IF(G544="yes",1,0)</x:f>
        <x:v>1</x:v>
      </x:c>
      <x:c r="K544" s="8" t="n">
        <x:f>IF(G544="no",5,IF(E544&gt;800,3,1))</x:f>
        <x:v>1</x:v>
      </x:c>
      <x:c r="L544" s="8"/>
    </x:row>
    <x:row r="545">
      <x:c r="A545" s="8" t="str">
        <x:v>evt-00538</x:v>
      </x:c>
      <x:c r="B545" s="10" t="n">
        <x:v>46221.415243055555</x:v>
      </x:c>
      <x:c r="C545" s="8" t="str">
        <x:v>Linux</x:v>
      </x:c>
      <x:c r="D545" s="8" t="str">
        <x:v>file upload</x:v>
      </x:c>
      <x:c r="E545" s="12" t="n">
        <x:v>1004</x:v>
      </x:c>
      <x:c r="F545" s="12" t="n">
        <x:v>873.7</x:v>
      </x:c>
      <x:c r="G545" s="8" t="str">
        <x:v>yes</x:v>
      </x:c>
      <x:c r="H545" s="8" t="n">
        <x:v>689</x:v>
      </x:c>
      <x:c r="I545" s="8"/>
      <x:c r="J545" s="8" t="n">
        <x:f>IF(G545="yes",1,0)</x:f>
        <x:v>1</x:v>
      </x:c>
      <x:c r="K545" s="8" t="n">
        <x:f>IF(G545="no",5,IF(E545&gt;800,3,1))</x:f>
        <x:v>3</x:v>
      </x:c>
      <x:c r="L545" s="8" t="str">
        <x:v>https://github.com/react-native-webview/react-native-webview</x:v>
      </x:c>
    </x:row>
    <x:row r="546">
      <x:c r="A546" s="8" t="str">
        <x:v>evt-00539</x:v>
      </x:c>
      <x:c r="B546" s="10" t="n">
        <x:v>46253.45761574074</x:v>
      </x:c>
      <x:c r="C546" s="8" t="str">
        <x:v>iOS</x:v>
      </x:c>
      <x:c r="D546" s="8" t="str">
        <x:v>navigation</x:v>
      </x:c>
      <x:c r="E546" s="12" t="n">
        <x:v>91</x:v>
      </x:c>
      <x:c r="F546" s="12" t="n">
        <x:v>447.9</x:v>
      </x:c>
      <x:c r="G546" s="8" t="str">
        <x:v>yes</x:v>
      </x:c>
      <x:c r="H546" s="8" t="n">
        <x:v>774</x:v>
      </x:c>
      <x:c r="I546" s="8"/>
      <x:c r="J546" s="8" t="n">
        <x:f>IF(G546="yes",1,0)</x:f>
        <x:v>1</x:v>
      </x:c>
      <x:c r="K546" s="8" t="n">
        <x:f>IF(G546="no",5,IF(E546&gt;800,3,1))</x:f>
        <x:v>1</x:v>
      </x:c>
      <x:c r="L546" s="8"/>
    </x:row>
    <x:row r="547">
      <x:c r="A547" s="8" t="str">
        <x:v>evt-00540</x:v>
      </x:c>
      <x:c r="B547" s="10" t="n">
        <x:v>46285.49998842592</x:v>
      </x:c>
      <x:c r="C547" s="8" t="str">
        <x:v>Android</x:v>
      </x:c>
      <x:c r="D547" s="8" t="str">
        <x:v>cold launch</x:v>
      </x:c>
      <x:c r="E547" s="12" t="n">
        <x:v>985</x:v>
      </x:c>
      <x:c r="F547" s="12" t="n">
        <x:v>718.8</x:v>
      </x:c>
      <x:c r="G547" s="8" t="str">
        <x:v>no</x:v>
      </x:c>
      <x:c r="H547" s="8" t="n">
        <x:v>458</x:v>
      </x:c>
      <x:c r="I547" s="8" t="str">
        <x:v>Observed in a local test run: the content rendered, but the console warning appeared twice.</x:v>
      </x:c>
      <x:c r="J547" s="8" t="n">
        <x:f>IF(G547="yes",1,0)</x:f>
        <x:v>0</x:v>
      </x:c>
      <x:c r="K547" s="8" t="n">
        <x:f>IF(G547="no",5,IF(E547&gt;800,3,1))</x:f>
        <x:v>5</x:v>
      </x:c>
      <x:c r="L547" s="8" t="str">
        <x:v>https://developer.android.com/reference/android/webkit/WebView</x:v>
      </x:c>
    </x:row>
    <x:row r="548">
      <x:c r="A548" s="8" t="str">
        <x:v>evt-00541</x:v>
      </x:c>
      <x:c r="B548" s="10" t="n">
        <x:v>46043.5</x:v>
      </x:c>
      <x:c r="C548" s="8" t="str">
        <x:v>iOS</x:v>
      </x:c>
      <x:c r="D548" s="8" t="str">
        <x:v>file upload</x:v>
      </x:c>
      <x:c r="E548" s="12" t="n">
        <x:v>112</x:v>
      </x:c>
      <x:c r="F548" s="12" t="n">
        <x:v>887.6</x:v>
      </x:c>
      <x:c r="G548" s="8" t="str">
        <x:v>yes</x:v>
      </x:c>
      <x:c r="H548" s="8" t="n">
        <x:v>373</x:v>
      </x:c>
      <x:c r="I548" s="8"/>
      <x:c r="J548" s="8" t="n">
        <x:f>IF(G548="yes",1,0)</x:f>
        <x:v>1</x:v>
      </x:c>
      <x:c r="K548" s="8" t="n">
        <x:f>IF(G548="no",5,IF(E548&gt;800,3,1))</x:f>
        <x:v>1</x:v>
      </x:c>
      <x:c r="L548" s="8" t="str">
        <x:v>https://developer.apple.com/documentation/webkit/wkwebview</x:v>
      </x:c>
    </x:row>
    <x:row r="549">
      <x:c r="A549" s="8" t="str">
        <x:v>evt-00542</x:v>
      </x:c>
      <x:c r="B549" s="10" t="n">
        <x:v>46075.54237268519</x:v>
      </x:c>
      <x:c r="C549" s="8" t="str">
        <x:v>iOS</x:v>
      </x:c>
      <x:c r="D549" s="8" t="str">
        <x:v>navigation</x:v>
      </x:c>
      <x:c r="E549" s="12" t="n">
        <x:v>1390</x:v>
      </x:c>
      <x:c r="F549" s="12" t="n">
        <x:v>764.5</x:v>
      </x:c>
      <x:c r="G549" s="8" t="str">
        <x:v>yes</x:v>
      </x:c>
      <x:c r="H549" s="8" t="n">
        <x:v>897</x:v>
      </x:c>
      <x:c r="I549" s="8" t="str">
        <x:v>Follow-up: compare the result when the network security policy is relaxed versus when it is enforced.</x:v>
      </x:c>
      <x:c r="J549" s="8" t="n">
        <x:f>IF(G549="yes",1,0)</x:f>
        <x:v>1</x:v>
      </x:c>
      <x:c r="K549" s="8" t="n">
        <x:f>IF(G549="no",5,IF(E549&gt;800,3,1))</x:f>
        <x:v>3</x:v>
      </x:c>
      <x:c r="L549" s="8"/>
    </x:row>
    <x:row r="550">
      <x:c r="A550" s="8" t="str">
        <x:v>evt-00543</x:v>
      </x:c>
      <x:c r="B550" s="10" t="n">
        <x:v>46104.58474537037</x:v>
      </x:c>
      <x:c r="C550" s="8" t="str">
        <x:v>iOS</x:v>
      </x:c>
      <x:c r="D550" s="8" t="str">
        <x:v>large JSON</x:v>
      </x:c>
      <x:c r="E550" s="12" t="n">
        <x:v>1293</x:v>
      </x:c>
      <x:c r="F550" s="12" t="n">
        <x:v>247.3</x:v>
      </x:c>
      <x:c r="G550" s="8" t="str">
        <x:v>yes</x:v>
      </x:c>
      <x:c r="H550" s="8" t="n">
        <x:v>551</x:v>
      </x:c>
      <x:c r="I550" s="8" t="str">
        <x:v>Verify behavior on a cold start and after the page reloads without destroying the native view.</x:v>
      </x:c>
      <x:c r="J550" s="8" t="n">
        <x:f>IF(G550="yes",1,0)</x:f>
        <x:v>1</x:v>
      </x:c>
      <x:c r="K550" s="8" t="n">
        <x:f>IF(G550="no",5,IF(E550&gt;800,3,1))</x:f>
        <x:v>3</x:v>
      </x:c>
      <x:c r="L550" s="8" t="str">
        <x:v>https://github.com/react-native-webview/react-native-webview</x:v>
      </x:c>
    </x:row>
    <x:row r="551">
      <x:c r="A551" s="8" t="str">
        <x:v>evt-00544</x:v>
      </x:c>
      <x:c r="B551" s="10" t="n">
        <x:v>46136.627118055556</x:v>
      </x:c>
      <x:c r="C551" s="8" t="str">
        <x:v>iOS</x:v>
      </x:c>
      <x:c r="D551" s="8" t="str">
        <x:v>reload</x:v>
      </x:c>
      <x:c r="E551" s="12" t="n">
        <x:v>206</x:v>
      </x:c>
      <x:c r="F551" s="12" t="n">
        <x:v>406</x:v>
      </x:c>
      <x:c r="G551" s="8" t="str">
        <x:v>yes</x:v>
      </x:c>
      <x:c r="H551" s="8" t="n">
        <x:v>311</x:v>
      </x:c>
      <x:c r="I551" s="8" t="str">
        <x:v>The bridge callback is stable for small payloads, but large JSON messages show visible delay during navigation.</x:v>
      </x:c>
      <x:c r="J551" s="8" t="n">
        <x:f>IF(G551="yes",1,0)</x:f>
        <x:v>1</x:v>
      </x:c>
      <x:c r="K551" s="8" t="n">
        <x:f>IF(G551="no",5,IF(E551&gt;800,3,1))</x:f>
        <x:v>1</x:v>
      </x:c>
      <x:c r="L551" s="8"/>
    </x:row>
    <x:row r="552">
      <x:c r="A552" s="8" t="str">
        <x:v>evt-00545</x:v>
      </x:c>
      <x:c r="B552" s="10" t="n">
        <x:v>46167.669490740744</x:v>
      </x:c>
      <x:c r="C552" s="8" t="str">
        <x:v>macOS</x:v>
      </x:c>
      <x:c r="D552" s="8" t="str">
        <x:v>reload</x:v>
      </x:c>
      <x:c r="E552" s="12" t="n">
        <x:v>1239</x:v>
      </x:c>
      <x:c r="F552" s="12" t="n">
        <x:v>653.9</x:v>
      </x:c>
      <x:c r="G552" s="8" t="str">
        <x:v>yes</x:v>
      </x:c>
      <x:c r="H552" s="8" t="n">
        <x:v>363</x:v>
      </x:c>
      <x:c r="I552" s="8"/>
      <x:c r="J552" s="8" t="n">
        <x:f>IF(G552="yes",1,0)</x:f>
        <x:v>1</x:v>
      </x:c>
      <x:c r="K552" s="8" t="n">
        <x:f>IF(G552="no",5,IF(E552&gt;800,3,1))</x:f>
        <x:v>3</x:v>
      </x:c>
      <x:c r="L552" s="8" t="str">
        <x:v>https://github.com/react-native-webview/react-native-webview</x:v>
      </x:c>
    </x:row>
    <x:row r="553">
      <x:c r="A553" s="8" t="str">
        <x:v>evt-00546</x:v>
      </x:c>
      <x:c r="B553" s="10" t="n">
        <x:v>46199.711863425924</x:v>
      </x:c>
      <x:c r="C553" s="8" t="str">
        <x:v>Linux</x:v>
      </x:c>
      <x:c r="D553" s="8" t="str">
        <x:v>cold launch</x:v>
      </x:c>
      <x:c r="E553" s="12" t="n">
        <x:v>1015</x:v>
      </x:c>
      <x:c r="F553" s="12" t="n">
        <x:v>233.7</x:v>
      </x:c>
      <x:c r="G553" s="8" t="str">
        <x:v>yes</x:v>
      </x:c>
      <x:c r="H553" s="8" t="n">
        <x:v>80</x:v>
      </x:c>
      <x:c r="I553" s="8"/>
      <x:c r="J553" s="8" t="n">
        <x:f>IF(G553="yes",1,0)</x:f>
        <x:v>1</x:v>
      </x:c>
      <x:c r="K553" s="8" t="n">
        <x:f>IF(G553="no",5,IF(E553&gt;800,3,1))</x:f>
        <x:v>3</x:v>
      </x:c>
      <x:c r="L553" s="8" t="str">
        <x:v>https://github.com/react-native-webview/react-native-webview</x:v>
      </x:c>
    </x:row>
    <x:row r="554">
      <x:c r="A554" s="8" t="str">
        <x:v>evt-00547</x:v>
      </x:c>
      <x:c r="B554" s="10" t="n">
        <x:v>46204.75423611111</x:v>
      </x:c>
      <x:c r="C554" s="8" t="str">
        <x:v>iOS</x:v>
      </x:c>
      <x:c r="D554" s="8" t="str">
        <x:v>reload</x:v>
      </x:c>
      <x:c r="E554" s="12" t="n">
        <x:v>600</x:v>
      </x:c>
      <x:c r="F554" s="12" t="n">
        <x:v>303.8</x:v>
      </x:c>
      <x:c r="G554" s="8" t="str">
        <x:v>yes</x:v>
      </x:c>
      <x:c r="H554" s="8" t="n">
        <x:v>96</x:v>
      </x:c>
      <x:c r="I554" s="8" t="str">
        <x:v>Observed in a local test run: the content rendered, but the console warning appeared twice.</x:v>
      </x:c>
      <x:c r="J554" s="8" t="n">
        <x:f>IF(G554="yes",1,0)</x:f>
        <x:v>1</x:v>
      </x:c>
      <x:c r="K554" s="8" t="n">
        <x:f>IF(G554="no",5,IF(E554&gt;800,3,1))</x:f>
        <x:v>1</x:v>
      </x:c>
      <x:c r="L554" s="8"/>
    </x:row>
    <x:row r="555">
      <x:c r="A555" s="8" t="str">
        <x:v>evt-00548</x:v>
      </x:c>
      <x:c r="B555" s="10" t="n">
        <x:v>46236.7966087963</x:v>
      </x:c>
      <x:c r="C555" s="8" t="str">
        <x:v>Linux</x:v>
      </x:c>
      <x:c r="D555" s="8" t="str">
        <x:v>download</x:v>
      </x:c>
      <x:c r="E555" s="12" t="n">
        <x:v>913</x:v>
      </x:c>
      <x:c r="F555" s="12" t="n">
        <x:v>811</x:v>
      </x:c>
      <x:c r="G555" s="8" t="str">
        <x:v>yes</x:v>
      </x:c>
      <x:c r="H555" s="8" t="n">
        <x:v>793</x:v>
      </x:c>
      <x:c r="I555" s="8"/>
      <x:c r="J555" s="8" t="n">
        <x:f>IF(G555="yes",1,0)</x:f>
        <x:v>1</x:v>
      </x:c>
      <x:c r="K555" s="8" t="n">
        <x:f>IF(G555="no",5,IF(E555&gt;800,3,1))</x:f>
        <x:v>3</x:v>
      </x:c>
      <x:c r="L555" s="8"/>
    </x:row>
    <x:row r="556">
      <x:c r="A556" s="8" t="str">
        <x:v>evt-00549</x:v>
      </x:c>
      <x:c r="B556" s="10" t="n">
        <x:v>46268.83898148148</x:v>
      </x:c>
      <x:c r="C556" s="8" t="str">
        <x:v>Windows</x:v>
      </x:c>
      <x:c r="D556" s="8" t="str">
        <x:v>navigation</x:v>
      </x:c>
      <x:c r="E556" s="12" t="n">
        <x:v>319</x:v>
      </x:c>
      <x:c r="F556" s="12" t="n">
        <x:v>294.6</x:v>
      </x:c>
      <x:c r="G556" s="8" t="str">
        <x:v>no</x:v>
      </x:c>
      <x:c r="H556" s="8" t="n">
        <x:v>165</x:v>
      </x:c>
      <x:c r="I556" s="8" t="str">
        <x:v>This sentence is long enough to exercise wrapping and downstream chunk boundaries in Markdown output.</x:v>
      </x:c>
      <x:c r="J556" s="8" t="n">
        <x:f>IF(G556="yes",1,0)</x:f>
        <x:v>0</x:v>
      </x:c>
      <x:c r="K556" s="8" t="n">
        <x:f>IF(G556="no",5,IF(E556&gt;800,3,1))</x:f>
        <x:v>5</x:v>
      </x:c>
      <x:c r="L556" s="8"/>
    </x:row>
    <x:row r="557">
      <x:c r="A557" s="8" t="str">
        <x:v>evt-00550</x:v>
      </x:c>
      <x:c r="B557" s="10" t="n">
        <x:v>46026.88135416667</x:v>
      </x:c>
      <x:c r="C557" s="8" t="str">
        <x:v>Linux</x:v>
      </x:c>
      <x:c r="D557" s="8" t="str">
        <x:v>bridge message</x:v>
      </x:c>
      <x:c r="E557" s="12" t="n">
        <x:v>639</x:v>
      </x:c>
      <x:c r="F557" s="12" t="n">
        <x:v>463.6</x:v>
      </x:c>
      <x:c r="G557" s="8" t="str">
        <x:v>yes</x:v>
      </x:c>
      <x:c r="H557" s="8" t="n">
        <x:v>230</x:v>
      </x:c>
      <x:c r="I557" s="8" t="str">
        <x:v>This sentence is long enough to exercise wrapping and downstream chunk boundaries in Markdown output.</x:v>
      </x:c>
      <x:c r="J557" s="8" t="n">
        <x:f>IF(G557="yes",1,0)</x:f>
        <x:v>1</x:v>
      </x:c>
      <x:c r="K557" s="8" t="n">
        <x:f>IF(G557="no",5,IF(E557&gt;800,3,1))</x:f>
        <x:v>1</x:v>
      </x:c>
      <x:c r="L557" s="8"/>
    </x:row>
    <x:row r="558">
      <x:c r="A558" s="8" t="str">
        <x:v>evt-00551</x:v>
      </x:c>
      <x:c r="B558" s="10" t="n">
        <x:v>46058.923726851855</x:v>
      </x:c>
      <x:c r="C558" s="8" t="str">
        <x:v>Windows</x:v>
      </x:c>
      <x:c r="D558" s="8" t="str">
        <x:v>navigation</x:v>
      </x:c>
      <x:c r="E558" s="12" t="n">
        <x:v>792</x:v>
      </x:c>
      <x:c r="F558" s="12" t="n">
        <x:v>112.1</x:v>
      </x:c>
      <x:c r="G558" s="8" t="str">
        <x:v>yes</x:v>
      </x:c>
      <x:c r="H558" s="8" t="n">
        <x:v>711</x:v>
      </x:c>
      <x:c r="I558" s="8"/>
      <x:c r="J558" s="8" t="n">
        <x:f>IF(G558="yes",1,0)</x:f>
        <x:v>1</x:v>
      </x:c>
      <x:c r="K558" s="8" t="n">
        <x:f>IF(G558="no",5,IF(E558&gt;800,3,1))</x:f>
        <x:v>1</x:v>
      </x:c>
      <x:c r="L558" s="8"/>
    </x:row>
    <x:row r="559">
      <x:c r="A559" s="8" t="str">
        <x:v>evt-00552</x:v>
      </x:c>
      <x:c r="B559" s="10" t="n">
        <x:v>46087.966099537036</x:v>
      </x:c>
      <x:c r="C559" s="8" t="str">
        <x:v>Windows</x:v>
      </x:c>
      <x:c r="D559" s="8" t="str">
        <x:v>bridge message</x:v>
      </x:c>
      <x:c r="E559" s="12" t="n">
        <x:v>1429</x:v>
      </x:c>
      <x:c r="F559" s="12" t="n">
        <x:v>502.3</x:v>
      </x:c>
      <x:c r="G559" s="8" t="str">
        <x:v>yes</x:v>
      </x:c>
      <x:c r="H559" s="8" t="n">
        <x:v>354</x:v>
      </x:c>
      <x:c r="I559" s="8" t="str">
        <x:v>Potential duplicate: this paragraph is repeated in another section to test deduplication and chunk metadata.</x:v>
      </x:c>
      <x:c r="J559" s="8" t="n">
        <x:f>IF(G559="yes",1,0)</x:f>
        <x:v>1</x:v>
      </x:c>
      <x:c r="K559" s="8" t="n">
        <x:f>IF(G559="no",5,IF(E559&gt;800,3,1))</x:f>
        <x:v>3</x:v>
      </x:c>
      <x:c r="L559" s="8" t="str">
        <x:v>https://github.com/react-native-webview/react-native-webview</x:v>
      </x:c>
    </x:row>
    <x:row r="560">
      <x:c r="A560" s="8" t="str">
        <x:v>evt-00553</x:v>
      </x:c>
      <x:c r="B560" s="10" t="n">
        <x:v>46119.008472222224</x:v>
      </x:c>
      <x:c r="C560" s="8" t="str">
        <x:v>Android</x:v>
      </x:c>
      <x:c r="D560" s="8" t="str">
        <x:v>cold launch</x:v>
      </x:c>
      <x:c r="E560" s="12" t="n">
        <x:v>248</x:v>
      </x:c>
      <x:c r="F560" s="12" t="n">
        <x:v>781.1</x:v>
      </x:c>
      <x:c r="G560" s="8" t="str">
        <x:v>yes</x:v>
      </x:c>
      <x:c r="H560" s="8" t="n">
        <x:v>718</x:v>
      </x:c>
      <x:c r="I560" s="8" t="str">
        <x:v>A blank cell here is intentional. The source workbook has notes placed away from the nearest table.</x:v>
      </x:c>
      <x:c r="J560" s="8" t="n">
        <x:f>IF(G560="yes",1,0)</x:f>
        <x:v>1</x:v>
      </x:c>
      <x:c r="K560" s="8" t="n">
        <x:f>IF(G560="no",5,IF(E560&gt;800,3,1))</x:f>
        <x:v>1</x:v>
      </x:c>
      <x:c r="L560" s="8"/>
    </x:row>
    <x:row r="561">
      <x:c r="A561" s="8" t="str">
        <x:v>evt-00554</x:v>
      </x:c>
      <x:c r="B561" s="10" t="n">
        <x:v>46150.050844907404</x:v>
      </x:c>
      <x:c r="C561" s="8" t="str">
        <x:v>Android</x:v>
      </x:c>
      <x:c r="D561" s="8" t="str">
        <x:v>cold launch</x:v>
      </x:c>
      <x:c r="E561" s="12" t="n">
        <x:v>1388</x:v>
      </x:c>
      <x:c r="F561" s="12" t="n">
        <x:v>494.6</x:v>
      </x:c>
      <x:c r="G561" s="8" t="str">
        <x:v>no</x:v>
      </x:c>
      <x:c r="H561" s="8" t="n">
        <x:v>445</x:v>
      </x:c>
      <x:c r="I561" s="8"/>
      <x:c r="J561" s="8" t="n">
        <x:f>IF(G561="yes",1,0)</x:f>
        <x:v>0</x:v>
      </x:c>
      <x:c r="K561" s="8" t="n">
        <x:f>IF(G561="no",5,IF(E561&gt;800,3,1))</x:f>
        <x:v>5</x:v>
      </x:c>
      <x:c r="L561" s="8"/>
    </x:row>
    <x:row r="562">
      <x:c r="A562" s="8" t="str">
        <x:v>evt-00555</x:v>
      </x:c>
      <x:c r="B562" s="10" t="n">
        <x:v>46182.09321759259</x:v>
      </x:c>
      <x:c r="C562" s="8" t="str">
        <x:v>Windows</x:v>
      </x:c>
      <x:c r="D562" s="8" t="str">
        <x:v>bridge message</x:v>
      </x:c>
      <x:c r="E562" s="12" t="n">
        <x:v>546</x:v>
      </x:c>
      <x:c r="F562" s="12" t="n">
        <x:v>224.7</x:v>
      </x:c>
      <x:c r="G562" s="8" t="str">
        <x:v>yes</x:v>
      </x:c>
      <x:c r="H562" s="8" t="n">
        <x:v>72</x:v>
      </x:c>
      <x:c r="I562" s="8" t="str">
        <x:v>This sentence is long enough to exercise wrapping and downstream chunk boundaries in Markdown output.</x:v>
      </x:c>
      <x:c r="J562" s="8" t="n">
        <x:f>IF(G562="yes",1,0)</x:f>
        <x:v>1</x:v>
      </x:c>
      <x:c r="K562" s="8" t="n">
        <x:f>IF(G562="no",5,IF(E562&gt;800,3,1))</x:f>
        <x:v>1</x:v>
      </x:c>
      <x:c r="L562" s="8"/>
    </x:row>
    <x:row r="563">
      <x:c r="A563" s="8" t="str">
        <x:v>evt-00556</x:v>
      </x:c>
      <x:c r="B563" s="10" t="n">
        <x:v>46213.13559027778</x:v>
      </x:c>
      <x:c r="C563" s="8" t="str">
        <x:v>Android</x:v>
      </x:c>
      <x:c r="D563" s="8" t="str">
        <x:v>cold launch</x:v>
      </x:c>
      <x:c r="E563" s="12" t="n">
        <x:v>606</x:v>
      </x:c>
      <x:c r="F563" s="12" t="n">
        <x:v>329.8</x:v>
      </x:c>
      <x:c r="G563" s="8" t="str">
        <x:v>yes</x:v>
      </x:c>
      <x:c r="H563" s="8" t="n">
        <x:v>858</x:v>
      </x:c>
      <x:c r="I563" s="8" t="str">
        <x:v>Observed in a local test run: the content rendered, but the console warning appeared twice.</x:v>
      </x:c>
      <x:c r="J563" s="8" t="n">
        <x:f>IF(G563="yes",1,0)</x:f>
        <x:v>1</x:v>
      </x:c>
      <x:c r="K563" s="8" t="n">
        <x:f>IF(G563="no",5,IF(E563&gt;800,3,1))</x:f>
        <x:v>1</x:v>
      </x:c>
      <x:c r="L563" s="8"/>
    </x:row>
    <x:row r="564">
      <x:c r="A564" s="8" t="str">
        <x:v>evt-00557</x:v>
      </x:c>
      <x:c r="B564" s="10" t="n">
        <x:v>46245.17796296296</x:v>
      </x:c>
      <x:c r="C564" s="8" t="str">
        <x:v>Android</x:v>
      </x:c>
      <x:c r="D564" s="8" t="str">
        <x:v>file upload</x:v>
      </x:c>
      <x:c r="E564" s="12" t="n">
        <x:v>190</x:v>
      </x:c>
      <x:c r="F564" s="12" t="n">
        <x:v>243.2</x:v>
      </x:c>
      <x:c r="G564" s="8" t="str">
        <x:v>yes</x:v>
      </x:c>
      <x:c r="H564" s="8" t="n">
        <x:v>170</x:v>
      </x:c>
      <x:c r="I564" s="8" t="str">
        <x:v>The bridge callback is stable for small payloads, but large JSON messages show visible delay during navigation.</x:v>
      </x:c>
      <x:c r="J564" s="8" t="n">
        <x:f>IF(G564="yes",1,0)</x:f>
        <x:v>1</x:v>
      </x:c>
      <x:c r="K564" s="8" t="n">
        <x:f>IF(G564="no",5,IF(E564&gt;800,3,1))</x:f>
        <x:v>1</x:v>
      </x:c>
      <x:c r="L564" s="8" t="str">
        <x:v>https://github.com/react-native-webview/react-native-webview</x:v>
      </x:c>
    </x:row>
    <x:row r="565">
      <x:c r="A565" s="8" t="str">
        <x:v>evt-00558</x:v>
      </x:c>
      <x:c r="B565" s="10" t="n">
        <x:v>46277.22033564815</x:v>
      </x:c>
      <x:c r="C565" s="8" t="str">
        <x:v>Linux</x:v>
      </x:c>
      <x:c r="D565" s="8" t="str">
        <x:v>cold launch</x:v>
      </x:c>
      <x:c r="E565" s="12" t="n">
        <x:v>1459</x:v>
      </x:c>
      <x:c r="F565" s="12" t="n">
        <x:v>683.1</x:v>
      </x:c>
      <x:c r="G565" s="8" t="str">
        <x:v>yes</x:v>
      </x:c>
      <x:c r="H565" s="8" t="n">
        <x:v>134</x:v>
      </x:c>
      <x:c r="I565" s="8" t="str">
        <x:v>Observed in a local test run: the content rendered, but the console warning appeared twice.</x:v>
      </x:c>
      <x:c r="J565" s="8" t="n">
        <x:f>IF(G565="yes",1,0)</x:f>
        <x:v>1</x:v>
      </x:c>
      <x:c r="K565" s="8" t="n">
        <x:f>IF(G565="no",5,IF(E565&gt;800,3,1))</x:f>
        <x:v>3</x:v>
      </x:c>
      <x:c r="L565" s="8"/>
    </x:row>
    <x:row r="566">
      <x:c r="A566" s="8" t="str">
        <x:v>evt-00559</x:v>
      </x:c>
      <x:c r="B566" s="10" t="n">
        <x:v>46035.262708333335</x:v>
      </x:c>
      <x:c r="C566" s="8" t="str">
        <x:v>Linux</x:v>
      </x:c>
      <x:c r="D566" s="8" t="str">
        <x:v>large JSON</x:v>
      </x:c>
      <x:c r="E566" s="12" t="n">
        <x:v>383</x:v>
      </x:c>
      <x:c r="F566" s="12" t="n">
        <x:v>98.6</x:v>
      </x:c>
      <x:c r="G566" s="8" t="str">
        <x:v>yes</x:v>
      </x:c>
      <x:c r="H566" s="8" t="n">
        <x:v>351</x:v>
      </x:c>
      <x:c r="I566" s="8"/>
      <x:c r="J566" s="8" t="n">
        <x:f>IF(G566="yes",1,0)</x:f>
        <x:v>1</x:v>
      </x:c>
      <x:c r="K566" s="8" t="n">
        <x:f>IF(G566="no",5,IF(E566&gt;800,3,1))</x:f>
        <x:v>1</x:v>
      </x:c>
      <x:c r="L566" s="8" t="str">
        <x:v>https://github.com/react-native-webview/react-native-webview</x:v>
      </x:c>
    </x:row>
    <x:row r="567">
      <x:c r="A567" s="8" t="str">
        <x:v>evt-00560</x:v>
      </x:c>
      <x:c r="B567" s="10" t="n">
        <x:v>46067.305081018516</x:v>
      </x:c>
      <x:c r="C567" s="8" t="str">
        <x:v>Windows</x:v>
      </x:c>
      <x:c r="D567" s="8" t="str">
        <x:v>reload</x:v>
      </x:c>
      <x:c r="E567" s="12" t="n">
        <x:v>1160</x:v>
      </x:c>
      <x:c r="F567" s="12" t="n">
        <x:v>193.9</x:v>
      </x:c>
      <x:c r="G567" s="8" t="str">
        <x:v>yes</x:v>
      </x:c>
      <x:c r="H567" s="8" t="n">
        <x:v>891</x:v>
      </x:c>
      <x:c r="I567" s="8"/>
      <x:c r="J567" s="8" t="n">
        <x:f>IF(G567="yes",1,0)</x:f>
        <x:v>1</x:v>
      </x:c>
      <x:c r="K567" s="8" t="n">
        <x:f>IF(G567="no",5,IF(E567&gt;800,3,1))</x:f>
        <x:v>3</x:v>
      </x:c>
      <x:c r="L567" s="8" t="str">
        <x:v>https://developer.apple.com/documentation/webkit/wkwebview</x:v>
      </x:c>
    </x:row>
    <x:row r="568">
      <x:c r="A568" s="8" t="str">
        <x:v>evt-00561</x:v>
      </x:c>
      <x:c r="B568" s="10" t="n">
        <x:v>46096.347453703704</x:v>
      </x:c>
      <x:c r="C568" s="8" t="str">
        <x:v>iOS</x:v>
      </x:c>
      <x:c r="D568" s="8" t="str">
        <x:v>bridge message</x:v>
      </x:c>
      <x:c r="E568" s="12" t="n">
        <x:v>88</x:v>
      </x:c>
      <x:c r="F568" s="12" t="n">
        <x:v>438</x:v>
      </x:c>
      <x:c r="G568" s="8" t="str">
        <x:v>yes</x:v>
      </x:c>
      <x:c r="H568" s="8" t="n">
        <x:v>874</x:v>
      </x:c>
      <x:c r="I568" s="8" t="str">
        <x:v>Follow-up: compare the result when the network security policy is relaxed versus when it is enforced.</x:v>
      </x:c>
      <x:c r="J568" s="8" t="n">
        <x:f>IF(G568="yes",1,0)</x:f>
        <x:v>1</x:v>
      </x:c>
      <x:c r="K568" s="8" t="n">
        <x:f>IF(G568="no",5,IF(E568&gt;800,3,1))</x:f>
        <x:v>1</x:v>
      </x:c>
      <x:c r="L568" s="8" t="str">
        <x:v>https://github.com/react-native-webview/react-native-webview</x:v>
      </x:c>
    </x:row>
    <x:row r="569">
      <x:c r="A569" s="8" t="str">
        <x:v>evt-00562</x:v>
      </x:c>
      <x:c r="B569" s="10" t="n">
        <x:v>46128.38982638889</x:v>
      </x:c>
      <x:c r="C569" s="8" t="str">
        <x:v>Windows</x:v>
      </x:c>
      <x:c r="D569" s="8" t="str">
        <x:v>navigation</x:v>
      </x:c>
      <x:c r="E569" s="12" t="n">
        <x:v>1165</x:v>
      </x:c>
      <x:c r="F569" s="12" t="n">
        <x:v>636.4</x:v>
      </x:c>
      <x:c r="G569" s="8" t="str">
        <x:v>yes</x:v>
      </x:c>
      <x:c r="H569" s="8" t="n">
        <x:v>514</x:v>
      </x:c>
      <x:c r="I569" s="8" t="str">
        <x:v>Observed in a local test run: the content rendered, but the console warning appeared twice.</x:v>
      </x:c>
      <x:c r="J569" s="8" t="n">
        <x:f>IF(G569="yes",1,0)</x:f>
        <x:v>1</x:v>
      </x:c>
      <x:c r="K569" s="8" t="n">
        <x:f>IF(G569="no",5,IF(E569&gt;800,3,1))</x:f>
        <x:v>3</x:v>
      </x:c>
      <x:c r="L569" s="8" t="str">
        <x:v>https://developer.apple.com/documentation/webkit/wkwebview</x:v>
      </x:c>
    </x:row>
    <x:row r="570">
      <x:c r="A570" s="8" t="str">
        <x:v>evt-00563</x:v>
      </x:c>
      <x:c r="B570" s="10" t="n">
        <x:v>46159.43219907407</x:v>
      </x:c>
      <x:c r="C570" s="8" t="str">
        <x:v>iOS</x:v>
      </x:c>
      <x:c r="D570" s="8" t="str">
        <x:v>cold launch</x:v>
      </x:c>
      <x:c r="E570" s="12" t="n">
        <x:v>319</x:v>
      </x:c>
      <x:c r="F570" s="12" t="n">
        <x:v>276.8</x:v>
      </x:c>
      <x:c r="G570" s="8" t="str">
        <x:v>yes</x:v>
      </x:c>
      <x:c r="H570" s="8" t="n">
        <x:v>373</x:v>
      </x:c>
      <x:c r="I570" s="8"/>
      <x:c r="J570" s="8" t="n">
        <x:f>IF(G570="yes",1,0)</x:f>
        <x:v>1</x:v>
      </x:c>
      <x:c r="K570" s="8" t="n">
        <x:f>IF(G570="no",5,IF(E570&gt;800,3,1))</x:f>
        <x:v>1</x:v>
      </x:c>
      <x:c r="L570" s="8"/>
    </x:row>
    <x:row r="571">
      <x:c r="A571" s="8" t="str">
        <x:v>evt-00564</x:v>
      </x:c>
      <x:c r="B571" s="10" t="n">
        <x:v>46191.47457175926</x:v>
      </x:c>
      <x:c r="C571" s="8" t="str">
        <x:v>macOS</x:v>
      </x:c>
      <x:c r="D571" s="8" t="str">
        <x:v>large JSON</x:v>
      </x:c>
      <x:c r="E571" s="12" t="n">
        <x:v>726</x:v>
      </x:c>
      <x:c r="F571" s="12" t="n">
        <x:v>162.2</x:v>
      </x:c>
      <x:c r="G571" s="8" t="str">
        <x:v>no</x:v>
      </x:c>
      <x:c r="H571" s="8" t="n">
        <x:v>516</x:v>
      </x:c>
      <x:c r="I571" s="8"/>
      <x:c r="J571" s="8" t="n">
        <x:f>IF(G571="yes",1,0)</x:f>
        <x:v>0</x:v>
      </x:c>
      <x:c r="K571" s="8" t="n">
        <x:f>IF(G571="no",5,IF(E571&gt;800,3,1))</x:f>
        <x:v>5</x:v>
      </x:c>
      <x:c r="L571" s="8" t="str">
        <x:v>https://learn.microsoft.com/en-us/microsoft-edge/webview2/concepts/security</x:v>
      </x:c>
    </x:row>
    <x:row r="572">
      <x:c r="A572" s="8" t="str">
        <x:v>evt-00565</x:v>
      </x:c>
      <x:c r="B572" s="10" t="n">
        <x:v>46222.51694444445</x:v>
      </x:c>
      <x:c r="C572" s="8" t="str">
        <x:v>iOS</x:v>
      </x:c>
      <x:c r="D572" s="8" t="str">
        <x:v>file upload</x:v>
      </x:c>
      <x:c r="E572" s="12" t="n">
        <x:v>836</x:v>
      </x:c>
      <x:c r="F572" s="12" t="n">
        <x:v>139.9</x:v>
      </x:c>
      <x:c r="G572" s="8" t="str">
        <x:v>yes</x:v>
      </x:c>
      <x:c r="H572" s="8" t="n">
        <x:v>204</x:v>
      </x:c>
      <x:c r="I572" s="8" t="str">
        <x:v>Verify behavior on a cold start and after the page reloads without destroying the native view.</x:v>
      </x:c>
      <x:c r="J572" s="8" t="n">
        <x:f>IF(G572="yes",1,0)</x:f>
        <x:v>1</x:v>
      </x:c>
      <x:c r="K572" s="8" t="n">
        <x:f>IF(G572="no",5,IF(E572&gt;800,3,1))</x:f>
        <x:v>3</x:v>
      </x:c>
      <x:c r="L572" s="8"/>
    </x:row>
    <x:row r="573">
      <x:c r="A573" s="8" t="str">
        <x:v>evt-00566</x:v>
      </x:c>
      <x:c r="B573" s="10" t="n">
        <x:v>46254.55931712963</x:v>
      </x:c>
      <x:c r="C573" s="8" t="str">
        <x:v>Linux</x:v>
      </x:c>
      <x:c r="D573" s="8" t="str">
        <x:v>cold launch</x:v>
      </x:c>
      <x:c r="E573" s="12" t="n">
        <x:v>522</x:v>
      </x:c>
      <x:c r="F573" s="12" t="n">
        <x:v>484.5</x:v>
      </x:c>
      <x:c r="G573" s="8" t="str">
        <x:v>yes</x:v>
      </x:c>
      <x:c r="H573" s="8" t="n">
        <x:v>448</x:v>
      </x:c>
      <x:c r="I573" s="8" t="str">
        <x:v>Follow-up: compare the result when the network security policy is relaxed versus when it is enforced.</x:v>
      </x:c>
      <x:c r="J573" s="8" t="n">
        <x:f>IF(G573="yes",1,0)</x:f>
        <x:v>1</x:v>
      </x:c>
      <x:c r="K573" s="8" t="n">
        <x:f>IF(G573="no",5,IF(E573&gt;800,3,1))</x:f>
        <x:v>1</x:v>
      </x:c>
      <x:c r="L573" s="8"/>
    </x:row>
    <x:row r="574">
      <x:c r="A574" s="8" t="str">
        <x:v>evt-00567</x:v>
      </x:c>
      <x:c r="B574" s="10" t="n">
        <x:v>46286.601689814815</x:v>
      </x:c>
      <x:c r="C574" s="8" t="str">
        <x:v>iOS</x:v>
      </x:c>
      <x:c r="D574" s="8" t="str">
        <x:v>navigation</x:v>
      </x:c>
      <x:c r="E574" s="12" t="n">
        <x:v>668</x:v>
      </x:c>
      <x:c r="F574" s="12" t="n">
        <x:v>115.1</x:v>
      </x:c>
      <x:c r="G574" s="8" t="str">
        <x:v>yes</x:v>
      </x:c>
      <x:c r="H574" s="8" t="n">
        <x:v>336</x:v>
      </x:c>
      <x:c r="I574" s="8"/>
      <x:c r="J574" s="8" t="n">
        <x:f>IF(G574="yes",1,0)</x:f>
        <x:v>1</x:v>
      </x:c>
      <x:c r="K574" s="8" t="n">
        <x:f>IF(G574="no",5,IF(E574&gt;800,3,1))</x:f>
        <x:v>1</x:v>
      </x:c>
      <x:c r="L574" s="8" t="str">
        <x:v>https://developer.apple.com/documentation/webkit/wkwebview</x:v>
      </x:c>
    </x:row>
    <x:row r="575">
      <x:c r="A575" s="8" t="str">
        <x:v>evt-00568</x:v>
      </x:c>
      <x:c r="B575" s="10" t="n">
        <x:v>46044.6440625</x:v>
      </x:c>
      <x:c r="C575" s="8" t="str">
        <x:v>Windows</x:v>
      </x:c>
      <x:c r="D575" s="8" t="str">
        <x:v>file upload</x:v>
      </x:c>
      <x:c r="E575" s="12" t="n">
        <x:v>733</x:v>
      </x:c>
      <x:c r="F575" s="12" t="n">
        <x:v>212.6</x:v>
      </x:c>
      <x:c r="G575" s="8" t="str">
        <x:v>yes</x:v>
      </x:c>
      <x:c r="H575" s="8" t="n">
        <x:v>584</x:v>
      </x:c>
      <x:c r="I575" s="8"/>
      <x:c r="J575" s="8" t="n">
        <x:f>IF(G575="yes",1,0)</x:f>
        <x:v>1</x:v>
      </x:c>
      <x:c r="K575" s="8" t="n">
        <x:f>IF(G575="no",5,IF(E575&gt;800,3,1))</x:f>
        <x:v>1</x:v>
      </x:c>
      <x:c r="L575" s="8" t="str">
        <x:v>https://github.com/react-native-webview/react-native-webview</x:v>
      </x:c>
    </x:row>
    <x:row r="576">
      <x:c r="A576" s="8" t="str">
        <x:v>evt-00569</x:v>
      </x:c>
      <x:c r="B576" s="10" t="n">
        <x:v>46076.686435185184</x:v>
      </x:c>
      <x:c r="C576" s="8" t="str">
        <x:v>Windows</x:v>
      </x:c>
      <x:c r="D576" s="8" t="str">
        <x:v>download</x:v>
      </x:c>
      <x:c r="E576" s="12" t="n">
        <x:v>1191</x:v>
      </x:c>
      <x:c r="F576" s="12" t="n">
        <x:v>865.9</x:v>
      </x:c>
      <x:c r="G576" s="8" t="str">
        <x:v>yes</x:v>
      </x:c>
      <x:c r="H576" s="8" t="n">
        <x:v>771</x:v>
      </x:c>
      <x:c r="I576" s="8" t="str">
        <x:v>The owner field was not captured in the original notes, so classification should remain conservative.</x:v>
      </x:c>
      <x:c r="J576" s="8" t="n">
        <x:f>IF(G576="yes",1,0)</x:f>
        <x:v>1</x:v>
      </x:c>
      <x:c r="K576" s="8" t="n">
        <x:f>IF(G576="no",5,IF(E576&gt;800,3,1))</x:f>
        <x:v>3</x:v>
      </x:c>
      <x:c r="L576" s="8" t="str">
        <x:v>https://developer.android.com/reference/android/webkit/WebView</x:v>
      </x:c>
    </x:row>
    <x:row r="577">
      <x:c r="A577" s="8" t="str">
        <x:v>evt-00570</x:v>
      </x:c>
      <x:c r="B577" s="10" t="n">
        <x:v>46105.72880787037</x:v>
      </x:c>
      <x:c r="C577" s="8" t="str">
        <x:v>macOS</x:v>
      </x:c>
      <x:c r="D577" s="8" t="str">
        <x:v>bridge message</x:v>
      </x:c>
      <x:c r="E577" s="12" t="n">
        <x:v>380</x:v>
      </x:c>
      <x:c r="F577" s="12" t="n">
        <x:v>760.5</x:v>
      </x:c>
      <x:c r="G577" s="8" t="str">
        <x:v>yes</x:v>
      </x:c>
      <x:c r="H577" s="8" t="n">
        <x:v>274</x:v>
      </x:c>
      <x:c r="I577" s="8" t="str">
        <x:v>Follow-up: compare the result when the network security policy is relaxed versus when it is enforced.</x:v>
      </x:c>
      <x:c r="J577" s="8" t="n">
        <x:f>IF(G577="yes",1,0)</x:f>
        <x:v>1</x:v>
      </x:c>
      <x:c r="K577" s="8" t="n">
        <x:f>IF(G577="no",5,IF(E577&gt;800,3,1))</x:f>
        <x:v>1</x:v>
      </x:c>
      <x:c r="L577" s="8"/>
    </x:row>
    <x:row r="578">
      <x:c r="A578" s="8" t="str">
        <x:v>evt-00571</x:v>
      </x:c>
      <x:c r="B578" s="10" t="n">
        <x:v>46137.77118055556</x:v>
      </x:c>
      <x:c r="C578" s="8" t="str">
        <x:v>macOS</x:v>
      </x:c>
      <x:c r="D578" s="8" t="str">
        <x:v>cold launch</x:v>
      </x:c>
      <x:c r="E578" s="12" t="n">
        <x:v>799</x:v>
      </x:c>
      <x:c r="F578" s="12" t="n">
        <x:v>291.2</x:v>
      </x:c>
      <x:c r="G578" s="8" t="str">
        <x:v>yes</x:v>
      </x:c>
      <x:c r="H578" s="8" t="n">
        <x:v>503</x:v>
      </x:c>
      <x:c r="I578" s="8"/>
      <x:c r="J578" s="8" t="n">
        <x:f>IF(G578="yes",1,0)</x:f>
        <x:v>1</x:v>
      </x:c>
      <x:c r="K578" s="8" t="n">
        <x:f>IF(G578="no",5,IF(E578&gt;800,3,1))</x:f>
        <x:v>1</x:v>
      </x:c>
      <x:c r="L578" s="8"/>
    </x:row>
    <x:row r="579">
      <x:c r="A579" s="8" t="str">
        <x:v>evt-00572</x:v>
      </x:c>
      <x:c r="B579" s="10" t="n">
        <x:v>46168.81355324074</x:v>
      </x:c>
      <x:c r="C579" s="8" t="str">
        <x:v>Windows</x:v>
      </x:c>
      <x:c r="D579" s="8" t="str">
        <x:v>download</x:v>
      </x:c>
      <x:c r="E579" s="12" t="n">
        <x:v>1353</x:v>
      </x:c>
      <x:c r="F579" s="12" t="n">
        <x:v>643.9</x:v>
      </x:c>
      <x:c r="G579" s="8" t="str">
        <x:v>yes</x:v>
      </x:c>
      <x:c r="H579" s="8" t="n">
        <x:v>102</x:v>
      </x:c>
      <x:c r="I579" s="8" t="str">
        <x:v>The bridge callback is stable for small payloads, but large JSON messages show visible delay during navigation.</x:v>
      </x:c>
      <x:c r="J579" s="8" t="n">
        <x:f>IF(G579="yes",1,0)</x:f>
        <x:v>1</x:v>
      </x:c>
      <x:c r="K579" s="8" t="n">
        <x:f>IF(G579="no",5,IF(E579&gt;800,3,1))</x:f>
        <x:v>3</x:v>
      </x:c>
      <x:c r="L579" s="8"/>
    </x:row>
    <x:row r="580">
      <x:c r="A580" s="8" t="str">
        <x:v>evt-00573</x:v>
      </x:c>
      <x:c r="B580" s="10" t="n">
        <x:v>46174.85592592593</x:v>
      </x:c>
      <x:c r="C580" s="8" t="str">
        <x:v>iOS</x:v>
      </x:c>
      <x:c r="D580" s="8" t="str">
        <x:v>file upload</x:v>
      </x:c>
      <x:c r="E580" s="12" t="n">
        <x:v>829</x:v>
      </x:c>
      <x:c r="F580" s="12" t="n">
        <x:v>436.6</x:v>
      </x:c>
      <x:c r="G580" s="8" t="str">
        <x:v>yes</x:v>
      </x:c>
      <x:c r="H580" s="8" t="n">
        <x:v>220</x:v>
      </x:c>
      <x:c r="I580" s="8" t="str">
        <x:v>The owner field was not captured in the original notes, so classification should remain conservative.</x:v>
      </x:c>
      <x:c r="J580" s="8" t="n">
        <x:f>IF(G580="yes",1,0)</x:f>
        <x:v>1</x:v>
      </x:c>
      <x:c r="K580" s="8" t="n">
        <x:f>IF(G580="no",5,IF(E580&gt;800,3,1))</x:f>
        <x:v>3</x:v>
      </x:c>
      <x:c r="L580" s="8"/>
    </x:row>
    <x:row r="581">
      <x:c r="A581" s="8" t="str">
        <x:v>evt-00574</x:v>
      </x:c>
      <x:c r="B581" s="10" t="n">
        <x:v>46205.89829861111</x:v>
      </x:c>
      <x:c r="C581" s="8" t="str">
        <x:v>macOS</x:v>
      </x:c>
      <x:c r="D581" s="8" t="str">
        <x:v>file upload</x:v>
      </x:c>
      <x:c r="E581" s="12" t="n">
        <x:v>1048</x:v>
      </x:c>
      <x:c r="F581" s="12" t="n">
        <x:v>885.3</x:v>
      </x:c>
      <x:c r="G581" s="8" t="str">
        <x:v>yes</x:v>
      </x:c>
      <x:c r="H581" s="8" t="n">
        <x:v>347</x:v>
      </x:c>
      <x:c r="I581" s="8"/>
      <x:c r="J581" s="8" t="n">
        <x:f>IF(G581="yes",1,0)</x:f>
        <x:v>1</x:v>
      </x:c>
      <x:c r="K581" s="8" t="n">
        <x:f>IF(G581="no",5,IF(E581&gt;800,3,1))</x:f>
        <x:v>3</x:v>
      </x:c>
      <x:c r="L581" s="8" t="str">
        <x:v>https://developer.apple.com/documentation/webkit/wkwebview</x:v>
      </x:c>
    </x:row>
    <x:row r="582">
      <x:c r="A582" s="8" t="str">
        <x:v>evt-00575</x:v>
      </x:c>
      <x:c r="B582" s="10" t="n">
        <x:v>46237.940671296295</x:v>
      </x:c>
      <x:c r="C582" s="8" t="str">
        <x:v>macOS</x:v>
      </x:c>
      <x:c r="D582" s="8" t="str">
        <x:v>reload</x:v>
      </x:c>
      <x:c r="E582" s="12" t="n">
        <x:v>509</x:v>
      </x:c>
      <x:c r="F582" s="12" t="n">
        <x:v>768.7</x:v>
      </x:c>
      <x:c r="G582" s="8" t="str">
        <x:v>yes</x:v>
      </x:c>
      <x:c r="H582" s="8" t="n">
        <x:v>810</x:v>
      </x:c>
      <x:c r="I582" s="8"/>
      <x:c r="J582" s="8" t="n">
        <x:f>IF(G582="yes",1,0)</x:f>
        <x:v>1</x:v>
      </x:c>
      <x:c r="K582" s="8" t="n">
        <x:f>IF(G582="no",5,IF(E582&gt;800,3,1))</x:f>
        <x:v>1</x:v>
      </x:c>
      <x:c r="L582" s="8"/>
    </x:row>
    <x:row r="583">
      <x:c r="A583" s="8" t="str">
        <x:v>evt-00576</x:v>
      </x:c>
      <x:c r="B583" s="10" t="n">
        <x:v>46269.98304398148</x:v>
      </x:c>
      <x:c r="C583" s="8" t="str">
        <x:v>Linux</x:v>
      </x:c>
      <x:c r="D583" s="8" t="str">
        <x:v>navigation</x:v>
      </x:c>
      <x:c r="E583" s="12" t="n">
        <x:v>1320</x:v>
      </x:c>
      <x:c r="F583" s="12" t="n">
        <x:v>695.6</x:v>
      </x:c>
      <x:c r="G583" s="8" t="str">
        <x:v>yes</x:v>
      </x:c>
      <x:c r="H583" s="8" t="n">
        <x:v>834</x:v>
      </x:c>
      <x:c r="I583" s="8"/>
      <x:c r="J583" s="8" t="n">
        <x:f>IF(G583="yes",1,0)</x:f>
        <x:v>1</x:v>
      </x:c>
      <x:c r="K583" s="8" t="n">
        <x:f>IF(G583="no",5,IF(E583&gt;800,3,1))</x:f>
        <x:v>3</x:v>
      </x:c>
      <x:c r="L583" s="8" t="str">
        <x:v>https://github.com/react-native-webview/react-native-webview</x:v>
      </x:c>
    </x:row>
    <x:row r="584">
      <x:c r="A584" s="8" t="str">
        <x:v>evt-00577</x:v>
      </x:c>
      <x:c r="B584" s="10" t="n">
        <x:v>46027.025416666664</x:v>
      </x:c>
      <x:c r="C584" s="8" t="str">
        <x:v>Android</x:v>
      </x:c>
      <x:c r="D584" s="8" t="str">
        <x:v>navigation</x:v>
      </x:c>
      <x:c r="E584" s="12" t="n">
        <x:v>1167</x:v>
      </x:c>
      <x:c r="F584" s="12" t="n">
        <x:v>673.9</x:v>
      </x:c>
      <x:c r="G584" s="8" t="str">
        <x:v>yes</x:v>
      </x:c>
      <x:c r="H584" s="8" t="n">
        <x:v>106</x:v>
      </x:c>
      <x:c r="I584" s="8" t="str">
        <x:v>Follow-up: compare the result when the network security policy is relaxed versus when it is enforced.</x:v>
      </x:c>
      <x:c r="J584" s="8" t="n">
        <x:f>IF(G584="yes",1,0)</x:f>
        <x:v>1</x:v>
      </x:c>
      <x:c r="K584" s="8" t="n">
        <x:f>IF(G584="no",5,IF(E584&gt;800,3,1))</x:f>
        <x:v>3</x:v>
      </x:c>
      <x:c r="L584" s="8"/>
    </x:row>
    <x:row r="585">
      <x:c r="A585" s="8" t="str">
        <x:v>evt-00578</x:v>
      </x:c>
      <x:c r="B585" s="10" t="n">
        <x:v>46059.06778935185</x:v>
      </x:c>
      <x:c r="C585" s="8" t="str">
        <x:v>iOS</x:v>
      </x:c>
      <x:c r="D585" s="8" t="str">
        <x:v>large JSON</x:v>
      </x:c>
      <x:c r="E585" s="12" t="n">
        <x:v>1193</x:v>
      </x:c>
      <x:c r="F585" s="12" t="n">
        <x:v>498.5</x:v>
      </x:c>
      <x:c r="G585" s="8" t="str">
        <x:v>yes</x:v>
      </x:c>
      <x:c r="H585" s="8" t="n">
        <x:v>784</x:v>
      </x:c>
      <x:c r="I585" s="8"/>
      <x:c r="J585" s="8" t="n">
        <x:f>IF(G585="yes",1,0)</x:f>
        <x:v>1</x:v>
      </x:c>
      <x:c r="K585" s="8" t="n">
        <x:f>IF(G585="no",5,IF(E585&gt;800,3,1))</x:f>
        <x:v>3</x:v>
      </x:c>
      <x:c r="L585" s="8"/>
    </x:row>
    <x:row r="586">
      <x:c r="A586" s="8" t="str">
        <x:v>evt-00579</x:v>
      </x:c>
      <x:c r="B586" s="10" t="n">
        <x:v>46088.11016203704</x:v>
      </x:c>
      <x:c r="C586" s="8" t="str">
        <x:v>Windows</x:v>
      </x:c>
      <x:c r="D586" s="8" t="str">
        <x:v>navigation</x:v>
      </x:c>
      <x:c r="E586" s="12" t="n">
        <x:v>1281</x:v>
      </x:c>
      <x:c r="F586" s="12" t="n">
        <x:v>667</x:v>
      </x:c>
      <x:c r="G586" s="8" t="str">
        <x:v>yes</x:v>
      </x:c>
      <x:c r="H586" s="8" t="n">
        <x:v>121</x:v>
      </x:c>
      <x:c r="I586" s="8"/>
      <x:c r="J586" s="8" t="n">
        <x:f>IF(G586="yes",1,0)</x:f>
        <x:v>1</x:v>
      </x:c>
      <x:c r="K586" s="8" t="n">
        <x:f>IF(G586="no",5,IF(E586&gt;800,3,1))</x:f>
        <x:v>3</x:v>
      </x:c>
      <x:c r="L586" s="8"/>
    </x:row>
    <x:row r="587">
      <x:c r="A587" s="8" t="str">
        <x:v>evt-00580</x:v>
      </x:c>
      <x:c r="B587" s="10" t="n">
        <x:v>46120.15253472222</x:v>
      </x:c>
      <x:c r="C587" s="8" t="str">
        <x:v>Linux</x:v>
      </x:c>
      <x:c r="D587" s="8" t="str">
        <x:v>large JSON</x:v>
      </x:c>
      <x:c r="E587" s="12" t="n">
        <x:v>1436</x:v>
      </x:c>
      <x:c r="F587" s="12" t="n">
        <x:v>731.8</x:v>
      </x:c>
      <x:c r="G587" s="8" t="str">
        <x:v>yes</x:v>
      </x:c>
      <x:c r="H587" s="8" t="n">
        <x:v>191</x:v>
      </x:c>
      <x:c r="I587" s="8" t="str">
        <x:v>A blank cell here is intentional. The source workbook has notes placed away from the nearest table.</x:v>
      </x:c>
      <x:c r="J587" s="8" t="n">
        <x:f>IF(G587="yes",1,0)</x:f>
        <x:v>1</x:v>
      </x:c>
      <x:c r="K587" s="8" t="n">
        <x:f>IF(G587="no",5,IF(E587&gt;800,3,1))</x:f>
        <x:v>3</x:v>
      </x:c>
      <x:c r="L587" s="8"/>
    </x:row>
    <x:row r="588">
      <x:c r="A588" s="8" t="str">
        <x:v>evt-00581</x:v>
      </x:c>
      <x:c r="B588" s="10" t="n">
        <x:v>46151.19490740741</x:v>
      </x:c>
      <x:c r="C588" s="8" t="str">
        <x:v>macOS</x:v>
      </x:c>
      <x:c r="D588" s="8" t="str">
        <x:v>large JSON</x:v>
      </x:c>
      <x:c r="E588" s="12" t="n">
        <x:v>1347</x:v>
      </x:c>
      <x:c r="F588" s="12" t="n">
        <x:v>642.6</x:v>
      </x:c>
      <x:c r="G588" s="8" t="str">
        <x:v>no</x:v>
      </x:c>
      <x:c r="H588" s="8" t="n">
        <x:v>79</x:v>
      </x:c>
      <x:c r="I588" s="8"/>
      <x:c r="J588" s="8" t="n">
        <x:f>IF(G588="yes",1,0)</x:f>
        <x:v>0</x:v>
      </x:c>
      <x:c r="K588" s="8" t="n">
        <x:f>IF(G588="no",5,IF(E588&gt;800,3,1))</x:f>
        <x:v>5</x:v>
      </x:c>
      <x:c r="L588" s="8" t="str">
        <x:v>https://developer.microsoft.com/en-us/microsoft-edge/webview2/</x:v>
      </x:c>
    </x:row>
    <x:row r="589">
      <x:c r="A589" s="8" t="str">
        <x:v>evt-00582</x:v>
      </x:c>
      <x:c r="B589" s="10" t="n">
        <x:v>46183.237280092595</x:v>
      </x:c>
      <x:c r="C589" s="8" t="str">
        <x:v>Linux</x:v>
      </x:c>
      <x:c r="D589" s="8" t="str">
        <x:v>file upload</x:v>
      </x:c>
      <x:c r="E589" s="12" t="n">
        <x:v>1079</x:v>
      </x:c>
      <x:c r="F589" s="12" t="n">
        <x:v>913.4</x:v>
      </x:c>
      <x:c r="G589" s="8" t="str">
        <x:v>no</x:v>
      </x:c>
      <x:c r="H589" s="8" t="n">
        <x:v>40</x:v>
      </x:c>
      <x:c r="I589" s="8" t="str">
        <x:v>A blank cell here is intentional. The source workbook has notes placed away from the nearest table.</x:v>
      </x:c>
      <x:c r="J589" s="8" t="n">
        <x:f>IF(G589="yes",1,0)</x:f>
        <x:v>0</x:v>
      </x:c>
      <x:c r="K589" s="8" t="n">
        <x:f>IF(G589="no",5,IF(E589&gt;800,3,1))</x:f>
        <x:v>5</x:v>
      </x:c>
      <x:c r="L589" s="8"/>
    </x:row>
    <x:row r="590">
      <x:c r="A590" s="8" t="str">
        <x:v>evt-00583</x:v>
      </x:c>
      <x:c r="B590" s="10" t="n">
        <x:v>46214.279652777775</x:v>
      </x:c>
      <x:c r="C590" s="8" t="str">
        <x:v>Windows</x:v>
      </x:c>
      <x:c r="D590" s="8" t="str">
        <x:v>file upload</x:v>
      </x:c>
      <x:c r="E590" s="12" t="n">
        <x:v>411</x:v>
      </x:c>
      <x:c r="F590" s="12" t="n">
        <x:v>273.9</x:v>
      </x:c>
      <x:c r="G590" s="8" t="str">
        <x:v>yes</x:v>
      </x:c>
      <x:c r="H590" s="8" t="n">
        <x:v>562</x:v>
      </x:c>
      <x:c r="I590" s="8"/>
      <x:c r="J590" s="8" t="n">
        <x:f>IF(G590="yes",1,0)</x:f>
        <x:v>1</x:v>
      </x:c>
      <x:c r="K590" s="8" t="n">
        <x:f>IF(G590="no",5,IF(E590&gt;800,3,1))</x:f>
        <x:v>1</x:v>
      </x:c>
      <x:c r="L590" s="8"/>
    </x:row>
    <x:row r="591">
      <x:c r="A591" s="8" t="str">
        <x:v>evt-00584</x:v>
      </x:c>
      <x:c r="B591" s="10" t="n">
        <x:v>46246.32202546296</x:v>
      </x:c>
      <x:c r="C591" s="8" t="str">
        <x:v>Android</x:v>
      </x:c>
      <x:c r="D591" s="8" t="str">
        <x:v>large JSON</x:v>
      </x:c>
      <x:c r="E591" s="12" t="n">
        <x:v>595</x:v>
      </x:c>
      <x:c r="F591" s="12" t="n">
        <x:v>158.5</x:v>
      </x:c>
      <x:c r="G591" s="8" t="str">
        <x:v>yes</x:v>
      </x:c>
      <x:c r="H591" s="8" t="n">
        <x:v>11</x:v>
      </x:c>
      <x:c r="I591" s="8" t="str">
        <x:v>Potential duplicate: this paragraph is repeated in another section to test deduplication and chunk metadata.</x:v>
      </x:c>
      <x:c r="J591" s="8" t="n">
        <x:f>IF(G591="yes",1,0)</x:f>
        <x:v>1</x:v>
      </x:c>
      <x:c r="K591" s="8" t="n">
        <x:f>IF(G591="no",5,IF(E591&gt;800,3,1))</x:f>
        <x:v>1</x:v>
      </x:c>
      <x:c r="L591" s="8"/>
    </x:row>
    <x:row r="592">
      <x:c r="A592" s="8" t="str">
        <x:v>evt-00585</x:v>
      </x:c>
      <x:c r="B592" s="10" t="n">
        <x:v>46278.36439814815</x:v>
      </x:c>
      <x:c r="C592" s="8" t="str">
        <x:v>Windows</x:v>
      </x:c>
      <x:c r="D592" s="8" t="str">
        <x:v>bridge message</x:v>
      </x:c>
      <x:c r="E592" s="12" t="n">
        <x:v>1453</x:v>
      </x:c>
      <x:c r="F592" s="12" t="n">
        <x:v>144.2</x:v>
      </x:c>
      <x:c r="G592" s="8" t="str">
        <x:v>yes</x:v>
      </x:c>
      <x:c r="H592" s="8" t="n">
        <x:v>483</x:v>
      </x:c>
      <x:c r="I592" s="8" t="str">
        <x:v>Verify behavior on a cold start and after the page reloads without destroying the native view.</x:v>
      </x:c>
      <x:c r="J592" s="8" t="n">
        <x:f>IF(G592="yes",1,0)</x:f>
        <x:v>1</x:v>
      </x:c>
      <x:c r="K592" s="8" t="n">
        <x:f>IF(G592="no",5,IF(E592&gt;800,3,1))</x:f>
        <x:v>3</x:v>
      </x:c>
      <x:c r="L592" s="8"/>
    </x:row>
    <x:row r="593">
      <x:c r="A593" s="8" t="str">
        <x:v>evt-00586</x:v>
      </x:c>
      <x:c r="B593" s="10" t="n">
        <x:v>46036.40677083333</x:v>
      </x:c>
      <x:c r="C593" s="8" t="str">
        <x:v>Linux</x:v>
      </x:c>
      <x:c r="D593" s="8" t="str">
        <x:v>large JSON</x:v>
      </x:c>
      <x:c r="E593" s="12" t="n">
        <x:v>1149</x:v>
      </x:c>
      <x:c r="F593" s="12" t="n">
        <x:v>745.7</x:v>
      </x:c>
      <x:c r="G593" s="8" t="str">
        <x:v>yes</x:v>
      </x:c>
      <x:c r="H593" s="8" t="n">
        <x:v>55</x:v>
      </x:c>
      <x:c r="I593" s="8"/>
      <x:c r="J593" s="8" t="n">
        <x:f>IF(G593="yes",1,0)</x:f>
        <x:v>1</x:v>
      </x:c>
      <x:c r="K593" s="8" t="n">
        <x:f>IF(G593="no",5,IF(E593&gt;800,3,1))</x:f>
        <x:v>3</x:v>
      </x:c>
      <x:c r="L593" s="8" t="str">
        <x:v>https://developer.apple.com/documentation/webkit/wkwebview</x:v>
      </x:c>
    </x:row>
    <x:row r="594">
      <x:c r="A594" s="8" t="str">
        <x:v>evt-00587</x:v>
      </x:c>
      <x:c r="B594" s="10" t="n">
        <x:v>46068.44914351852</x:v>
      </x:c>
      <x:c r="C594" s="8" t="str">
        <x:v>Android</x:v>
      </x:c>
      <x:c r="D594" s="8" t="str">
        <x:v>navigation</x:v>
      </x:c>
      <x:c r="E594" s="12" t="n">
        <x:v>111</x:v>
      </x:c>
      <x:c r="F594" s="12" t="n">
        <x:v>860.6</x:v>
      </x:c>
      <x:c r="G594" s="8" t="str">
        <x:v>no</x:v>
      </x:c>
      <x:c r="H594" s="8" t="n">
        <x:v>248</x:v>
      </x:c>
      <x:c r="I594" s="8" t="str">
        <x:v>Verify behavior on a cold start and after the page reloads without destroying the native view.</x:v>
      </x:c>
      <x:c r="J594" s="8" t="n">
        <x:f>IF(G594="yes",1,0)</x:f>
        <x:v>0</x:v>
      </x:c>
      <x:c r="K594" s="8" t="n">
        <x:f>IF(G594="no",5,IF(E594&gt;800,3,1))</x:f>
        <x:v>5</x:v>
      </x:c>
      <x:c r="L594" s="8" t="str">
        <x:v>https://developer.android.com/reference/android/webkit/WebView</x:v>
      </x:c>
    </x:row>
    <x:row r="595">
      <x:c r="A595" s="8" t="str">
        <x:v>evt-00588</x:v>
      </x:c>
      <x:c r="B595" s="10" t="n">
        <x:v>46097.49151620371</x:v>
      </x:c>
      <x:c r="C595" s="8" t="str">
        <x:v>Windows</x:v>
      </x:c>
      <x:c r="D595" s="8" t="str">
        <x:v>file upload</x:v>
      </x:c>
      <x:c r="E595" s="12" t="n">
        <x:v>386</x:v>
      </x:c>
      <x:c r="F595" s="12" t="n">
        <x:v>106.8</x:v>
      </x:c>
      <x:c r="G595" s="8" t="str">
        <x:v>yes</x:v>
      </x:c>
      <x:c r="H595" s="8" t="n">
        <x:v>580</x:v>
      </x:c>
      <x:c r="I595" s="8"/>
      <x:c r="J595" s="8" t="n">
        <x:f>IF(G595="yes",1,0)</x:f>
        <x:v>1</x:v>
      </x:c>
      <x:c r="K595" s="8" t="n">
        <x:f>IF(G595="no",5,IF(E595&gt;800,3,1))</x:f>
        <x:v>1</x:v>
      </x:c>
      <x:c r="L595" s="8" t="str">
        <x:v>https://github.com/react-native-webview/react-native-webview</x:v>
      </x:c>
    </x:row>
    <x:row r="596">
      <x:c r="A596" s="8" t="str">
        <x:v>evt-00589</x:v>
      </x:c>
      <x:c r="B596" s="10" t="n">
        <x:v>46129.53388888889</x:v>
      </x:c>
      <x:c r="C596" s="8" t="str">
        <x:v>macOS</x:v>
      </x:c>
      <x:c r="D596" s="8" t="str">
        <x:v>file upload</x:v>
      </x:c>
      <x:c r="E596" s="12" t="n">
        <x:v>1046</x:v>
      </x:c>
      <x:c r="F596" s="12" t="n">
        <x:v>562.7</x:v>
      </x:c>
      <x:c r="G596" s="8" t="str">
        <x:v>yes</x:v>
      </x:c>
      <x:c r="H596" s="8" t="n">
        <x:v>69</x:v>
      </x:c>
      <x:c r="I596" s="8" t="str">
        <x:v>The bridge callback is stable for small payloads, but large JSON messages show visible delay during navigation.</x:v>
      </x:c>
      <x:c r="J596" s="8" t="n">
        <x:f>IF(G596="yes",1,0)</x:f>
        <x:v>1</x:v>
      </x:c>
      <x:c r="K596" s="8" t="n">
        <x:f>IF(G596="no",5,IF(E596&gt;800,3,1))</x:f>
        <x:v>3</x:v>
      </x:c>
      <x:c r="L596" s="8" t="str">
        <x:v>https://learn.microsoft.com/en-us/microsoft-edge/webview2/concepts/security</x:v>
      </x:c>
    </x:row>
    <x:row r="597">
      <x:c r="A597" s="8" t="str">
        <x:v>evt-00590</x:v>
      </x:c>
      <x:c r="B597" s="10" t="n">
        <x:v>46160.576261574075</x:v>
      </x:c>
      <x:c r="C597" s="8" t="str">
        <x:v>macOS</x:v>
      </x:c>
      <x:c r="D597" s="8" t="str">
        <x:v>bridge message</x:v>
      </x:c>
      <x:c r="E597" s="12" t="n">
        <x:v>528</x:v>
      </x:c>
      <x:c r="F597" s="12" t="n">
        <x:v>863.2</x:v>
      </x:c>
      <x:c r="G597" s="8" t="str">
        <x:v>yes</x:v>
      </x:c>
      <x:c r="H597" s="8" t="n">
        <x:v>551</x:v>
      </x:c>
      <x:c r="I597" s="8" t="str">
        <x:v>The owner field was not captured in the original notes, so classification should remain conservative.</x:v>
      </x:c>
      <x:c r="J597" s="8" t="n">
        <x:f>IF(G597="yes",1,0)</x:f>
        <x:v>1</x:v>
      </x:c>
      <x:c r="K597" s="8" t="n">
        <x:f>IF(G597="no",5,IF(E597&gt;800,3,1))</x:f>
        <x:v>1</x:v>
      </x:c>
      <x:c r="L597" s="8"/>
    </x:row>
    <x:row r="598">
      <x:c r="A598" s="8" t="str">
        <x:v>evt-00591</x:v>
      </x:c>
      <x:c r="B598" s="10" t="n">
        <x:v>46192.61863425926</x:v>
      </x:c>
      <x:c r="C598" s="8" t="str">
        <x:v>Linux</x:v>
      </x:c>
      <x:c r="D598" s="8" t="str">
        <x:v>bridge message</x:v>
      </x:c>
      <x:c r="E598" s="12" t="n">
        <x:v>296</x:v>
      </x:c>
      <x:c r="F598" s="12" t="n">
        <x:v>247</x:v>
      </x:c>
      <x:c r="G598" s="8" t="str">
        <x:v>yes</x:v>
      </x:c>
      <x:c r="H598" s="8" t="n">
        <x:v>367</x:v>
      </x:c>
      <x:c r="I598" s="8" t="str">
        <x:v>The owner field was not captured in the original notes, so classification should remain conservative.</x:v>
      </x:c>
      <x:c r="J598" s="8" t="n">
        <x:f>IF(G598="yes",1,0)</x:f>
        <x:v>1</x:v>
      </x:c>
      <x:c r="K598" s="8" t="n">
        <x:f>IF(G598="no",5,IF(E598&gt;800,3,1))</x:f>
        <x:v>1</x:v>
      </x:c>
      <x:c r="L598" s="8"/>
    </x:row>
    <x:row r="599">
      <x:c r="A599" s="8" t="str">
        <x:v>evt-00592</x:v>
      </x:c>
      <x:c r="B599" s="10" t="n">
        <x:v>46223.66100694444</x:v>
      </x:c>
      <x:c r="C599" s="8" t="str">
        <x:v>Android</x:v>
      </x:c>
      <x:c r="D599" s="8" t="str">
        <x:v>navigation</x:v>
      </x:c>
      <x:c r="E599" s="12" t="n">
        <x:v>625</x:v>
      </x:c>
      <x:c r="F599" s="12" t="n">
        <x:v>94.6</x:v>
      </x:c>
      <x:c r="G599" s="8" t="str">
        <x:v>yes</x:v>
      </x:c>
      <x:c r="H599" s="8" t="n">
        <x:v>594</x:v>
      </x:c>
      <x:c r="I599" s="8" t="str">
        <x:v>Potential duplicate: this paragraph is repeated in another section to test deduplication and chunk metadata.</x:v>
      </x:c>
      <x:c r="J599" s="8" t="n">
        <x:f>IF(G599="yes",1,0)</x:f>
        <x:v>1</x:v>
      </x:c>
      <x:c r="K599" s="8" t="n">
        <x:f>IF(G599="no",5,IF(E599&gt;800,3,1))</x:f>
        <x:v>1</x:v>
      </x:c>
      <x:c r="L599" s="8" t="str">
        <x:v>https://learn.microsoft.com/en-us/microsoft-edge/webview2/concepts/security</x:v>
      </x:c>
    </x:row>
    <x:row r="600">
      <x:c r="A600" s="8" t="str">
        <x:v>evt-00593</x:v>
      </x:c>
      <x:c r="B600" s="10" t="n">
        <x:v>46255.70337962963</x:v>
      </x:c>
      <x:c r="C600" s="8" t="str">
        <x:v>Linux</x:v>
      </x:c>
      <x:c r="D600" s="8" t="str">
        <x:v>download</x:v>
      </x:c>
      <x:c r="E600" s="12" t="n">
        <x:v>337</x:v>
      </x:c>
      <x:c r="F600" s="12" t="n">
        <x:v>531.3</x:v>
      </x:c>
      <x:c r="G600" s="8" t="str">
        <x:v>no</x:v>
      </x:c>
      <x:c r="H600" s="8" t="n">
        <x:v>527</x:v>
      </x:c>
      <x:c r="I600" s="8" t="str">
        <x:v>Verify behavior on a cold start and after the page reloads without destroying the native view.</x:v>
      </x:c>
      <x:c r="J600" s="8" t="n">
        <x:f>IF(G600="yes",1,0)</x:f>
        <x:v>0</x:v>
      </x:c>
      <x:c r="K600" s="8" t="n">
        <x:f>IF(G600="no",5,IF(E600&gt;800,3,1))</x:f>
        <x:v>5</x:v>
      </x:c>
      <x:c r="L600" s="8"/>
    </x:row>
    <x:row r="601">
      <x:c r="A601" s="8" t="str">
        <x:v>evt-00594</x:v>
      </x:c>
      <x:c r="B601" s="10" t="n">
        <x:v>46287.74575231481</x:v>
      </x:c>
      <x:c r="C601" s="8" t="str">
        <x:v>Android</x:v>
      </x:c>
      <x:c r="D601" s="8" t="str">
        <x:v>navigation</x:v>
      </x:c>
      <x:c r="E601" s="12" t="n">
        <x:v>1439</x:v>
      </x:c>
      <x:c r="F601" s="12" t="n">
        <x:v>494.5</x:v>
      </x:c>
      <x:c r="G601" s="8" t="str">
        <x:v>yes</x:v>
      </x:c>
      <x:c r="H601" s="8" t="n">
        <x:v>741</x:v>
      </x:c>
      <x:c r="I601" s="8"/>
      <x:c r="J601" s="8" t="n">
        <x:f>IF(G601="yes",1,0)</x:f>
        <x:v>1</x:v>
      </x:c>
      <x:c r="K601" s="8" t="n">
        <x:f>IF(G601="no",5,IF(E601&gt;800,3,1))</x:f>
        <x:v>3</x:v>
      </x:c>
      <x:c r="L601" s="8"/>
    </x:row>
    <x:row r="602">
      <x:c r="A602" s="8" t="str">
        <x:v>evt-00595</x:v>
      </x:c>
      <x:c r="B602" s="10" t="n">
        <x:v>46045.788125</x:v>
      </x:c>
      <x:c r="C602" s="8" t="str">
        <x:v>Android</x:v>
      </x:c>
      <x:c r="D602" s="8" t="str">
        <x:v>file upload</x:v>
      </x:c>
      <x:c r="E602" s="12" t="n">
        <x:v>1103</x:v>
      </x:c>
      <x:c r="F602" s="12" t="n">
        <x:v>501.7</x:v>
      </x:c>
      <x:c r="G602" s="8" t="str">
        <x:v>yes</x:v>
      </x:c>
      <x:c r="H602" s="8" t="n">
        <x:v>799</x:v>
      </x:c>
      <x:c r="I602" s="8" t="str">
        <x:v>This sentence is long enough to exercise wrapping and downstream chunk boundaries in Markdown output.</x:v>
      </x:c>
      <x:c r="J602" s="8" t="n">
        <x:f>IF(G602="yes",1,0)</x:f>
        <x:v>1</x:v>
      </x:c>
      <x:c r="K602" s="8" t="n">
        <x:f>IF(G602="no",5,IF(E602&gt;800,3,1))</x:f>
        <x:v>3</x:v>
      </x:c>
      <x:c r="L602" s="8" t="str">
        <x:v>https://developer.apple.com/documentation/webkit/wkwebview</x:v>
      </x:c>
    </x:row>
    <x:row r="603">
      <x:c r="A603" s="8" t="str">
        <x:v>evt-00596</x:v>
      </x:c>
      <x:c r="B603" s="10" t="n">
        <x:v>46077.83049768519</x:v>
      </x:c>
      <x:c r="C603" s="8" t="str">
        <x:v>Android</x:v>
      </x:c>
      <x:c r="D603" s="8" t="str">
        <x:v>large JSON</x:v>
      </x:c>
      <x:c r="E603" s="12" t="n">
        <x:v>58</x:v>
      </x:c>
      <x:c r="F603" s="12" t="n">
        <x:v>690.8</x:v>
      </x:c>
      <x:c r="G603" s="8" t="str">
        <x:v>yes</x:v>
      </x:c>
      <x:c r="H603" s="8" t="n">
        <x:v>321</x:v>
      </x:c>
      <x:c r="I603" s="8" t="str">
        <x:v>This sentence is long enough to exercise wrapping and downstream chunk boundaries in Markdown output.</x:v>
      </x:c>
      <x:c r="J603" s="8" t="n">
        <x:f>IF(G603="yes",1,0)</x:f>
        <x:v>1</x:v>
      </x:c>
      <x:c r="K603" s="8" t="n">
        <x:f>IF(G603="no",5,IF(E603&gt;800,3,1))</x:f>
        <x:v>1</x:v>
      </x:c>
      <x:c r="L603" s="8"/>
    </x:row>
    <x:row r="604">
      <x:c r="A604" s="8" t="str">
        <x:v>evt-00597</x:v>
      </x:c>
      <x:c r="B604" s="10" t="n">
        <x:v>46106.87287037037</x:v>
      </x:c>
      <x:c r="C604" s="8" t="str">
        <x:v>iOS</x:v>
      </x:c>
      <x:c r="D604" s="8" t="str">
        <x:v>file upload</x:v>
      </x:c>
      <x:c r="E604" s="12" t="n">
        <x:v>450</x:v>
      </x:c>
      <x:c r="F604" s="12" t="n">
        <x:v>243.1</x:v>
      </x:c>
      <x:c r="G604" s="8" t="str">
        <x:v>yes</x:v>
      </x:c>
      <x:c r="H604" s="8" t="n">
        <x:v>311</x:v>
      </x:c>
      <x:c r="I604" s="8"/>
      <x:c r="J604" s="8" t="n">
        <x:f>IF(G604="yes",1,0)</x:f>
        <x:v>1</x:v>
      </x:c>
      <x:c r="K604" s="8" t="n">
        <x:f>IF(G604="no",5,IF(E604&gt;800,3,1))</x:f>
        <x:v>1</x:v>
      </x:c>
      <x:c r="L604" s="8"/>
    </x:row>
    <x:row r="605">
      <x:c r="A605" s="8" t="str">
        <x:v>evt-00598</x:v>
      </x:c>
      <x:c r="B605" s="10" t="n">
        <x:v>46138.915243055555</x:v>
      </x:c>
      <x:c r="C605" s="8" t="str">
        <x:v>iOS</x:v>
      </x:c>
      <x:c r="D605" s="8" t="str">
        <x:v>bridge message</x:v>
      </x:c>
      <x:c r="E605" s="12" t="n">
        <x:v>389</x:v>
      </x:c>
      <x:c r="F605" s="12" t="n">
        <x:v>605.4</x:v>
      </x:c>
      <x:c r="G605" s="8" t="str">
        <x:v>yes</x:v>
      </x:c>
      <x:c r="H605" s="8" t="n">
        <x:v>166</x:v>
      </x:c>
      <x:c r="I605" s="8" t="str">
        <x:v>A blank cell here is intentional. The source workbook has notes placed away from the nearest table.</x:v>
      </x:c>
      <x:c r="J605" s="8" t="n">
        <x:f>IF(G605="yes",1,0)</x:f>
        <x:v>1</x:v>
      </x:c>
      <x:c r="K605" s="8" t="n">
        <x:f>IF(G605="no",5,IF(E605&gt;800,3,1))</x:f>
        <x:v>1</x:v>
      </x:c>
      <x:c r="L605" s="8"/>
    </x:row>
    <x:row r="606">
      <x:c r="A606" s="8" t="str">
        <x:v>evt-00599</x:v>
      </x:c>
      <x:c r="B606" s="10" t="n">
        <x:v>46143.95761574074</x:v>
      </x:c>
      <x:c r="C606" s="8" t="str">
        <x:v>Windows</x:v>
      </x:c>
      <x:c r="D606" s="8" t="str">
        <x:v>large JSON</x:v>
      </x:c>
      <x:c r="E606" s="12" t="n">
        <x:v>194</x:v>
      </x:c>
      <x:c r="F606" s="12" t="n">
        <x:v>883.8</x:v>
      </x:c>
      <x:c r="G606" s="8" t="str">
        <x:v>yes</x:v>
      </x:c>
      <x:c r="H606" s="8" t="n">
        <x:v>458</x:v>
      </x:c>
      <x:c r="I606" s="8"/>
      <x:c r="J606" s="8" t="n">
        <x:f>IF(G606="yes",1,0)</x:f>
        <x:v>1</x:v>
      </x:c>
      <x:c r="K606" s="8" t="n">
        <x:f>IF(G606="no",5,IF(E606&gt;800,3,1))</x:f>
        <x:v>1</x:v>
      </x:c>
      <x:c r="L606" s="8"/>
    </x:row>
    <x:row r="607">
      <x:c r="A607" s="8" t="str">
        <x:v>evt-00600</x:v>
      </x:c>
      <x:c r="B607" s="10" t="n">
        <x:v>46175.99998842592</x:v>
      </x:c>
      <x:c r="C607" s="8" t="str">
        <x:v>Android</x:v>
      </x:c>
      <x:c r="D607" s="8" t="str">
        <x:v>large JSON</x:v>
      </x:c>
      <x:c r="E607" s="12" t="n">
        <x:v>231</x:v>
      </x:c>
      <x:c r="F607" s="12" t="n">
        <x:v>508.4</x:v>
      </x:c>
      <x:c r="G607" s="8" t="str">
        <x:v>yes</x:v>
      </x:c>
      <x:c r="H607" s="8" t="n">
        <x:v>708</x:v>
      </x:c>
      <x:c r="I607" s="8"/>
      <x:c r="J607" s="8" t="n">
        <x:f>IF(G607="yes",1,0)</x:f>
        <x:v>1</x:v>
      </x:c>
      <x:c r="K607" s="8" t="n">
        <x:f>IF(G607="no",5,IF(E607&gt;800,3,1))</x:f>
        <x:v>1</x:v>
      </x:c>
      <x:c r="L607" s="8" t="str">
        <x:v>https://developer.android.com/reference/android/webkit/WebView</x:v>
      </x:c>
    </x:row>
    <x:row r="608">
      <x:c r="A608" s="8"/>
      <x:c r="B608" s="10"/>
      <x:c r="C608" s="8"/>
      <x:c r="D608" s="8"/>
      <x:c r="E608" s="12"/>
      <x:c r="F608" s="12"/>
      <x:c r="G608" s="8"/>
      <x:c r="H608" s="8"/>
      <x:c r="I608" s="8"/>
      <x:c r="J608" s="8" t="n">
        <x:f>IF(G608="yes",1,0)</x:f>
        <x:v>0</x:v>
      </x:c>
      <x:c r="K608" s="8" t="n">
        <x:f>IF(G608="no",5,IF(E608&gt;800,3,1))</x:f>
        <x:v>1</x:v>
      </x:c>
      <x:c r="L608" s="8"/>
    </x:row>
    <x:row r="609">
      <x:c r="A609" s="8" t="str">
        <x:v>evt-00601</x:v>
      </x:c>
      <x:c r="B609" s="10" t="n">
        <x:v>46206</x:v>
      </x:c>
      <x:c r="C609" s="8" t="str">
        <x:v>Android</x:v>
      </x:c>
      <x:c r="D609" s="8" t="str">
        <x:v>file upload</x:v>
      </x:c>
      <x:c r="E609" s="12" t="n">
        <x:v>1062</x:v>
      </x:c>
      <x:c r="F609" s="12" t="n">
        <x:v>829.2</x:v>
      </x:c>
      <x:c r="G609" s="8" t="str">
        <x:v>yes</x:v>
      </x:c>
      <x:c r="H609" s="8" t="n">
        <x:v>217</x:v>
      </x:c>
      <x:c r="I609" s="8"/>
      <x:c r="J609" s="8" t="n">
        <x:f>IF(G609="yes",1,0)</x:f>
        <x:v>1</x:v>
      </x:c>
      <x:c r="K609" s="8" t="n">
        <x:f>IF(G609="no",5,IF(E609&gt;800,3,1))</x:f>
        <x:v>3</x:v>
      </x:c>
      <x:c r="L609" s="8"/>
    </x:row>
    <x:row r="610">
      <x:c r="A610" s="8" t="str">
        <x:v>evt-00602</x:v>
      </x:c>
      <x:c r="B610" s="10" t="n">
        <x:v>46238.04237268519</x:v>
      </x:c>
      <x:c r="C610" s="8" t="str">
        <x:v>iOS</x:v>
      </x:c>
      <x:c r="D610" s="8" t="str">
        <x:v>large JSON</x:v>
      </x:c>
      <x:c r="E610" s="12" t="n">
        <x:v>1354</x:v>
      </x:c>
      <x:c r="F610" s="12" t="n">
        <x:v>194</x:v>
      </x:c>
      <x:c r="G610" s="8" t="str">
        <x:v>yes</x:v>
      </x:c>
      <x:c r="H610" s="8" t="n">
        <x:v>131</x:v>
      </x:c>
      <x:c r="I610" s="8"/>
      <x:c r="J610" s="8" t="n">
        <x:f>IF(G610="yes",1,0)</x:f>
        <x:v>1</x:v>
      </x:c>
      <x:c r="K610" s="8" t="n">
        <x:f>IF(G610="no",5,IF(E610&gt;800,3,1))</x:f>
        <x:v>3</x:v>
      </x:c>
      <x:c r="L610" s="8" t="str">
        <x:v>https://learn.microsoft.com/en-us/microsoft-edge/webview2/concepts/security</x:v>
      </x:c>
    </x:row>
    <x:row r="611">
      <x:c r="A611" s="8" t="str">
        <x:v>evt-00603</x:v>
      </x:c>
      <x:c r="B611" s="10" t="n">
        <x:v>46270.08474537037</x:v>
      </x:c>
      <x:c r="C611" s="8" t="str">
        <x:v>macOS</x:v>
      </x:c>
      <x:c r="D611" s="8" t="str">
        <x:v>file upload</x:v>
      </x:c>
      <x:c r="E611" s="12" t="n">
        <x:v>491</x:v>
      </x:c>
      <x:c r="F611" s="12" t="n">
        <x:v>852.8</x:v>
      </x:c>
      <x:c r="G611" s="8" t="str">
        <x:v>yes</x:v>
      </x:c>
      <x:c r="H611" s="8" t="n">
        <x:v>812</x:v>
      </x:c>
      <x:c r="I611" s="8" t="str">
        <x:v>Follow-up: compare the result when the network security policy is relaxed versus when it is enforced.</x:v>
      </x:c>
      <x:c r="J611" s="8" t="n">
        <x:f>IF(G611="yes",1,0)</x:f>
        <x:v>1</x:v>
      </x:c>
      <x:c r="K611" s="8" t="n">
        <x:f>IF(G611="no",5,IF(E611&gt;800,3,1))</x:f>
        <x:v>1</x:v>
      </x:c>
      <x:c r="L611" s="8"/>
    </x:row>
    <x:row r="612">
      <x:c r="A612" s="8" t="str">
        <x:v>evt-00604</x:v>
      </x:c>
      <x:c r="B612" s="10" t="n">
        <x:v>46028.127118055556</x:v>
      </x:c>
      <x:c r="C612" s="8" t="str">
        <x:v>Windows</x:v>
      </x:c>
      <x:c r="D612" s="8" t="str">
        <x:v>file upload</x:v>
      </x:c>
      <x:c r="E612" s="12" t="n">
        <x:v>611</x:v>
      </x:c>
      <x:c r="F612" s="12" t="n">
        <x:v>656.5</x:v>
      </x:c>
      <x:c r="G612" s="8" t="str">
        <x:v>yes</x:v>
      </x:c>
      <x:c r="H612" s="8" t="n">
        <x:v>239</x:v>
      </x:c>
      <x:c r="I612" s="8" t="str">
        <x:v>Verify behavior on a cold start and after the page reloads without destroying the native view.</x:v>
      </x:c>
      <x:c r="J612" s="8" t="n">
        <x:f>IF(G612="yes",1,0)</x:f>
        <x:v>1</x:v>
      </x:c>
      <x:c r="K612" s="8" t="n">
        <x:f>IF(G612="no",5,IF(E612&gt;800,3,1))</x:f>
        <x:v>1</x:v>
      </x:c>
      <x:c r="L612" s="8"/>
    </x:row>
    <x:row r="613">
      <x:c r="A613" s="8" t="str">
        <x:v>evt-00605</x:v>
      </x:c>
      <x:c r="B613" s="10" t="n">
        <x:v>46060.169490740744</x:v>
      </x:c>
      <x:c r="C613" s="8" t="str">
        <x:v>macOS</x:v>
      </x:c>
      <x:c r="D613" s="8" t="str">
        <x:v>cold launch</x:v>
      </x:c>
      <x:c r="E613" s="12" t="n">
        <x:v>402</x:v>
      </x:c>
      <x:c r="F613" s="12" t="n">
        <x:v>629.6</x:v>
      </x:c>
      <x:c r="G613" s="8" t="str">
        <x:v>no</x:v>
      </x:c>
      <x:c r="H613" s="8" t="n">
        <x:v>138</x:v>
      </x:c>
      <x:c r="I613" s="8"/>
      <x:c r="J613" s="8" t="n">
        <x:f>IF(G613="yes",1,0)</x:f>
        <x:v>0</x:v>
      </x:c>
      <x:c r="K613" s="8" t="n">
        <x:f>IF(G613="no",5,IF(E613&gt;800,3,1))</x:f>
        <x:v>5</x:v>
      </x:c>
      <x:c r="L613" s="8" t="str">
        <x:v>https://github.com/react-native-webview/react-native-webview</x:v>
      </x:c>
    </x:row>
    <x:row r="614">
      <x:c r="A614" s="8" t="str">
        <x:v>evt-00606</x:v>
      </x:c>
      <x:c r="B614" s="10" t="n">
        <x:v>46089.211863425924</x:v>
      </x:c>
      <x:c r="C614" s="8" t="str">
        <x:v>macOS</x:v>
      </x:c>
      <x:c r="D614" s="8" t="str">
        <x:v>cold launch</x:v>
      </x:c>
      <x:c r="E614" s="12" t="n">
        <x:v>874</x:v>
      </x:c>
      <x:c r="F614" s="12" t="n">
        <x:v>292.4</x:v>
      </x:c>
      <x:c r="G614" s="8" t="str">
        <x:v>yes</x:v>
      </x:c>
      <x:c r="H614" s="8" t="n">
        <x:v>673</x:v>
      </x:c>
      <x:c r="I614" s="8"/>
      <x:c r="J614" s="8" t="n">
        <x:f>IF(G614="yes",1,0)</x:f>
        <x:v>1</x:v>
      </x:c>
      <x:c r="K614" s="8" t="n">
        <x:f>IF(G614="no",5,IF(E614&gt;800,3,1))</x:f>
        <x:v>3</x:v>
      </x:c>
      <x:c r="L614" s="8" t="str">
        <x:v>https://developer.android.com/reference/android/webkit/WebView</x:v>
      </x:c>
    </x:row>
    <x:row r="615">
      <x:c r="A615" s="8" t="str">
        <x:v>evt-00607</x:v>
      </x:c>
      <x:c r="B615" s="10" t="n">
        <x:v>46121.25423611111</x:v>
      </x:c>
      <x:c r="C615" s="8" t="str">
        <x:v>Android</x:v>
      </x:c>
      <x:c r="D615" s="8" t="str">
        <x:v>large JSON</x:v>
      </x:c>
      <x:c r="E615" s="12" t="n">
        <x:v>258</x:v>
      </x:c>
      <x:c r="F615" s="12" t="n">
        <x:v>418.8</x:v>
      </x:c>
      <x:c r="G615" s="8" t="str">
        <x:v>yes</x:v>
      </x:c>
      <x:c r="H615" s="8" t="n">
        <x:v>762</x:v>
      </x:c>
      <x:c r="I615" s="8"/>
      <x:c r="J615" s="8" t="n">
        <x:f>IF(G615="yes",1,0)</x:f>
        <x:v>1</x:v>
      </x:c>
      <x:c r="K615" s="8" t="n">
        <x:f>IF(G615="no",5,IF(E615&gt;800,3,1))</x:f>
        <x:v>1</x:v>
      </x:c>
      <x:c r="L615" s="8" t="str">
        <x:v>https://github.com/react-native-webview/react-native-webview</x:v>
      </x:c>
    </x:row>
    <x:row r="616">
      <x:c r="A616" s="8" t="str">
        <x:v>evt-00608</x:v>
      </x:c>
      <x:c r="B616" s="10" t="n">
        <x:v>46152.2966087963</x:v>
      </x:c>
      <x:c r="C616" s="8" t="str">
        <x:v>macOS</x:v>
      </x:c>
      <x:c r="D616" s="8" t="str">
        <x:v>cold launch</x:v>
      </x:c>
      <x:c r="E616" s="12" t="n">
        <x:v>766</x:v>
      </x:c>
      <x:c r="F616" s="12" t="n">
        <x:v>719.2</x:v>
      </x:c>
      <x:c r="G616" s="8" t="str">
        <x:v>yes</x:v>
      </x:c>
      <x:c r="H616" s="8" t="n">
        <x:v>276</x:v>
      </x:c>
      <x:c r="I616" s="8"/>
      <x:c r="J616" s="8" t="n">
        <x:f>IF(G616="yes",1,0)</x:f>
        <x:v>1</x:v>
      </x:c>
      <x:c r="K616" s="8" t="n">
        <x:f>IF(G616="no",5,IF(E616&gt;800,3,1))</x:f>
        <x:v>1</x:v>
      </x:c>
      <x:c r="L616" s="8" t="str">
        <x:v>https://developer.microsoft.com/en-us/microsoft-edge/webview2/</x:v>
      </x:c>
    </x:row>
    <x:row r="617">
      <x:c r="A617" s="8" t="str">
        <x:v>evt-00609</x:v>
      </x:c>
      <x:c r="B617" s="10" t="n">
        <x:v>46184.33898148148</x:v>
      </x:c>
      <x:c r="C617" s="8" t="str">
        <x:v>iOS</x:v>
      </x:c>
      <x:c r="D617" s="8" t="str">
        <x:v>reload</x:v>
      </x:c>
      <x:c r="E617" s="12" t="n">
        <x:v>429</x:v>
      </x:c>
      <x:c r="F617" s="12" t="n">
        <x:v>706.5</x:v>
      </x:c>
      <x:c r="G617" s="8" t="str">
        <x:v>yes</x:v>
      </x:c>
      <x:c r="H617" s="8" t="n">
        <x:v>116</x:v>
      </x:c>
      <x:c r="I617" s="8" t="str">
        <x:v>A blank cell here is intentional. The source workbook has notes placed away from the nearest table.</x:v>
      </x:c>
      <x:c r="J617" s="8" t="n">
        <x:f>IF(G617="yes",1,0)</x:f>
        <x:v>1</x:v>
      </x:c>
      <x:c r="K617" s="8" t="n">
        <x:f>IF(G617="no",5,IF(E617&gt;800,3,1))</x:f>
        <x:v>1</x:v>
      </x:c>
      <x:c r="L617" s="8" t="str">
        <x:v>https://developer.microsoft.com/en-us/microsoft-edge/webview2/</x:v>
      </x:c>
    </x:row>
    <x:row r="618">
      <x:c r="A618" s="8" t="str">
        <x:v>evt-00610</x:v>
      </x:c>
      <x:c r="B618" s="10" t="n">
        <x:v>46215.38135416667</x:v>
      </x:c>
      <x:c r="C618" s="8" t="str">
        <x:v>Android</x:v>
      </x:c>
      <x:c r="D618" s="8" t="str">
        <x:v>file upload</x:v>
      </x:c>
      <x:c r="E618" s="12" t="n">
        <x:v>782</x:v>
      </x:c>
      <x:c r="F618" s="12" t="n">
        <x:v>656.8</x:v>
      </x:c>
      <x:c r="G618" s="8" t="str">
        <x:v>yes</x:v>
      </x:c>
      <x:c r="H618" s="8" t="n">
        <x:v>462</x:v>
      </x:c>
      <x:c r="I618" s="8" t="str">
        <x:v>Observed in a local test run: the content rendered, but the console warning appeared twice.</x:v>
      </x:c>
      <x:c r="J618" s="8" t="n">
        <x:f>IF(G618="yes",1,0)</x:f>
        <x:v>1</x:v>
      </x:c>
      <x:c r="K618" s="8" t="n">
        <x:f>IF(G618="no",5,IF(E618&gt;800,3,1))</x:f>
        <x:v>1</x:v>
      </x:c>
      <x:c r="L618" s="8" t="str">
        <x:v>https://developer.android.com/reference/android/webkit/WebView</x:v>
      </x:c>
    </x:row>
    <x:row r="619">
      <x:c r="A619" s="8" t="str">
        <x:v>evt-00611</x:v>
      </x:c>
      <x:c r="B619" s="10" t="n">
        <x:v>46247.423726851855</x:v>
      </x:c>
      <x:c r="C619" s="8" t="str">
        <x:v>iOS</x:v>
      </x:c>
      <x:c r="D619" s="8" t="str">
        <x:v>download</x:v>
      </x:c>
      <x:c r="E619" s="12" t="n">
        <x:v>584</x:v>
      </x:c>
      <x:c r="F619" s="12" t="n">
        <x:v>264.4</x:v>
      </x:c>
      <x:c r="G619" s="8" t="str">
        <x:v>yes</x:v>
      </x:c>
      <x:c r="H619" s="8" t="n">
        <x:v>170</x:v>
      </x:c>
      <x:c r="I619" s="8"/>
      <x:c r="J619" s="8" t="n">
        <x:f>IF(G619="yes",1,0)</x:f>
        <x:v>1</x:v>
      </x:c>
      <x:c r="K619" s="8" t="n">
        <x:f>IF(G619="no",5,IF(E619&gt;800,3,1))</x:f>
        <x:v>1</x:v>
      </x:c>
      <x:c r="L619" s="8"/>
    </x:row>
    <x:row r="620">
      <x:c r="A620" s="8" t="str">
        <x:v>evt-00612</x:v>
      </x:c>
      <x:c r="B620" s="10" t="n">
        <x:v>46279.466099537036</x:v>
      </x:c>
      <x:c r="C620" s="8" t="str">
        <x:v>iOS</x:v>
      </x:c>
      <x:c r="D620" s="8" t="str">
        <x:v>reload</x:v>
      </x:c>
      <x:c r="E620" s="12" t="n">
        <x:v>1214</x:v>
      </x:c>
      <x:c r="F620" s="12" t="n">
        <x:v>154.6</x:v>
      </x:c>
      <x:c r="G620" s="8" t="str">
        <x:v>yes</x:v>
      </x:c>
      <x:c r="H620" s="8" t="n">
        <x:v>86</x:v>
      </x:c>
      <x:c r="I620" s="8" t="str">
        <x:v>Follow-up: compare the result when the network security policy is relaxed versus when it is enforced.</x:v>
      </x:c>
      <x:c r="J620" s="8" t="n">
        <x:f>IF(G620="yes",1,0)</x:f>
        <x:v>1</x:v>
      </x:c>
      <x:c r="K620" s="8" t="n">
        <x:f>IF(G620="no",5,IF(E620&gt;800,3,1))</x:f>
        <x:v>3</x:v>
      </x:c>
      <x:c r="L620" s="8"/>
    </x:row>
    <x:row r="621">
      <x:c r="A621" s="8" t="str">
        <x:v>evt-00613</x:v>
      </x:c>
      <x:c r="B621" s="10" t="n">
        <x:v>46037.508472222224</x:v>
      </x:c>
      <x:c r="C621" s="8" t="str">
        <x:v>Android</x:v>
      </x:c>
      <x:c r="D621" s="8" t="str">
        <x:v>reload</x:v>
      </x:c>
      <x:c r="E621" s="12" t="n">
        <x:v>1157</x:v>
      </x:c>
      <x:c r="F621" s="12" t="n">
        <x:v>190.5</x:v>
      </x:c>
      <x:c r="G621" s="8" t="str">
        <x:v>yes</x:v>
      </x:c>
      <x:c r="H621" s="8" t="n">
        <x:v>817</x:v>
      </x:c>
      <x:c r="I621" s="8" t="str">
        <x:v>Observed in a local test run: the content rendered, but the console warning appeared twice.</x:v>
      </x:c>
      <x:c r="J621" s="8" t="n">
        <x:f>IF(G621="yes",1,0)</x:f>
        <x:v>1</x:v>
      </x:c>
      <x:c r="K621" s="8" t="n">
        <x:f>IF(G621="no",5,IF(E621&gt;800,3,1))</x:f>
        <x:v>3</x:v>
      </x:c>
      <x:c r="L621" s="8" t="str">
        <x:v>https://learn.microsoft.com/en-us/microsoft-edge/webview2/concepts/security</x:v>
      </x:c>
    </x:row>
    <x:row r="622">
      <x:c r="A622" s="8" t="str">
        <x:v>evt-00614</x:v>
      </x:c>
      <x:c r="B622" s="10" t="n">
        <x:v>46069.550844907404</x:v>
      </x:c>
      <x:c r="C622" s="8" t="str">
        <x:v>Windows</x:v>
      </x:c>
      <x:c r="D622" s="8" t="str">
        <x:v>reload</x:v>
      </x:c>
      <x:c r="E622" s="12" t="n">
        <x:v>127</x:v>
      </x:c>
      <x:c r="F622" s="12" t="n">
        <x:v>641.5</x:v>
      </x:c>
      <x:c r="G622" s="8" t="str">
        <x:v>yes</x:v>
      </x:c>
      <x:c r="H622" s="8" t="n">
        <x:v>318</x:v>
      </x:c>
      <x:c r="I622" s="8" t="str">
        <x:v>Verify behavior on a cold start and after the page reloads without destroying the native view.</x:v>
      </x:c>
      <x:c r="J622" s="8" t="n">
        <x:f>IF(G622="yes",1,0)</x:f>
        <x:v>1</x:v>
      </x:c>
      <x:c r="K622" s="8" t="n">
        <x:f>IF(G622="no",5,IF(E622&gt;800,3,1))</x:f>
        <x:v>1</x:v>
      </x:c>
      <x:c r="L622" s="8" t="str">
        <x:v>https://developer.microsoft.com/en-us/microsoft-edge/webview2/</x:v>
      </x:c>
    </x:row>
    <x:row r="623">
      <x:c r="A623" s="8" t="str">
        <x:v>evt-00615</x:v>
      </x:c>
      <x:c r="B623" s="10" t="n">
        <x:v>46098.59321759259</x:v>
      </x:c>
      <x:c r="C623" s="8" t="str">
        <x:v>iOS</x:v>
      </x:c>
      <x:c r="D623" s="8" t="str">
        <x:v>large JSON</x:v>
      </x:c>
      <x:c r="E623" s="12" t="n">
        <x:v>1109</x:v>
      </x:c>
      <x:c r="F623" s="12" t="n">
        <x:v>439.5</x:v>
      </x:c>
      <x:c r="G623" s="8" t="str">
        <x:v>yes</x:v>
      </x:c>
      <x:c r="H623" s="8" t="n">
        <x:v>510</x:v>
      </x:c>
      <x:c r="I623" s="8"/>
      <x:c r="J623" s="8" t="n">
        <x:f>IF(G623="yes",1,0)</x:f>
        <x:v>1</x:v>
      </x:c>
      <x:c r="K623" s="8" t="n">
        <x:f>IF(G623="no",5,IF(E623&gt;800,3,1))</x:f>
        <x:v>3</x:v>
      </x:c>
      <x:c r="L623" s="8" t="str">
        <x:v>https://developer.android.com/reference/android/webkit/WebView</x:v>
      </x:c>
    </x:row>
    <x:row r="624">
      <x:c r="A624" s="8" t="str">
        <x:v>evt-00616</x:v>
      </x:c>
      <x:c r="B624" s="10" t="n">
        <x:v>46130.63559027778</x:v>
      </x:c>
      <x:c r="C624" s="8" t="str">
        <x:v>Android</x:v>
      </x:c>
      <x:c r="D624" s="8" t="str">
        <x:v>file upload</x:v>
      </x:c>
      <x:c r="E624" s="12" t="n">
        <x:v>78</x:v>
      </x:c>
      <x:c r="F624" s="12" t="n">
        <x:v>524.7</x:v>
      </x:c>
      <x:c r="G624" s="8" t="str">
        <x:v>yes</x:v>
      </x:c>
      <x:c r="H624" s="8" t="n">
        <x:v>236</x:v>
      </x:c>
      <x:c r="I624" s="8"/>
      <x:c r="J624" s="8" t="n">
        <x:f>IF(G624="yes",1,0)</x:f>
        <x:v>1</x:v>
      </x:c>
      <x:c r="K624" s="8" t="n">
        <x:f>IF(G624="no",5,IF(E624&gt;800,3,1))</x:f>
        <x:v>1</x:v>
      </x:c>
      <x:c r="L624" s="8"/>
    </x:row>
    <x:row r="625">
      <x:c r="A625" s="8" t="str">
        <x:v>evt-00617</x:v>
      </x:c>
      <x:c r="B625" s="10" t="n">
        <x:v>46161.67796296296</x:v>
      </x:c>
      <x:c r="C625" s="8" t="str">
        <x:v>Linux</x:v>
      </x:c>
      <x:c r="D625" s="8" t="str">
        <x:v>download</x:v>
      </x:c>
      <x:c r="E625" s="12" t="n">
        <x:v>509</x:v>
      </x:c>
      <x:c r="F625" s="12" t="n">
        <x:v>184.6</x:v>
      </x:c>
      <x:c r="G625" s="8" t="str">
        <x:v>yes</x:v>
      </x:c>
      <x:c r="H625" s="8" t="n">
        <x:v>289</x:v>
      </x:c>
      <x:c r="I625" s="8" t="str">
        <x:v>A blank cell here is intentional. The source workbook has notes placed away from the nearest table.</x:v>
      </x:c>
      <x:c r="J625" s="8" t="n">
        <x:f>IF(G625="yes",1,0)</x:f>
        <x:v>1</x:v>
      </x:c>
      <x:c r="K625" s="8" t="n">
        <x:f>IF(G625="no",5,IF(E625&gt;800,3,1))</x:f>
        <x:v>1</x:v>
      </x:c>
      <x:c r="L625" s="8" t="str">
        <x:v>https://developer.android.com/reference/android/webkit/WebView</x:v>
      </x:c>
    </x:row>
    <x:row r="626">
      <x:c r="A626" s="8" t="str">
        <x:v>evt-00618</x:v>
      </x:c>
      <x:c r="B626" s="10" t="n">
        <x:v>46193.72033564815</x:v>
      </x:c>
      <x:c r="C626" s="8" t="str">
        <x:v>iOS</x:v>
      </x:c>
      <x:c r="D626" s="8" t="str">
        <x:v>download</x:v>
      </x:c>
      <x:c r="E626" s="12" t="n">
        <x:v>1238</x:v>
      </x:c>
      <x:c r="F626" s="12" t="n">
        <x:v>700.2</x:v>
      </x:c>
      <x:c r="G626" s="8" t="str">
        <x:v>yes</x:v>
      </x:c>
      <x:c r="H626" s="8" t="n">
        <x:v>292</x:v>
      </x:c>
      <x:c r="I626" s="8"/>
      <x:c r="J626" s="8" t="n">
        <x:f>IF(G626="yes",1,0)</x:f>
        <x:v>1</x:v>
      </x:c>
      <x:c r="K626" s="8" t="n">
        <x:f>IF(G626="no",5,IF(E626&gt;800,3,1))</x:f>
        <x:v>3</x:v>
      </x:c>
      <x:c r="L626" s="8"/>
    </x:row>
    <x:row r="627">
      <x:c r="A627" s="8" t="str">
        <x:v>evt-00619</x:v>
      </x:c>
      <x:c r="B627" s="10" t="n">
        <x:v>46224.762708333335</x:v>
      </x:c>
      <x:c r="C627" s="8" t="str">
        <x:v>Windows</x:v>
      </x:c>
      <x:c r="D627" s="8" t="str">
        <x:v>cold launch</x:v>
      </x:c>
      <x:c r="E627" s="12" t="n">
        <x:v>813</x:v>
      </x:c>
      <x:c r="F627" s="12" t="n">
        <x:v>492.3</x:v>
      </x:c>
      <x:c r="G627" s="8" t="str">
        <x:v>yes</x:v>
      </x:c>
      <x:c r="H627" s="8" t="n">
        <x:v>278</x:v>
      </x:c>
      <x:c r="I627" s="8" t="str">
        <x:v>The owner field was not captured in the original notes, so classification should remain conservative.</x:v>
      </x:c>
      <x:c r="J627" s="8" t="n">
        <x:f>IF(G627="yes",1,0)</x:f>
        <x:v>1</x:v>
      </x:c>
      <x:c r="K627" s="8" t="n">
        <x:f>IF(G627="no",5,IF(E627&gt;800,3,1))</x:f>
        <x:v>3</x:v>
      </x:c>
      <x:c r="L627" s="8" t="str">
        <x:v>https://developer.android.com/reference/android/webkit/WebView</x:v>
      </x:c>
    </x:row>
    <x:row r="628">
      <x:c r="A628" s="8" t="str">
        <x:v>evt-00620</x:v>
      </x:c>
      <x:c r="B628" s="10" t="n">
        <x:v>46256.805081018516</x:v>
      </x:c>
      <x:c r="C628" s="8" t="str">
        <x:v>Linux</x:v>
      </x:c>
      <x:c r="D628" s="8" t="str">
        <x:v>download</x:v>
      </x:c>
      <x:c r="E628" s="12" t="n">
        <x:v>319</x:v>
      </x:c>
      <x:c r="F628" s="12" t="n">
        <x:v>886.2</x:v>
      </x:c>
      <x:c r="G628" s="8" t="str">
        <x:v>yes</x:v>
      </x:c>
      <x:c r="H628" s="8" t="n">
        <x:v>611</x:v>
      </x:c>
      <x:c r="I628" s="8"/>
      <x:c r="J628" s="8" t="n">
        <x:f>IF(G628="yes",1,0)</x:f>
        <x:v>1</x:v>
      </x:c>
      <x:c r="K628" s="8" t="n">
        <x:f>IF(G628="no",5,IF(E628&gt;800,3,1))</x:f>
        <x:v>1</x:v>
      </x:c>
      <x:c r="L628" s="8"/>
    </x:row>
    <x:row r="629">
      <x:c r="A629" s="9"/>
      <x:c r="B629" s="11"/>
      <x:c r="C629" s="9"/>
      <x:c r="D629" s="9"/>
      <x:c r="E629" s="13"/>
      <x:c r="F629" s="13"/>
      <x:c r="G629" s="9"/>
      <x:c r="H629" s="9"/>
      <x:c r="I629" s="9"/>
      <x:c r="J629" s="9" t="n">
        <x:f>IF(G629="yes",1,0)</x:f>
        <x:v>0</x:v>
      </x:c>
      <x:c r="K629" s="9" t="n">
        <x:f>IF(G629="no",5,IF(E629&gt;800,3,1))</x:f>
        <x:v>1</x:v>
      </x:c>
      <x:c r="L629" s="9"/>
    </x:row>
    <x:row r="630">
      <x:c r="A630" s="9"/>
      <x:c r="B630" s="11"/>
      <x:c r="C630" s="9"/>
      <x:c r="D630" s="9"/>
      <x:c r="E630" s="13"/>
      <x:c r="F630" s="13"/>
      <x:c r="G630" s="9"/>
      <x:c r="H630" s="9"/>
      <x:c r="I630" s="9"/>
      <x:c r="J630" s="9" t="n">
        <x:f>IF(G630="yes",1,0)</x:f>
        <x:v>0</x:v>
      </x:c>
      <x:c r="K630" s="9" t="n">
        <x:f>IF(G630="no",5,IF(E630&gt;800,3,1))</x:f>
        <x:v>1</x:v>
      </x:c>
      <x:c r="L630" s="9"/>
    </x:row>
    <x:row r="631">
      <x:c r="A631" s="9"/>
      <x:c r="B631" s="11"/>
      <x:c r="C631" s="9"/>
      <x:c r="D631" s="9"/>
      <x:c r="E631" s="13"/>
      <x:c r="F631" s="13"/>
      <x:c r="G631" s="9"/>
      <x:c r="H631" s="9"/>
      <x:c r="I631" s="9"/>
      <x:c r="J631" s="9" t="n">
        <x:f>IF(G631="yes",1,0)</x:f>
        <x:v>0</x:v>
      </x:c>
      <x:c r="K631" s="9" t="n">
        <x:f>IF(G631="no",5,IF(E631&gt;800,3,1))</x:f>
        <x:v>1</x:v>
      </x:c>
      <x:c r="L631" s="9"/>
    </x:row>
    <x:row r="632">
      <x:c r="A632" s="9"/>
      <x:c r="B632" s="11"/>
      <x:c r="C632" s="9"/>
      <x:c r="D632" s="9"/>
      <x:c r="E632" s="13"/>
      <x:c r="F632" s="13"/>
      <x:c r="G632" s="9"/>
      <x:c r="H632" s="9"/>
      <x:c r="I632" s="9"/>
      <x:c r="J632" s="9" t="n">
        <x:f>IF(G632="yes",1,0)</x:f>
        <x:v>0</x:v>
      </x:c>
      <x:c r="K632" s="9" t="n">
        <x:f>IF(G632="no",5,IF(E632&gt;800,3,1))</x:f>
        <x:v>1</x:v>
      </x:c>
      <x:c r="L632" s="9"/>
    </x:row>
    <x:row r="633">
      <x:c r="A633" s="9"/>
      <x:c r="B633" s="11"/>
      <x:c r="C633" s="9"/>
      <x:c r="D633" s="9"/>
      <x:c r="E633" s="13"/>
      <x:c r="F633" s="13"/>
      <x:c r="G633" s="9"/>
      <x:c r="H633" s="9"/>
      <x:c r="I633" s="9"/>
      <x:c r="J633" s="9" t="n">
        <x:f>IF(G633="yes",1,0)</x:f>
        <x:v>0</x:v>
      </x:c>
      <x:c r="K633" s="9" t="n">
        <x:f>IF(G633="no",5,IF(E633&gt;800,3,1))</x:f>
        <x:v>1</x:v>
      </x:c>
      <x:c r="L633" s="9"/>
    </x:row>
    <x:row r="634">
      <x:c r="A634" s="9"/>
      <x:c r="B634" s="11"/>
      <x:c r="C634" s="9"/>
      <x:c r="D634" s="9"/>
      <x:c r="E634" s="13"/>
      <x:c r="F634" s="13"/>
      <x:c r="G634" s="9"/>
      <x:c r="H634" s="9"/>
      <x:c r="I634" s="9"/>
      <x:c r="J634" s="9" t="n">
        <x:f>IF(G634="yes",1,0)</x:f>
        <x:v>0</x:v>
      </x:c>
      <x:c r="K634" s="9" t="n">
        <x:f>IF(G634="no",5,IF(E634&gt;800,3,1))</x:f>
        <x:v>1</x:v>
      </x:c>
      <x:c r="L634" s="9"/>
    </x:row>
    <x:row r="635">
      <x:c r="A635" s="9"/>
      <x:c r="B635" s="11"/>
      <x:c r="C635" s="9"/>
      <x:c r="D635" s="9"/>
      <x:c r="E635" s="13"/>
      <x:c r="F635" s="13"/>
      <x:c r="G635" s="9"/>
      <x:c r="H635" s="9"/>
      <x:c r="I635" s="9"/>
      <x:c r="J635" s="9" t="n">
        <x:f>IF(G635="yes",1,0)</x:f>
        <x:v>0</x:v>
      </x:c>
      <x:c r="K635" s="9" t="n">
        <x:f>IF(G635="no",5,IF(E635&gt;800,3,1))</x:f>
        <x:v>1</x:v>
      </x:c>
      <x:c r="L635" s="9"/>
    </x:row>
    <x:row r="636">
      <x:c r="A636" s="9"/>
      <x:c r="B636" s="11"/>
      <x:c r="C636" s="9"/>
      <x:c r="D636" s="9"/>
      <x:c r="E636" s="13"/>
      <x:c r="F636" s="13"/>
      <x:c r="G636" s="9"/>
      <x:c r="H636" s="9"/>
      <x:c r="I636" s="9"/>
      <x:c r="J636" s="9" t="n">
        <x:f>IF(G636="yes",1,0)</x:f>
        <x:v>0</x:v>
      </x:c>
      <x:c r="K636" s="9" t="n">
        <x:f>IF(G636="no",5,IF(E636&gt;800,3,1))</x:f>
        <x:v>1</x:v>
      </x:c>
      <x:c r="L636" s="9"/>
    </x:row>
    <x:row r="637">
      <x:c r="A637" s="9"/>
      <x:c r="B637" s="11"/>
      <x:c r="C637" s="9"/>
      <x:c r="D637" s="9"/>
      <x:c r="E637" s="13"/>
      <x:c r="F637" s="13"/>
      <x:c r="G637" s="9"/>
      <x:c r="H637" s="9"/>
      <x:c r="I637" s="9"/>
      <x:c r="J637" s="9" t="n">
        <x:f>IF(G637="yes",1,0)</x:f>
        <x:v>0</x:v>
      </x:c>
      <x:c r="K637" s="9" t="n">
        <x:f>IF(G637="no",5,IF(E637&gt;800,3,1))</x:f>
        <x:v>1</x:v>
      </x:c>
      <x:c r="L637" s="9"/>
    </x:row>
    <x:row r="638">
      <x:c r="A638" s="9"/>
      <x:c r="B638" s="11"/>
      <x:c r="C638" s="9"/>
      <x:c r="D638" s="9"/>
      <x:c r="E638" s="13"/>
      <x:c r="F638" s="13"/>
      <x:c r="G638" s="9"/>
      <x:c r="H638" s="9"/>
      <x:c r="I638" s="9"/>
      <x:c r="J638" s="9" t="n">
        <x:f>IF(G638="yes",1,0)</x:f>
        <x:v>0</x:v>
      </x:c>
      <x:c r="K638" s="9" t="n">
        <x:f>IF(G638="no",5,IF(E638&gt;800,3,1))</x:f>
        <x:v>1</x:v>
      </x:c>
      <x:c r="L638" s="9"/>
    </x:row>
    <x:row r="639">
      <x:c r="A639" s="9"/>
      <x:c r="B639" s="11"/>
      <x:c r="C639" s="9"/>
      <x:c r="D639" s="9"/>
      <x:c r="E639" s="13"/>
      <x:c r="F639" s="13"/>
      <x:c r="G639" s="9"/>
      <x:c r="H639" s="9"/>
      <x:c r="I639" s="9"/>
      <x:c r="J639" s="9" t="n">
        <x:f>IF(G639="yes",1,0)</x:f>
        <x:v>0</x:v>
      </x:c>
      <x:c r="K639" s="9" t="n">
        <x:f>IF(G639="no",5,IF(E639&gt;800,3,1))</x:f>
        <x:v>1</x:v>
      </x:c>
      <x:c r="L639" s="9"/>
    </x:row>
    <x:row r="640">
      <x:c r="A640" s="9"/>
      <x:c r="B640" s="11"/>
      <x:c r="C640" s="9"/>
      <x:c r="D640" s="9"/>
      <x:c r="E640" s="13"/>
      <x:c r="F640" s="13"/>
      <x:c r="G640" s="9"/>
      <x:c r="H640" s="9"/>
      <x:c r="I640" s="9"/>
      <x:c r="J640" s="9" t="n">
        <x:f>IF(G640="yes",1,0)</x:f>
        <x:v>0</x:v>
      </x:c>
      <x:c r="K640" s="9" t="n">
        <x:f>IF(G640="no",5,IF(E640&gt;800,3,1))</x:f>
        <x:v>1</x:v>
      </x:c>
      <x:c r="L640" s="9"/>
    </x:row>
    <x:row r="641">
      <x:c r="A641" s="9"/>
      <x:c r="B641" s="11"/>
      <x:c r="C641" s="9"/>
      <x:c r="D641" s="9"/>
      <x:c r="E641" s="13"/>
      <x:c r="F641" s="13"/>
      <x:c r="G641" s="9"/>
      <x:c r="H641" s="9"/>
      <x:c r="I641" s="9"/>
      <x:c r="J641" s="9" t="n">
        <x:f>IF(G641="yes",1,0)</x:f>
        <x:v>0</x:v>
      </x:c>
      <x:c r="K641" s="9" t="n">
        <x:f>IF(G641="no",5,IF(E641&gt;800,3,1))</x:f>
        <x:v>1</x:v>
      </x:c>
      <x:c r="L641" s="9"/>
    </x:row>
    <x:row r="642">
      <x:c r="A642" s="9"/>
      <x:c r="B642" s="11"/>
      <x:c r="C642" s="9"/>
      <x:c r="D642" s="9"/>
      <x:c r="E642" s="13"/>
      <x:c r="F642" s="13"/>
      <x:c r="G642" s="9"/>
      <x:c r="H642" s="9"/>
      <x:c r="I642" s="9"/>
      <x:c r="J642" s="9" t="n">
        <x:f>IF(G642="yes",1,0)</x:f>
        <x:v>0</x:v>
      </x:c>
      <x:c r="K642" s="9" t="n">
        <x:f>IF(G642="no",5,IF(E642&gt;800,3,1))</x:f>
        <x:v>1</x:v>
      </x:c>
      <x:c r="L642" s="9"/>
    </x:row>
    <x:row r="643">
      <x:c r="A643" s="9"/>
      <x:c r="B643" s="11"/>
      <x:c r="C643" s="9"/>
      <x:c r="D643" s="9"/>
      <x:c r="E643" s="13"/>
      <x:c r="F643" s="13"/>
      <x:c r="G643" s="9"/>
      <x:c r="H643" s="9"/>
      <x:c r="I643" s="9"/>
      <x:c r="J643" s="9" t="n">
        <x:f>IF(G643="yes",1,0)</x:f>
        <x:v>0</x:v>
      </x:c>
      <x:c r="K643" s="9" t="n">
        <x:f>IF(G643="no",5,IF(E643&gt;800,3,1))</x:f>
        <x:v>1</x:v>
      </x:c>
      <x:c r="L643" s="9"/>
    </x:row>
    <x:row r="644">
      <x:c r="A644" s="9"/>
      <x:c r="B644" s="11"/>
      <x:c r="C644" s="9"/>
      <x:c r="D644" s="9"/>
      <x:c r="E644" s="13"/>
      <x:c r="F644" s="13"/>
      <x:c r="G644" s="9"/>
      <x:c r="H644" s="9"/>
      <x:c r="I644" s="9"/>
      <x:c r="J644" s="9" t="n">
        <x:f>IF(G644="yes",1,0)</x:f>
        <x:v>0</x:v>
      </x:c>
      <x:c r="K644" s="9" t="n">
        <x:f>IF(G644="no",5,IF(E644&gt;800,3,1))</x:f>
        <x:v>1</x:v>
      </x:c>
      <x:c r="L644" s="9"/>
    </x:row>
    <x:row r="645">
      <x:c r="A645" s="9"/>
      <x:c r="B645" s="11"/>
      <x:c r="C645" s="9"/>
      <x:c r="D645" s="9"/>
      <x:c r="E645" s="13"/>
      <x:c r="F645" s="13"/>
      <x:c r="G645" s="9"/>
      <x:c r="H645" s="9"/>
      <x:c r="I645" s="9"/>
      <x:c r="J645" s="9" t="n">
        <x:f>IF(G645="yes",1,0)</x:f>
        <x:v>0</x:v>
      </x:c>
      <x:c r="K645" s="9" t="n">
        <x:f>IF(G645="no",5,IF(E645&gt;800,3,1))</x:f>
        <x:v>1</x:v>
      </x:c>
      <x:c r="L645" s="9"/>
    </x:row>
    <x:row r="646">
      <x:c r="A646" s="9"/>
      <x:c r="B646" s="11"/>
      <x:c r="C646" s="9"/>
      <x:c r="D646" s="9"/>
      <x:c r="E646" s="13"/>
      <x:c r="F646" s="13"/>
      <x:c r="G646" s="9"/>
      <x:c r="H646" s="9"/>
      <x:c r="I646" s="9"/>
      <x:c r="J646" s="9" t="n">
        <x:f>IF(G646="yes",1,0)</x:f>
        <x:v>0</x:v>
      </x:c>
      <x:c r="K646" s="9" t="n">
        <x:f>IF(G646="no",5,IF(E646&gt;800,3,1))</x:f>
        <x:v>1</x:v>
      </x:c>
      <x:c r="L646" s="9"/>
    </x:row>
    <x:row r="647">
      <x:c r="A647" s="9"/>
      <x:c r="B647" s="11"/>
      <x:c r="C647" s="9"/>
      <x:c r="D647" s="9"/>
      <x:c r="E647" s="13"/>
      <x:c r="F647" s="13"/>
      <x:c r="G647" s="9"/>
      <x:c r="H647" s="9"/>
      <x:c r="I647" s="9"/>
      <x:c r="J647" s="9" t="n">
        <x:f>IF(G647="yes",1,0)</x:f>
        <x:v>0</x:v>
      </x:c>
      <x:c r="K647" s="9" t="n">
        <x:f>IF(G647="no",5,IF(E647&gt;800,3,1))</x:f>
        <x:v>1</x:v>
      </x:c>
      <x:c r="L647" s="9"/>
    </x:row>
    <x:row r="648">
      <x:c r="A648" s="9"/>
      <x:c r="B648" s="11"/>
      <x:c r="C648" s="9"/>
      <x:c r="D648" s="9"/>
      <x:c r="E648" s="13"/>
      <x:c r="F648" s="13"/>
      <x:c r="G648" s="9"/>
      <x:c r="H648" s="9"/>
      <x:c r="I648" s="9"/>
      <x:c r="J648" s="9" t="n">
        <x:f>IF(G648="yes",1,0)</x:f>
        <x:v>0</x:v>
      </x:c>
      <x:c r="K648" s="9" t="n">
        <x:f>IF(G648="no",5,IF(E648&gt;800,3,1))</x:f>
        <x:v>1</x:v>
      </x:c>
      <x:c r="L648" s="9"/>
    </x:row>
    <x:row r="649">
      <x:c r="A649" s="9"/>
      <x:c r="B649" s="11"/>
      <x:c r="C649" s="9"/>
      <x:c r="D649" s="9"/>
      <x:c r="E649" s="13"/>
      <x:c r="F649" s="13"/>
      <x:c r="G649" s="9"/>
      <x:c r="H649" s="9"/>
      <x:c r="I649" s="9"/>
      <x:c r="J649" s="9" t="n">
        <x:f>IF(G649="yes",1,0)</x:f>
        <x:v>0</x:v>
      </x:c>
      <x:c r="K649" s="9" t="n">
        <x:f>IF(G649="no",5,IF(E649&gt;800,3,1))</x:f>
        <x:v>1</x:v>
      </x:c>
      <x:c r="L649" s="9"/>
    </x:row>
    <x:row r="650">
      <x:c r="A650" s="9"/>
      <x:c r="B650" s="11"/>
      <x:c r="C650" s="9"/>
      <x:c r="D650" s="9"/>
      <x:c r="E650" s="13"/>
      <x:c r="F650" s="13"/>
      <x:c r="G650" s="9"/>
      <x:c r="H650" s="9"/>
      <x:c r="I650" s="9"/>
      <x:c r="J650" s="9" t="n">
        <x:f>IF(G650="yes",1,0)</x:f>
        <x:v>0</x:v>
      </x:c>
      <x:c r="K650" s="9" t="n">
        <x:f>IF(G650="no",5,IF(E650&gt;800,3,1))</x:f>
        <x:v>1</x:v>
      </x:c>
      <x:c r="L650" s="9"/>
    </x:row>
  </x:sheetData>
  <x:mergeCells>
    <x:mergeCell ref="A1:L1"/>
  </x:mergeCells>
  <x:pageMargins left="0.7" right="0.7" top="0.75" bottom="0.75" header="0.3" footer="0.3"/>
</x:worksheet>
</file>

<file path=xl/worksheets/sheet9.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5" hidden="0" customWidth="1"/>
    <x:col min="2" max="2" width="23" hidden="0" customWidth="1"/>
    <x:col min="3" max="3" width="16" hidden="0" customWidth="1"/>
    <x:col min="4" max="4" width="22" hidden="0" customWidth="1"/>
    <x:col min="5" max="5" width="16" hidden="0" customWidth="1"/>
    <x:col min="6" max="6" width="13" hidden="0" customWidth="1"/>
    <x:col min="7" max="7" width="40" hidden="0" customWidth="1"/>
    <x:col min="8" max="8" width="50" hidden="0" customWidth="1"/>
    <x:col min="9" max="9" width="20" hidden="0" customWidth="1"/>
  </x:cols>
  <x:sheetData>
    <x:row r="1">
      <x:c r="A1" s="8"/>
      <x:c r="B1" s="8"/>
      <x:c r="C1" s="7" t="str">
        <x:v>Release timeline</x:v>
      </x:c>
      <x:c r="D1" s="7"/>
      <x:c r="E1" s="7"/>
      <x:c r="F1" s="7"/>
      <x:c r="G1" s="7"/>
      <x:c r="H1" s="7"/>
      <x:c r="I1" s="7"/>
    </x:row>
    <x:row r="2">
      <x:c r="A2" s="4" t="str">
        <x:v>Date</x:v>
      </x:c>
      <x:c r="B2" s="4" t="str">
        <x:v>Milestone</x:v>
      </x:c>
      <x:c r="C2" s="4" t="str">
        <x:v>Platform</x:v>
      </x:c>
      <x:c r="D2" s="4" t="str">
        <x:v>Decision</x:v>
      </x:c>
      <x:c r="E2" s="4" t="str">
        <x:v>Owner</x:v>
      </x:c>
      <x:c r="F2" s="4" t="str">
        <x:v>Risk</x:v>
      </x:c>
      <x:c r="G2" s="4" t="str">
        <x:v>Evidence</x:v>
      </x:c>
      <x:c r="H2" s="4" t="str">
        <x:v>Notes</x:v>
      </x:c>
      <x:c r="I2" s="4"/>
    </x:row>
    <x:row r="3">
      <x:c r="A3" s="8"/>
      <x:c r="B3" s="8"/>
      <x:c r="C3" s="8"/>
      <x:c r="D3" s="8"/>
      <x:c r="E3" s="8"/>
      <x:c r="F3" s="8"/>
      <x:c r="G3" s="8"/>
      <x:c r="H3" s="8"/>
      <x:c r="I3" s="8"/>
    </x:row>
    <x:row r="4">
      <x:c r="A4" s="8" t="str">
        <x:v>2026-01-01</x:v>
      </x:c>
      <x:c r="B4" s="8" t="str">
        <x:v>pilot</x:v>
      </x:c>
      <x:c r="C4" s="8" t="str">
        <x:v>Linux</x:v>
      </x:c>
      <x:c r="D4" s="8" t="str">
        <x:v>collect more data</x:v>
      </x:c>
      <x:c r="E4" s="8" t="str">
        <x:v>Diego</x:v>
      </x:c>
      <x:c r="F4" s="8" t="str">
        <x:v>unrated</x:v>
      </x:c>
      <x:c r="G4" s="8" t="str">
        <x:v>https://developer.microsoft.com/en-us/microsoft-edge/webview2/</x:v>
      </x:c>
      <x:c r="H4" s="8"/>
      <x:c r="I4" s="8"/>
    </x:row>
    <x:row r="5">
      <x:c r="A5" s="8" t="str">
        <x:v>2026-02-02</x:v>
      </x:c>
      <x:c r="B5" s="8" t="str">
        <x:v>prototype</x:v>
      </x:c>
      <x:c r="C5" s="8" t="str">
        <x:v>Windows</x:v>
      </x:c>
      <x:c r="D5" s="8" t="str">
        <x:v>collect more data</x:v>
      </x:c>
      <x:c r="E5" s="8" t="str">
        <x:v>Diego</x:v>
      </x:c>
      <x:c r="F5" s="8" t="str">
        <x:v>low</x:v>
      </x:c>
      <x:c r="G5" s="8" t="str">
        <x:v>https://developer.apple.com/documentation/webkit/wkwebview</x:v>
      </x:c>
      <x:c r="H5" s="8" t="str">
        <x:v>Follow-up: compare the result when the network security policy is relaxed versus when it is enforced.</x:v>
      </x:c>
      <x:c r="I5" s="8"/>
    </x:row>
    <x:row r="6">
      <x:c r="A6" s="8" t="str">
        <x:v>2026-03-03</x:v>
      </x:c>
      <x:c r="B6" s="8" t="str">
        <x:v>release candidate</x:v>
      </x:c>
      <x:c r="C6" s="8" t="str">
        <x:v>iOS</x:v>
      </x:c>
      <x:c r="D6" s="8" t="str">
        <x:v>unknown</x:v>
      </x:c>
      <x:c r="E6" s="8" t="str">
        <x:v>No owner</x:v>
      </x:c>
      <x:c r="F6" s="8" t="str">
        <x:v>low</x:v>
      </x:c>
      <x:c r="G6" s="8" t="str">
        <x:v>https://developer.android.com/reference/android/webkit/WebView</x:v>
      </x:c>
      <x:c r="H6" s="8"/>
      <x:c r="I6" s="8"/>
    </x:row>
    <x:row r="7">
      <x:c r="A7" s="8" t="str">
        <x:v>2026-04-04</x:v>
      </x:c>
      <x:c r="B7" s="8" t="str">
        <x:v>release candidate</x:v>
      </x:c>
      <x:c r="C7" s="8" t="str">
        <x:v>macOS</x:v>
      </x:c>
      <x:c r="D7" s="8" t="str">
        <x:v>unknown</x:v>
      </x:c>
      <x:c r="E7" s="8" t="str">
        <x:v>Diego</x:v>
      </x:c>
      <x:c r="F7" s="8" t="str">
        <x:v>unrated</x:v>
      </x:c>
      <x:c r="G7" s="8" t="str">
        <x:v>https://developer.microsoft.com/en-us/microsoft-edge/webview2/</x:v>
      </x:c>
      <x:c r="H7" s="8" t="str">
        <x:v>The bridge callback is stable for small payloads, but large JSON messages show visible delay during navigation.</x:v>
      </x:c>
      <x:c r="I7" s="8"/>
    </x:row>
    <x:row r="8">
      <x:c r="A8" s="8" t="str">
        <x:v>2026-05-05</x:v>
      </x:c>
      <x:c r="B8" s="8" t="str">
        <x:v>pilot</x:v>
      </x:c>
      <x:c r="C8" s="8" t="str">
        <x:v>Windows</x:v>
      </x:c>
      <x:c r="D8" s="8" t="str">
        <x:v>unknown</x:v>
      </x:c>
      <x:c r="E8" s="8" t="str">
        <x:v>Ben</x:v>
      </x:c>
      <x:c r="F8" s="8" t="str">
        <x:v>high</x:v>
      </x:c>
      <x:c r="G8" s="8"/>
      <x:c r="H8" s="8" t="str">
        <x:v>This sentence is long enough to exercise wrapping and downstream chunk boundaries in Markdown output.</x:v>
      </x:c>
      <x:c r="I8" s="8"/>
    </x:row>
    <x:row r="9">
      <x:c r="A9" s="8" t="str">
        <x:v>2026-06-06</x:v>
      </x:c>
      <x:c r="B9" s="8" t="str">
        <x:v>release candidate</x:v>
      </x:c>
      <x:c r="C9" s="8" t="str">
        <x:v>Android</x:v>
      </x:c>
      <x:c r="D9" s="8" t="str">
        <x:v>ship</x:v>
      </x:c>
      <x:c r="E9" s="8" t="str">
        <x:v>No owner</x:v>
      </x:c>
      <x:c r="F9" s="8" t="str">
        <x:v>unrated</x:v>
      </x:c>
      <x:c r="G9" s="8" t="str">
        <x:v>https://github.com/react-native-webview/react-native-webview</x:v>
      </x:c>
      <x:c r="H9" s="8"/>
      <x:c r="I9" s="8"/>
    </x:row>
    <x:row r="10">
      <x:c r="A10" s="8" t="str">
        <x:v>2026-07-07</x:v>
      </x:c>
      <x:c r="B10" s="8" t="str">
        <x:v>rollback check</x:v>
      </x:c>
      <x:c r="C10" s="8" t="str">
        <x:v>Android</x:v>
      </x:c>
      <x:c r="D10" s="8" t="str">
        <x:v>ship</x:v>
      </x:c>
      <x:c r="E10" s="8" t="str">
        <x:v>Mei</x:v>
      </x:c>
      <x:c r="F10" s="8" t="str">
        <x:v>medium</x:v>
      </x:c>
      <x:c r="G10" s="8" t="str">
        <x:v>https://developer.apple.com/documentation/webkit/wkwebview</x:v>
      </x:c>
      <x:c r="H10" s="8" t="str">
        <x:v>The owner field was not captured in the original notes, so classification should remain conservative.</x:v>
      </x:c>
      <x:c r="I10" s="8"/>
    </x:row>
    <x:row r="11">
      <x:c r="A11" s="8" t="str">
        <x:v>2026-08-08</x:v>
      </x:c>
      <x:c r="B11" s="8" t="str">
        <x:v>rollback check</x:v>
      </x:c>
      <x:c r="C11" s="8" t="str">
        <x:v>macOS</x:v>
      </x:c>
      <x:c r="D11" s="8" t="str">
        <x:v>unknown</x:v>
      </x:c>
      <x:c r="E11" s="8" t="str">
        <x:v>Mei</x:v>
      </x:c>
      <x:c r="F11" s="8" t="str">
        <x:v>medium</x:v>
      </x:c>
      <x:c r="G11" s="8"/>
      <x:c r="H11" s="8" t="str">
        <x:v>The bridge callback is stable for small payloads, but large JSON messages show visible delay during navigation.</x:v>
      </x:c>
      <x:c r="I11" s="8"/>
    </x:row>
    <x:row r="12">
      <x:c r="A12" s="8" t="str">
        <x:v>2026-09-09</x:v>
      </x:c>
      <x:c r="B12" s="8" t="str">
        <x:v>performance pass</x:v>
      </x:c>
      <x:c r="C12" s="8" t="str">
        <x:v>Android</x:v>
      </x:c>
      <x:c r="D12" s="8" t="str">
        <x:v>hold</x:v>
      </x:c>
      <x:c r="E12" s="8" t="str">
        <x:v>Asha</x:v>
      </x:c>
      <x:c r="F12" s="8" t="str">
        <x:v>medium</x:v>
      </x:c>
      <x:c r="G12" s="8"/>
      <x:c r="H12" s="8"/>
      <x:c r="I12" s="8"/>
    </x:row>
    <x:row r="13">
      <x:c r="A13" s="8" t="str">
        <x:v>2026-01-10</x:v>
      </x:c>
      <x:c r="B13" s="8" t="str">
        <x:v>security review</x:v>
      </x:c>
      <x:c r="C13" s="8" t="str">
        <x:v>Android</x:v>
      </x:c>
      <x:c r="D13" s="8" t="str">
        <x:v>hold</x:v>
      </x:c>
      <x:c r="E13" s="8" t="str">
        <x:v>Carla</x:v>
      </x:c>
      <x:c r="F13" s="8" t="str">
        <x:v>medium</x:v>
      </x:c>
      <x:c r="G13" s="8" t="str">
        <x:v>https://developer.apple.com/documentation/webkit/wkwebview</x:v>
      </x:c>
      <x:c r="H13" s="8" t="str">
        <x:v>Observed in a local test run: the content rendered, but the console warning appeared twice.</x:v>
      </x:c>
      <x:c r="I13" s="8"/>
    </x:row>
    <x:row r="14">
      <x:c r="A14" s="8" t="str">
        <x:v>2026-02-11</x:v>
      </x:c>
      <x:c r="B14" s="8" t="str">
        <x:v>prototype</x:v>
      </x:c>
      <x:c r="C14" s="8" t="str">
        <x:v>Windows</x:v>
      </x:c>
      <x:c r="D14" s="8" t="str">
        <x:v>hold</x:v>
      </x:c>
      <x:c r="E14" s="8" t="str">
        <x:v>Carla</x:v>
      </x:c>
      <x:c r="F14" s="8" t="str">
        <x:v>medium</x:v>
      </x:c>
      <x:c r="G14" s="8" t="str">
        <x:v>https://github.com/react-native-webview/react-native-webview</x:v>
      </x:c>
      <x:c r="H14" s="8"/>
      <x:c r="I14" s="8"/>
    </x:row>
    <x:row r="15">
      <x:c r="A15" s="8"/>
      <x:c r="B15" s="8"/>
      <x:c r="C15" s="8"/>
      <x:c r="D15" s="8"/>
      <x:c r="E15" s="8"/>
      <x:c r="F15" s="8"/>
      <x:c r="G15" s="8"/>
      <x:c r="H15" s="8"/>
      <x:c r="I15" s="8"/>
    </x:row>
    <x:row r="16">
      <x:c r="A16" s="8" t="str">
        <x:v>2026-03-12</x:v>
      </x:c>
      <x:c r="B16" s="8" t="str">
        <x:v>pilot</x:v>
      </x:c>
      <x:c r="C16" s="8" t="str">
        <x:v>Windows</x:v>
      </x:c>
      <x:c r="D16" s="8" t="str">
        <x:v>unknown</x:v>
      </x:c>
      <x:c r="E16" s="8" t="str">
        <x:v>Mei</x:v>
      </x:c>
      <x:c r="F16" s="8" t="str">
        <x:v>high</x:v>
      </x:c>
      <x:c r="G16" s="8" t="str">
        <x:v>https://github.com/react-native-webview/react-native-webview</x:v>
      </x:c>
      <x:c r="H16" s="8"/>
      <x:c r="I16" s="8"/>
    </x:row>
    <x:row r="17">
      <x:c r="A17" s="8" t="str">
        <x:v>2026-04-13</x:v>
      </x:c>
      <x:c r="B17" s="8" t="str">
        <x:v>performance pass</x:v>
      </x:c>
      <x:c r="C17" s="8" t="str">
        <x:v>Windows</x:v>
      </x:c>
      <x:c r="D17" s="8" t="str">
        <x:v>unknown</x:v>
      </x:c>
      <x:c r="E17" s="8" t="str">
        <x:v>Carla</x:v>
      </x:c>
      <x:c r="F17" s="8" t="str">
        <x:v>high</x:v>
      </x:c>
      <x:c r="G17" s="8" t="str">
        <x:v>https://developer.android.com/reference/android/webkit/WebView</x:v>
      </x:c>
      <x:c r="H17" s="8" t="str">
        <x:v>The bridge callback is stable for small payloads, but large JSON messages show visible delay during navigation.</x:v>
      </x:c>
      <x:c r="I17" s="8"/>
    </x:row>
    <x:row r="18">
      <x:c r="A18" s="8" t="str">
        <x:v>2026-05-14</x:v>
      </x:c>
      <x:c r="B18" s="8" t="str">
        <x:v>rollback check</x:v>
      </x:c>
      <x:c r="C18" s="8" t="str">
        <x:v>macOS</x:v>
      </x:c>
      <x:c r="D18" s="8" t="str">
        <x:v>unknown</x:v>
      </x:c>
      <x:c r="E18" s="8" t="str">
        <x:v>Mei</x:v>
      </x:c>
      <x:c r="F18" s="8" t="str">
        <x:v>medium</x:v>
      </x:c>
      <x:c r="G18" s="8"/>
      <x:c r="H18" s="8" t="str">
        <x:v>Verify behavior on a cold start and after the page reloads without destroying the native view.</x:v>
      </x:c>
      <x:c r="I18" s="8"/>
    </x:row>
    <x:row r="19">
      <x:c r="A19" s="8" t="str">
        <x:v>2026-06-15</x:v>
      </x:c>
      <x:c r="B19" s="8" t="str">
        <x:v>performance pass</x:v>
      </x:c>
      <x:c r="C19" s="8" t="str">
        <x:v>Windows</x:v>
      </x:c>
      <x:c r="D19" s="8" t="str">
        <x:v>ship</x:v>
      </x:c>
      <x:c r="E19" s="8" t="str">
        <x:v>Asha</x:v>
      </x:c>
      <x:c r="F19" s="8" t="str">
        <x:v>low</x:v>
      </x:c>
      <x:c r="G19" s="8"/>
      <x:c r="H19" s="8" t="str">
        <x:v>Potential duplicate: this paragraph is repeated in another section to test deduplication and chunk metadata.</x:v>
      </x:c>
      <x:c r="I19" s="8"/>
    </x:row>
    <x:row r="20">
      <x:c r="A20" s="8" t="str">
        <x:v>2026-07-16</x:v>
      </x:c>
      <x:c r="B20" s="8" t="str">
        <x:v>prototype</x:v>
      </x:c>
      <x:c r="C20" s="8" t="str">
        <x:v>iOS</x:v>
      </x:c>
      <x:c r="D20" s="8" t="str">
        <x:v>collect more data</x:v>
      </x:c>
      <x:c r="E20" s="8" t="str">
        <x:v>Mei</x:v>
      </x:c>
      <x:c r="F20" s="8" t="str">
        <x:v>unrated</x:v>
      </x:c>
      <x:c r="G20" s="8" t="str">
        <x:v>https://developer.android.com/reference/android/webkit/WebView</x:v>
      </x:c>
      <x:c r="H20" s="8"/>
      <x:c r="I20" s="8"/>
    </x:row>
    <x:row r="21">
      <x:c r="A21" s="8" t="str">
        <x:v>2026-08-17</x:v>
      </x:c>
      <x:c r="B21" s="8" t="str">
        <x:v>prototype</x:v>
      </x:c>
      <x:c r="C21" s="8" t="str">
        <x:v>Windows</x:v>
      </x:c>
      <x:c r="D21" s="8" t="str">
        <x:v>unknown</x:v>
      </x:c>
      <x:c r="E21" s="8" t="str">
        <x:v>Asha</x:v>
      </x:c>
      <x:c r="F21" s="8" t="str">
        <x:v>high</x:v>
      </x:c>
      <x:c r="G21" s="8"/>
      <x:c r="H21" s="8" t="str">
        <x:v>The bridge callback is stable for small payloads, but large JSON messages show visible delay during navigation.</x:v>
      </x:c>
      <x:c r="I21" s="8"/>
    </x:row>
    <x:row r="22">
      <x:c r="A22" s="8" t="str">
        <x:v>2026-09-18</x:v>
      </x:c>
      <x:c r="B22" s="8" t="str">
        <x:v>rollback check</x:v>
      </x:c>
      <x:c r="C22" s="8" t="str">
        <x:v>macOS</x:v>
      </x:c>
      <x:c r="D22" s="8" t="str">
        <x:v>unknown</x:v>
      </x:c>
      <x:c r="E22" s="8" t="str">
        <x:v>Mei</x:v>
      </x:c>
      <x:c r="F22" s="8" t="str">
        <x:v>medium</x:v>
      </x:c>
      <x:c r="G22" s="8"/>
      <x:c r="H22" s="8" t="str">
        <x:v>Observed in a local test run: the content rendered, but the console warning appeared twice.</x:v>
      </x:c>
      <x:c r="I22" s="8"/>
    </x:row>
    <x:row r="23">
      <x:c r="A23" s="8" t="str">
        <x:v>2026-01-19</x:v>
      </x:c>
      <x:c r="B23" s="8" t="str">
        <x:v>prototype</x:v>
      </x:c>
      <x:c r="C23" s="8" t="str">
        <x:v>iOS</x:v>
      </x:c>
      <x:c r="D23" s="8" t="str">
        <x:v>unknown</x:v>
      </x:c>
      <x:c r="E23" s="8" t="str">
        <x:v>No owner</x:v>
      </x:c>
      <x:c r="F23" s="8" t="str">
        <x:v>medium</x:v>
      </x:c>
      <x:c r="G23" s="8"/>
      <x:c r="H23" s="8"/>
      <x:c r="I23" s="8"/>
    </x:row>
    <x:row r="24">
      <x:c r="A24" s="8" t="str">
        <x:v>2026-02-20</x:v>
      </x:c>
      <x:c r="B24" s="8" t="str">
        <x:v>rollback check</x:v>
      </x:c>
      <x:c r="C24" s="8" t="str">
        <x:v>macOS</x:v>
      </x:c>
      <x:c r="D24" s="8" t="str">
        <x:v>hold</x:v>
      </x:c>
      <x:c r="E24" s="8" t="str">
        <x:v>Ben</x:v>
      </x:c>
      <x:c r="F24" s="8" t="str">
        <x:v>medium</x:v>
      </x:c>
      <x:c r="G24" s="8" t="str">
        <x:v>https://developer.apple.com/documentation/webkit/wkwebview</x:v>
      </x:c>
      <x:c r="H24" s="8" t="str">
        <x:v>This sentence is long enough to exercise wrapping and downstream chunk boundaries in Markdown output.</x:v>
      </x:c>
      <x:c r="I24" s="8"/>
    </x:row>
    <x:row r="25">
      <x:c r="A25" s="8" t="str">
        <x:v>2026-03-21</x:v>
      </x:c>
      <x:c r="B25" s="8" t="str">
        <x:v>security review</x:v>
      </x:c>
      <x:c r="C25" s="8" t="str">
        <x:v>Windows</x:v>
      </x:c>
      <x:c r="D25" s="8" t="str">
        <x:v>unknown</x:v>
      </x:c>
      <x:c r="E25" s="8" t="str">
        <x:v>Asha</x:v>
      </x:c>
      <x:c r="F25" s="8" t="str">
        <x:v>medium</x:v>
      </x:c>
      <x:c r="G25" s="8"/>
      <x:c r="H25" s="8" t="str">
        <x:v>The bridge callback is stable for small payloads, but large JSON messages show visible delay during navigation.</x:v>
      </x:c>
      <x:c r="I25" s="8"/>
    </x:row>
    <x:row r="26">
      <x:c r="A26" s="8" t="str">
        <x:v>2026-04-22</x:v>
      </x:c>
      <x:c r="B26" s="8" t="str">
        <x:v>performance pass</x:v>
      </x:c>
      <x:c r="C26" s="8" t="str">
        <x:v>Linux</x:v>
      </x:c>
      <x:c r="D26" s="8" t="str">
        <x:v>hold</x:v>
      </x:c>
      <x:c r="E26" s="8" t="str">
        <x:v>No owner</x:v>
      </x:c>
      <x:c r="F26" s="8" t="str">
        <x:v>high</x:v>
      </x:c>
      <x:c r="G26" s="8" t="str">
        <x:v>https://developer.apple.com/documentation/webkit/wkwebview</x:v>
      </x:c>
      <x:c r="H26" s="8" t="str">
        <x:v>Observed in a local test run: the content rendered, but the console warning appeared twice.</x:v>
      </x:c>
      <x:c r="I26" s="8"/>
    </x:row>
    <x:row r="27">
      <x:c r="A27" s="8"/>
      <x:c r="B27" s="8"/>
      <x:c r="C27" s="8"/>
      <x:c r="D27" s="8"/>
      <x:c r="E27" s="8"/>
      <x:c r="F27" s="8"/>
      <x:c r="G27" s="8"/>
      <x:c r="H27" s="8"/>
      <x:c r="I27" s="8"/>
    </x:row>
    <x:row r="28">
      <x:c r="A28" s="8" t="str">
        <x:v>2026-05-23</x:v>
      </x:c>
      <x:c r="B28" s="8" t="str">
        <x:v>prototype</x:v>
      </x:c>
      <x:c r="C28" s="8" t="str">
        <x:v>Linux</x:v>
      </x:c>
      <x:c r="D28" s="8" t="str">
        <x:v>collect more data</x:v>
      </x:c>
      <x:c r="E28" s="8" t="str">
        <x:v>Diego</x:v>
      </x:c>
      <x:c r="F28" s="8" t="str">
        <x:v>unrated</x:v>
      </x:c>
      <x:c r="G28" s="8" t="str">
        <x:v>https://developer.android.com/reference/android/webkit/WebView</x:v>
      </x:c>
      <x:c r="H28" s="8" t="str">
        <x:v>The owner field was not captured in the original notes, so classification should remain conservative.</x:v>
      </x:c>
      <x:c r="I28" s="8"/>
    </x:row>
    <x:row r="29">
      <x:c r="A29" s="8" t="str">
        <x:v>2026-06-24</x:v>
      </x:c>
      <x:c r="B29" s="8" t="str">
        <x:v>release candidate</x:v>
      </x:c>
      <x:c r="C29" s="8" t="str">
        <x:v>Android</x:v>
      </x:c>
      <x:c r="D29" s="8" t="str">
        <x:v>unknown</x:v>
      </x:c>
      <x:c r="E29" s="8" t="str">
        <x:v>Mei</x:v>
      </x:c>
      <x:c r="F29" s="8" t="str">
        <x:v>unrated</x:v>
      </x:c>
      <x:c r="G29" s="8" t="str">
        <x:v>https://developer.microsoft.com/en-us/microsoft-edge/webview2/</x:v>
      </x:c>
      <x:c r="H29" s="8"/>
      <x:c r="I29" s="8"/>
    </x:row>
    <x:row r="30">
      <x:c r="A30" s="8" t="str">
        <x:v>2026-07-25</x:v>
      </x:c>
      <x:c r="B30" s="8" t="str">
        <x:v>prototype</x:v>
      </x:c>
      <x:c r="C30" s="8" t="str">
        <x:v>Android</x:v>
      </x:c>
      <x:c r="D30" s="8" t="str">
        <x:v>collect more data</x:v>
      </x:c>
      <x:c r="E30" s="8" t="str">
        <x:v>Diego</x:v>
      </x:c>
      <x:c r="F30" s="8" t="str">
        <x:v>high</x:v>
      </x:c>
      <x:c r="G30" s="8" t="str">
        <x:v>https://developer.android.com/reference/android/webkit/WebView</x:v>
      </x:c>
      <x:c r="H30" s="8" t="str">
        <x:v>The owner field was not captured in the original notes, so classification should remain conservative.</x:v>
      </x:c>
      <x:c r="I30" s="8"/>
    </x:row>
    <x:row r="31">
      <x:c r="A31" s="8" t="str">
        <x:v>2026-08-26</x:v>
      </x:c>
      <x:c r="B31" s="8" t="str">
        <x:v>pilot</x:v>
      </x:c>
      <x:c r="C31" s="8" t="str">
        <x:v>Android</x:v>
      </x:c>
      <x:c r="D31" s="8" t="str">
        <x:v>unknown</x:v>
      </x:c>
      <x:c r="E31" s="8" t="str">
        <x:v>Mei</x:v>
      </x:c>
      <x:c r="F31" s="8" t="str">
        <x:v>unrated</x:v>
      </x:c>
      <x:c r="G31" s="8" t="str">
        <x:v>https://learn.microsoft.com/en-us/microsoft-edge/webview2/concepts/security</x:v>
      </x:c>
      <x:c r="H31" s="8" t="str">
        <x:v>This sentence is long enough to exercise wrapping and downstream chunk boundaries in Markdown output.</x:v>
      </x:c>
      <x:c r="I31" s="8"/>
    </x:row>
    <x:row r="32">
      <x:c r="A32" s="8" t="str">
        <x:v>2026-09-27</x:v>
      </x:c>
      <x:c r="B32" s="8" t="str">
        <x:v>release candidate</x:v>
      </x:c>
      <x:c r="C32" s="8" t="str">
        <x:v>iOS</x:v>
      </x:c>
      <x:c r="D32" s="8" t="str">
        <x:v>collect more data</x:v>
      </x:c>
      <x:c r="E32" s="8" t="str">
        <x:v>No owner</x:v>
      </x:c>
      <x:c r="F32" s="8" t="str">
        <x:v>medium</x:v>
      </x:c>
      <x:c r="G32" s="8"/>
      <x:c r="H32" s="8"/>
      <x:c r="I32" s="8"/>
    </x:row>
    <x:row r="33">
      <x:c r="A33" s="8" t="str">
        <x:v>2026-01-01</x:v>
      </x:c>
      <x:c r="B33" s="8" t="str">
        <x:v>rollback check</x:v>
      </x:c>
      <x:c r="C33" s="8" t="str">
        <x:v>iOS</x:v>
      </x:c>
      <x:c r="D33" s="8" t="str">
        <x:v>hold</x:v>
      </x:c>
      <x:c r="E33" s="8" t="str">
        <x:v>Carla</x:v>
      </x:c>
      <x:c r="F33" s="8" t="str">
        <x:v>medium</x:v>
      </x:c>
      <x:c r="G33" s="8"/>
      <x:c r="H33" s="8" t="str">
        <x:v>Verify behavior on a cold start and after the page reloads without destroying the native view.</x:v>
      </x:c>
      <x:c r="I33" s="8"/>
    </x:row>
    <x:row r="34">
      <x:c r="A34" s="8" t="str">
        <x:v>2026-02-02</x:v>
      </x:c>
      <x:c r="B34" s="8" t="str">
        <x:v>security review</x:v>
      </x:c>
      <x:c r="C34" s="8" t="str">
        <x:v>Windows</x:v>
      </x:c>
      <x:c r="D34" s="8" t="str">
        <x:v>collect more data</x:v>
      </x:c>
      <x:c r="E34" s="8" t="str">
        <x:v>Carla</x:v>
      </x:c>
      <x:c r="F34" s="8" t="str">
        <x:v>low</x:v>
      </x:c>
      <x:c r="G34" s="8" t="str">
        <x:v>https://developer.microsoft.com/en-us/microsoft-edge/webview2/</x:v>
      </x:c>
      <x:c r="H34" s="8" t="str">
        <x:v>Potential duplicate: this paragraph is repeated in another section to test deduplication and chunk metadata.</x:v>
      </x:c>
      <x:c r="I34" s="8"/>
    </x:row>
    <x:row r="35">
      <x:c r="A35" s="8" t="str">
        <x:v>2026-03-03</x:v>
      </x:c>
      <x:c r="B35" s="8" t="str">
        <x:v>security review</x:v>
      </x:c>
      <x:c r="C35" s="8" t="str">
        <x:v>iOS</x:v>
      </x:c>
      <x:c r="D35" s="8" t="str">
        <x:v>collect more data</x:v>
      </x:c>
      <x:c r="E35" s="8" t="str">
        <x:v>Asha</x:v>
      </x:c>
      <x:c r="F35" s="8" t="str">
        <x:v>unrated</x:v>
      </x:c>
      <x:c r="G35" s="8"/>
      <x:c r="H35" s="8" t="str">
        <x:v>Observed in a local test run: the content rendered, but the console warning appeared twice.</x:v>
      </x:c>
      <x:c r="I35" s="8"/>
    </x:row>
    <x:row r="36">
      <x:c r="A36" s="8" t="str">
        <x:v>2026-04-04</x:v>
      </x:c>
      <x:c r="B36" s="8" t="str">
        <x:v>rollback check</x:v>
      </x:c>
      <x:c r="C36" s="8" t="str">
        <x:v>Android</x:v>
      </x:c>
      <x:c r="D36" s="8" t="str">
        <x:v>ship</x:v>
      </x:c>
      <x:c r="E36" s="8" t="str">
        <x:v>Diego</x:v>
      </x:c>
      <x:c r="F36" s="8" t="str">
        <x:v>medium</x:v>
      </x:c>
      <x:c r="G36" s="8" t="str">
        <x:v>https://developer.apple.com/documentation/webkit/wkwebview</x:v>
      </x:c>
      <x:c r="H36" s="8" t="str">
        <x:v>The bridge callback is stable for small payloads, but large JSON messages show visible delay during navigation.</x:v>
      </x:c>
      <x:c r="I36" s="8"/>
    </x:row>
    <x:row r="37">
      <x:c r="A37" s="8" t="str">
        <x:v>2026-05-05</x:v>
      </x:c>
      <x:c r="B37" s="8" t="str">
        <x:v>pilot</x:v>
      </x:c>
      <x:c r="C37" s="8" t="str">
        <x:v>iOS</x:v>
      </x:c>
      <x:c r="D37" s="8" t="str">
        <x:v>collect more data</x:v>
      </x:c>
      <x:c r="E37" s="8" t="str">
        <x:v>Carla</x:v>
      </x:c>
      <x:c r="F37" s="8" t="str">
        <x:v>low</x:v>
      </x:c>
      <x:c r="G37" s="8"/>
      <x:c r="H37" s="8" t="str">
        <x:v>This sentence is long enough to exercise wrapping and downstream chunk boundaries in Markdown output.</x:v>
      </x:c>
      <x:c r="I37" s="8"/>
    </x:row>
    <x:row r="38">
      <x:c r="A38" s="8" t="str">
        <x:v>2026-06-06</x:v>
      </x:c>
      <x:c r="B38" s="8" t="str">
        <x:v>security review</x:v>
      </x:c>
      <x:c r="C38" s="8" t="str">
        <x:v>Linux</x:v>
      </x:c>
      <x:c r="D38" s="8" t="str">
        <x:v>unknown</x:v>
      </x:c>
      <x:c r="E38" s="8" t="str">
        <x:v>No owner</x:v>
      </x:c>
      <x:c r="F38" s="8" t="str">
        <x:v>high</x:v>
      </x:c>
      <x:c r="G38" s="8" t="str">
        <x:v>https://developer.microsoft.com/en-us/microsoft-edge/webview2/</x:v>
      </x:c>
      <x:c r="H38" s="8"/>
      <x:c r="I38" s="8"/>
    </x:row>
    <x:row r="39">
      <x:c r="A39" s="8"/>
      <x:c r="B39" s="8"/>
      <x:c r="C39" s="8"/>
      <x:c r="D39" s="8"/>
      <x:c r="E39" s="8"/>
      <x:c r="F39" s="8"/>
      <x:c r="G39" s="8"/>
      <x:c r="H39" s="8"/>
      <x:c r="I39" s="8"/>
    </x:row>
    <x:row r="40">
      <x:c r="A40" s="8" t="str">
        <x:v>2026-07-07</x:v>
      </x:c>
      <x:c r="B40" s="8" t="str">
        <x:v>pilot</x:v>
      </x:c>
      <x:c r="C40" s="8" t="str">
        <x:v>Windows</x:v>
      </x:c>
      <x:c r="D40" s="8" t="str">
        <x:v>unknown</x:v>
      </x:c>
      <x:c r="E40" s="8" t="str">
        <x:v>Mei</x:v>
      </x:c>
      <x:c r="F40" s="8" t="str">
        <x:v>medium</x:v>
      </x:c>
      <x:c r="G40" s="8" t="str">
        <x:v>https://developer.android.com/reference/android/webkit/WebView</x:v>
      </x:c>
      <x:c r="H40" s="8"/>
      <x:c r="I40" s="8"/>
    </x:row>
    <x:row r="41">
      <x:c r="A41" s="8" t="str">
        <x:v>2026-08-08</x:v>
      </x:c>
      <x:c r="B41" s="8" t="str">
        <x:v>release candidate</x:v>
      </x:c>
      <x:c r="C41" s="8" t="str">
        <x:v>macOS</x:v>
      </x:c>
      <x:c r="D41" s="8" t="str">
        <x:v>hold</x:v>
      </x:c>
      <x:c r="E41" s="8" t="str">
        <x:v>Mei</x:v>
      </x:c>
      <x:c r="F41" s="8" t="str">
        <x:v>high</x:v>
      </x:c>
      <x:c r="G41" s="8" t="str">
        <x:v>https://learn.microsoft.com/en-us/microsoft-edge/webview2/concepts/security</x:v>
      </x:c>
      <x:c r="H41" s="8"/>
      <x:c r="I41" s="8"/>
    </x:row>
    <x:row r="42">
      <x:c r="A42" s="8" t="str">
        <x:v>2026-09-09</x:v>
      </x:c>
      <x:c r="B42" s="8" t="str">
        <x:v>rollback check</x:v>
      </x:c>
      <x:c r="C42" s="8" t="str">
        <x:v>Linux</x:v>
      </x:c>
      <x:c r="D42" s="8" t="str">
        <x:v>hold</x:v>
      </x:c>
      <x:c r="E42" s="8" t="str">
        <x:v>Diego</x:v>
      </x:c>
      <x:c r="F42" s="8" t="str">
        <x:v>high</x:v>
      </x:c>
      <x:c r="G42" s="8" t="str">
        <x:v>https://github.com/react-native-webview/react-native-webview</x:v>
      </x:c>
      <x:c r="H42" s="8" t="str">
        <x:v>Potential duplicate: this paragraph is repeated in another section to test deduplication and chunk metadata.</x:v>
      </x:c>
      <x:c r="I42" s="8"/>
    </x:row>
    <x:row r="43">
      <x:c r="A43" s="8" t="str">
        <x:v>2026-01-10</x:v>
      </x:c>
      <x:c r="B43" s="8" t="str">
        <x:v>security review</x:v>
      </x:c>
      <x:c r="C43" s="8" t="str">
        <x:v>Linux</x:v>
      </x:c>
      <x:c r="D43" s="8" t="str">
        <x:v>hold</x:v>
      </x:c>
      <x:c r="E43" s="8" t="str">
        <x:v>Mei</x:v>
      </x:c>
      <x:c r="F43" s="8" t="str">
        <x:v>low</x:v>
      </x:c>
      <x:c r="G43" s="8"/>
      <x:c r="H43" s="8" t="str">
        <x:v>Potential duplicate: this paragraph is repeated in another section to test deduplication and chunk metadata.</x:v>
      </x:c>
      <x:c r="I43" s="8"/>
    </x:row>
    <x:row r="44">
      <x:c r="A44" s="8" t="str">
        <x:v>2026-02-11</x:v>
      </x:c>
      <x:c r="B44" s="8" t="str">
        <x:v>rollback check</x:v>
      </x:c>
      <x:c r="C44" s="8" t="str">
        <x:v>iOS</x:v>
      </x:c>
      <x:c r="D44" s="8" t="str">
        <x:v>ship</x:v>
      </x:c>
      <x:c r="E44" s="8" t="str">
        <x:v>No owner</x:v>
      </x:c>
      <x:c r="F44" s="8" t="str">
        <x:v>medium</x:v>
      </x:c>
      <x:c r="G44" s="8" t="str">
        <x:v>https://developer.microsoft.com/en-us/microsoft-edge/webview2/</x:v>
      </x:c>
      <x:c r="H44" s="8"/>
      <x:c r="I44" s="8"/>
    </x:row>
    <x:row r="45">
      <x:c r="A45" s="8" t="str">
        <x:v>2026-03-12</x:v>
      </x:c>
      <x:c r="B45" s="8" t="str">
        <x:v>security review</x:v>
      </x:c>
      <x:c r="C45" s="8" t="str">
        <x:v>Linux</x:v>
      </x:c>
      <x:c r="D45" s="8" t="str">
        <x:v>unknown</x:v>
      </x:c>
      <x:c r="E45" s="8" t="str">
        <x:v>Carla</x:v>
      </x:c>
      <x:c r="F45" s="8" t="str">
        <x:v>medium</x:v>
      </x:c>
      <x:c r="G45" s="8" t="str">
        <x:v>https://developer.microsoft.com/en-us/microsoft-edge/webview2/</x:v>
      </x:c>
      <x:c r="H45" s="8" t="str">
        <x:v>The owner field was not captured in the original notes, so classification should remain conservative.</x:v>
      </x:c>
      <x:c r="I45" s="8"/>
    </x:row>
    <x:row r="46">
      <x:c r="A46" s="8" t="str">
        <x:v>2026-04-13</x:v>
      </x:c>
      <x:c r="B46" s="8" t="str">
        <x:v>performance pass</x:v>
      </x:c>
      <x:c r="C46" s="8" t="str">
        <x:v>Linux</x:v>
      </x:c>
      <x:c r="D46" s="8" t="str">
        <x:v>ship</x:v>
      </x:c>
      <x:c r="E46" s="8" t="str">
        <x:v>Carla</x:v>
      </x:c>
      <x:c r="F46" s="8" t="str">
        <x:v>medium</x:v>
      </x:c>
      <x:c r="G46" s="8"/>
      <x:c r="H46" s="8" t="str">
        <x:v>The owner field was not captured in the original notes, so classification should remain conservative.</x:v>
      </x:c>
      <x:c r="I46" s="8"/>
    </x:row>
    <x:row r="47">
      <x:c r="A47" s="8" t="str">
        <x:v>2026-05-14</x:v>
      </x:c>
      <x:c r="B47" s="8" t="str">
        <x:v>performance pass</x:v>
      </x:c>
      <x:c r="C47" s="8" t="str">
        <x:v>iOS</x:v>
      </x:c>
      <x:c r="D47" s="8" t="str">
        <x:v>unknown</x:v>
      </x:c>
      <x:c r="E47" s="8" t="str">
        <x:v>Mei</x:v>
      </x:c>
      <x:c r="F47" s="8" t="str">
        <x:v>medium</x:v>
      </x:c>
      <x:c r="G47" s="8" t="str">
        <x:v>https://github.com/react-native-webview/react-native-webview</x:v>
      </x:c>
      <x:c r="H47" s="8" t="str">
        <x:v>Follow-up: compare the result when the network security policy is relaxed versus when it is enforced.</x:v>
      </x:c>
      <x:c r="I47" s="8"/>
    </x:row>
    <x:row r="48">
      <x:c r="A48" s="8" t="str">
        <x:v>2026-06-15</x:v>
      </x:c>
      <x:c r="B48" s="8" t="str">
        <x:v>security review</x:v>
      </x:c>
      <x:c r="C48" s="8" t="str">
        <x:v>macOS</x:v>
      </x:c>
      <x:c r="D48" s="8" t="str">
        <x:v>hold</x:v>
      </x:c>
      <x:c r="E48" s="8" t="str">
        <x:v>Ben</x:v>
      </x:c>
      <x:c r="F48" s="8" t="str">
        <x:v>low</x:v>
      </x:c>
      <x:c r="G48" s="8"/>
      <x:c r="H48" s="8" t="str">
        <x:v>The owner field was not captured in the original notes, so classification should remain conservative.</x:v>
      </x:c>
      <x:c r="I48" s="8"/>
    </x:row>
    <x:row r="49">
      <x:c r="A49" s="8" t="str">
        <x:v>2026-07-16</x:v>
      </x:c>
      <x:c r="B49" s="8" t="str">
        <x:v>rollback check</x:v>
      </x:c>
      <x:c r="C49" s="8" t="str">
        <x:v>Linux</x:v>
      </x:c>
      <x:c r="D49" s="8" t="str">
        <x:v>hold</x:v>
      </x:c>
      <x:c r="E49" s="8" t="str">
        <x:v>Ben</x:v>
      </x:c>
      <x:c r="F49" s="8" t="str">
        <x:v>medium</x:v>
      </x:c>
      <x:c r="G49" s="8" t="str">
        <x:v>https://developer.microsoft.com/en-us/microsoft-edge/webview2/</x:v>
      </x:c>
      <x:c r="H49" s="8" t="str">
        <x:v>The bridge callback is stable for small payloads, but large JSON messages show visible delay during navigation.</x:v>
      </x:c>
      <x:c r="I49" s="8"/>
    </x:row>
    <x:row r="50">
      <x:c r="A50" s="8" t="str">
        <x:v>2026-08-17</x:v>
      </x:c>
      <x:c r="B50" s="8" t="str">
        <x:v>pilot</x:v>
      </x:c>
      <x:c r="C50" s="8" t="str">
        <x:v>Windows</x:v>
      </x:c>
      <x:c r="D50" s="8" t="str">
        <x:v>hold</x:v>
      </x:c>
      <x:c r="E50" s="8" t="str">
        <x:v>Carla</x:v>
      </x:c>
      <x:c r="F50" s="8" t="str">
        <x:v>unrated</x:v>
      </x:c>
      <x:c r="G50" s="8" t="str">
        <x:v>https://github.com/react-native-webview/react-native-webview</x:v>
      </x:c>
      <x:c r="H50" s="8" t="str">
        <x:v>The bridge callback is stable for small payloads, but large JSON messages show visible delay during navigation.</x:v>
      </x:c>
      <x:c r="I50" s="8"/>
    </x:row>
    <x:row r="51">
      <x:c r="A51" s="8"/>
      <x:c r="B51" s="8"/>
      <x:c r="C51" s="8"/>
      <x:c r="D51" s="8"/>
      <x:c r="E51" s="8"/>
      <x:c r="F51" s="8"/>
      <x:c r="G51" s="8"/>
      <x:c r="H51" s="8"/>
      <x:c r="I51" s="8"/>
    </x:row>
    <x:row r="52">
      <x:c r="A52" s="8" t="str">
        <x:v>2026-09-18</x:v>
      </x:c>
      <x:c r="B52" s="8" t="str">
        <x:v>release candidate</x:v>
      </x:c>
      <x:c r="C52" s="8" t="str">
        <x:v>Android</x:v>
      </x:c>
      <x:c r="D52" s="8" t="str">
        <x:v>collect more data</x:v>
      </x:c>
      <x:c r="E52" s="8" t="str">
        <x:v>Ben</x:v>
      </x:c>
      <x:c r="F52" s="8" t="str">
        <x:v>low</x:v>
      </x:c>
      <x:c r="G52" s="8"/>
      <x:c r="H52" s="8"/>
      <x:c r="I52" s="8"/>
    </x:row>
    <x:row r="53">
      <x:c r="A53" s="8" t="str">
        <x:v>2026-01-19</x:v>
      </x:c>
      <x:c r="B53" s="8" t="str">
        <x:v>performance pass</x:v>
      </x:c>
      <x:c r="C53" s="8" t="str">
        <x:v>Windows</x:v>
      </x:c>
      <x:c r="D53" s="8" t="str">
        <x:v>ship</x:v>
      </x:c>
      <x:c r="E53" s="8" t="str">
        <x:v>Ben</x:v>
      </x:c>
      <x:c r="F53" s="8" t="str">
        <x:v>medium</x:v>
      </x:c>
      <x:c r="G53" s="8" t="str">
        <x:v>https://developer.microsoft.com/en-us/microsoft-edge/webview2/</x:v>
      </x:c>
      <x:c r="H53" s="8" t="str">
        <x:v>Verify behavior on a cold start and after the page reloads without destroying the native view.</x:v>
      </x:c>
      <x:c r="I53" s="8"/>
    </x:row>
    <x:row r="54">
      <x:c r="A54" s="8" t="str">
        <x:v>2026-02-20</x:v>
      </x:c>
      <x:c r="B54" s="8" t="str">
        <x:v>security review</x:v>
      </x:c>
      <x:c r="C54" s="8" t="str">
        <x:v>Windows</x:v>
      </x:c>
      <x:c r="D54" s="8" t="str">
        <x:v>hold</x:v>
      </x:c>
      <x:c r="E54" s="8" t="str">
        <x:v>Ben</x:v>
      </x:c>
      <x:c r="F54" s="8" t="str">
        <x:v>low</x:v>
      </x:c>
      <x:c r="G54" s="8" t="str">
        <x:v>https://developer.microsoft.com/en-us/microsoft-edge/webview2/</x:v>
      </x:c>
      <x:c r="H54" s="8" t="str">
        <x:v>A blank cell here is intentional. The source workbook has notes placed away from the nearest table.</x:v>
      </x:c>
      <x:c r="I54" s="8"/>
    </x:row>
    <x:row r="55">
      <x:c r="A55" s="8" t="str">
        <x:v>2026-03-21</x:v>
      </x:c>
      <x:c r="B55" s="8" t="str">
        <x:v>performance pass</x:v>
      </x:c>
      <x:c r="C55" s="8" t="str">
        <x:v>Android</x:v>
      </x:c>
      <x:c r="D55" s="8" t="str">
        <x:v>collect more data</x:v>
      </x:c>
      <x:c r="E55" s="8" t="str">
        <x:v>Asha</x:v>
      </x:c>
      <x:c r="F55" s="8" t="str">
        <x:v>low</x:v>
      </x:c>
      <x:c r="G55" s="8"/>
      <x:c r="H55" s="8" t="str">
        <x:v>Potential duplicate: this paragraph is repeated in another section to test deduplication and chunk metadata.</x:v>
      </x:c>
      <x:c r="I55" s="8"/>
    </x:row>
    <x:row r="56">
      <x:c r="A56" s="8" t="str">
        <x:v>2026-04-22</x:v>
      </x:c>
      <x:c r="B56" s="8" t="str">
        <x:v>rollback check</x:v>
      </x:c>
      <x:c r="C56" s="8" t="str">
        <x:v>iOS</x:v>
      </x:c>
      <x:c r="D56" s="8" t="str">
        <x:v>unknown</x:v>
      </x:c>
      <x:c r="E56" s="8" t="str">
        <x:v>No owner</x:v>
      </x:c>
      <x:c r="F56" s="8" t="str">
        <x:v>medium</x:v>
      </x:c>
      <x:c r="G56" s="8"/>
      <x:c r="H56" s="8"/>
      <x:c r="I56" s="8"/>
    </x:row>
    <x:row r="57">
      <x:c r="A57" s="8" t="str">
        <x:v>2026-05-23</x:v>
      </x:c>
      <x:c r="B57" s="8" t="str">
        <x:v>rollback check</x:v>
      </x:c>
      <x:c r="C57" s="8" t="str">
        <x:v>macOS</x:v>
      </x:c>
      <x:c r="D57" s="8" t="str">
        <x:v>collect more data</x:v>
      </x:c>
      <x:c r="E57" s="8" t="str">
        <x:v>Asha</x:v>
      </x:c>
      <x:c r="F57" s="8" t="str">
        <x:v>high</x:v>
      </x:c>
      <x:c r="G57" s="8" t="str">
        <x:v>https://github.com/react-native-webview/react-native-webview</x:v>
      </x:c>
      <x:c r="H57" s="8" t="str">
        <x:v>Observed in a local test run: the content rendered, but the console warning appeared twice.</x:v>
      </x:c>
      <x:c r="I57" s="8"/>
    </x:row>
    <x:row r="58">
      <x:c r="A58" s="8" t="str">
        <x:v>2026-06-24</x:v>
      </x:c>
      <x:c r="B58" s="8" t="str">
        <x:v>pilot</x:v>
      </x:c>
      <x:c r="C58" s="8" t="str">
        <x:v>iOS</x:v>
      </x:c>
      <x:c r="D58" s="8" t="str">
        <x:v>unknown</x:v>
      </x:c>
      <x:c r="E58" s="8" t="str">
        <x:v>Mei</x:v>
      </x:c>
      <x:c r="F58" s="8" t="str">
        <x:v>medium</x:v>
      </x:c>
      <x:c r="G58" s="8"/>
      <x:c r="H58" s="8" t="str">
        <x:v>Verify behavior on a cold start and after the page reloads without destroying the native view.</x:v>
      </x:c>
      <x:c r="I58" s="8"/>
    </x:row>
    <x:row r="59">
      <x:c r="A59" s="8" t="str">
        <x:v>2026-07-25</x:v>
      </x:c>
      <x:c r="B59" s="8" t="str">
        <x:v>prototype</x:v>
      </x:c>
      <x:c r="C59" s="8" t="str">
        <x:v>iOS</x:v>
      </x:c>
      <x:c r="D59" s="8" t="str">
        <x:v>ship</x:v>
      </x:c>
      <x:c r="E59" s="8" t="str">
        <x:v>Ben</x:v>
      </x:c>
      <x:c r="F59" s="8" t="str">
        <x:v>medium</x:v>
      </x:c>
      <x:c r="G59" s="8" t="str">
        <x:v>https://developer.apple.com/documentation/webkit/wkwebview</x:v>
      </x:c>
      <x:c r="H59" s="8" t="str">
        <x:v>This sentence is long enough to exercise wrapping and downstream chunk boundaries in Markdown output.</x:v>
      </x:c>
      <x:c r="I59" s="8"/>
    </x:row>
    <x:row r="60">
      <x:c r="A60" s="8" t="str">
        <x:v>2026-08-26</x:v>
      </x:c>
      <x:c r="B60" s="8" t="str">
        <x:v>release candidate</x:v>
      </x:c>
      <x:c r="C60" s="8" t="str">
        <x:v>macOS</x:v>
      </x:c>
      <x:c r="D60" s="8" t="str">
        <x:v>ship</x:v>
      </x:c>
      <x:c r="E60" s="8" t="str">
        <x:v>Carla</x:v>
      </x:c>
      <x:c r="F60" s="8" t="str">
        <x:v>low</x:v>
      </x:c>
      <x:c r="G60" s="8"/>
      <x:c r="H60" s="8" t="str">
        <x:v>Verify behavior on a cold start and after the page reloads without destroying the native view.</x:v>
      </x:c>
      <x:c r="I60" s="8"/>
    </x:row>
    <x:row r="61">
      <x:c r="A61" s="8" t="str">
        <x:v>2026-09-27</x:v>
      </x:c>
      <x:c r="B61" s="8" t="str">
        <x:v>rollback check</x:v>
      </x:c>
      <x:c r="C61" s="8" t="str">
        <x:v>iOS</x:v>
      </x:c>
      <x:c r="D61" s="8" t="str">
        <x:v>collect more data</x:v>
      </x:c>
      <x:c r="E61" s="8" t="str">
        <x:v>Carla</x:v>
      </x:c>
      <x:c r="F61" s="8" t="str">
        <x:v>unrated</x:v>
      </x:c>
      <x:c r="G61" s="8" t="str">
        <x:v>https://developer.apple.com/documentation/webkit/wkwebview</x:v>
      </x:c>
      <x:c r="H61" s="8" t="str">
        <x:v>Potential duplicate: this paragraph is repeated in another section to test deduplication and chunk metadata.</x:v>
      </x:c>
      <x:c r="I61" s="8"/>
    </x:row>
    <x:row r="62">
      <x:c r="A62" s="8" t="str">
        <x:v>2026-01-01</x:v>
      </x:c>
      <x:c r="B62" s="8" t="str">
        <x:v>prototype</x:v>
      </x:c>
      <x:c r="C62" s="8" t="str">
        <x:v>Android</x:v>
      </x:c>
      <x:c r="D62" s="8" t="str">
        <x:v>hold</x:v>
      </x:c>
      <x:c r="E62" s="8" t="str">
        <x:v>No owner</x:v>
      </x:c>
      <x:c r="F62" s="8" t="str">
        <x:v>low</x:v>
      </x:c>
      <x:c r="G62" s="8" t="str">
        <x:v>https://learn.microsoft.com/en-us/microsoft-edge/webview2/concepts/security</x:v>
      </x:c>
      <x:c r="H62" s="8" t="str">
        <x:v>Follow-up: compare the result when the network security policy is relaxed versus when it is enforced.</x:v>
      </x:c>
      <x:c r="I62" s="8"/>
    </x:row>
    <x:row r="63">
      <x:c r="A63" s="8"/>
      <x:c r="B63" s="8"/>
      <x:c r="C63" s="8"/>
      <x:c r="D63" s="8"/>
      <x:c r="E63" s="8"/>
      <x:c r="F63" s="8"/>
      <x:c r="G63" s="8"/>
      <x:c r="H63" s="8"/>
      <x:c r="I63" s="8"/>
    </x:row>
    <x:row r="64">
      <x:c r="A64" s="8" t="str">
        <x:v>2026-02-02</x:v>
      </x:c>
      <x:c r="B64" s="8" t="str">
        <x:v>release candidate</x:v>
      </x:c>
      <x:c r="C64" s="8" t="str">
        <x:v>macOS</x:v>
      </x:c>
      <x:c r="D64" s="8" t="str">
        <x:v>unknown</x:v>
      </x:c>
      <x:c r="E64" s="8" t="str">
        <x:v>No owner</x:v>
      </x:c>
      <x:c r="F64" s="8" t="str">
        <x:v>low</x:v>
      </x:c>
      <x:c r="G64" s="8" t="str">
        <x:v>https://developer.apple.com/documentation/webkit/wkwebview</x:v>
      </x:c>
      <x:c r="H64" s="8" t="str">
        <x:v>The owner field was not captured in the original notes, so classification should remain conservative.</x:v>
      </x:c>
      <x:c r="I64" s="8"/>
    </x:row>
    <x:row r="65">
      <x:c r="A65" s="8" t="str">
        <x:v>2026-03-03</x:v>
      </x:c>
      <x:c r="B65" s="8" t="str">
        <x:v>performance pass</x:v>
      </x:c>
      <x:c r="C65" s="8" t="str">
        <x:v>iOS</x:v>
      </x:c>
      <x:c r="D65" s="8" t="str">
        <x:v>collect more data</x:v>
      </x:c>
      <x:c r="E65" s="8" t="str">
        <x:v>Mei</x:v>
      </x:c>
      <x:c r="F65" s="8" t="str">
        <x:v>low</x:v>
      </x:c>
      <x:c r="G65" s="8" t="str">
        <x:v>https://developer.apple.com/documentation/webkit/wkwebview</x:v>
      </x:c>
      <x:c r="H65" s="8" t="str">
        <x:v>Verify behavior on a cold start and after the page reloads without destroying the native view.</x:v>
      </x:c>
      <x:c r="I65" s="8"/>
    </x:row>
    <x:row r="66">
      <x:c r="A66" s="8" t="str">
        <x:v>2026-04-04</x:v>
      </x:c>
      <x:c r="B66" s="8" t="str">
        <x:v>prototype</x:v>
      </x:c>
      <x:c r="C66" s="8" t="str">
        <x:v>macOS</x:v>
      </x:c>
      <x:c r="D66" s="8" t="str">
        <x:v>unknown</x:v>
      </x:c>
      <x:c r="E66" s="8" t="str">
        <x:v>Asha</x:v>
      </x:c>
      <x:c r="F66" s="8" t="str">
        <x:v>low</x:v>
      </x:c>
      <x:c r="G66" s="8"/>
      <x:c r="H66" s="8" t="str">
        <x:v>The bridge callback is stable for small payloads, but large JSON messages show visible delay during navigation.</x:v>
      </x:c>
      <x:c r="I66" s="8"/>
    </x:row>
    <x:row r="67">
      <x:c r="A67" s="8" t="str">
        <x:v>2026-05-05</x:v>
      </x:c>
      <x:c r="B67" s="8" t="str">
        <x:v>release candidate</x:v>
      </x:c>
      <x:c r="C67" s="8" t="str">
        <x:v>macOS</x:v>
      </x:c>
      <x:c r="D67" s="8" t="str">
        <x:v>hold</x:v>
      </x:c>
      <x:c r="E67" s="8" t="str">
        <x:v>Mei</x:v>
      </x:c>
      <x:c r="F67" s="8" t="str">
        <x:v>low</x:v>
      </x:c>
      <x:c r="G67" s="8" t="str">
        <x:v>https://developer.android.com/reference/android/webkit/WebView</x:v>
      </x:c>
      <x:c r="H67" s="8" t="str">
        <x:v>The owner field was not captured in the original notes, so classification should remain conservative.</x:v>
      </x:c>
      <x:c r="I67" s="8"/>
    </x:row>
    <x:row r="68">
      <x:c r="A68" s="8" t="str">
        <x:v>2026-06-06</x:v>
      </x:c>
      <x:c r="B68" s="8" t="str">
        <x:v>performance pass</x:v>
      </x:c>
      <x:c r="C68" s="8" t="str">
        <x:v>Linux</x:v>
      </x:c>
      <x:c r="D68" s="8" t="str">
        <x:v>hold</x:v>
      </x:c>
      <x:c r="E68" s="8" t="str">
        <x:v>Ben</x:v>
      </x:c>
      <x:c r="F68" s="8" t="str">
        <x:v>high</x:v>
      </x:c>
      <x:c r="G68" s="8" t="str">
        <x:v>https://developer.microsoft.com/en-us/microsoft-edge/webview2/</x:v>
      </x:c>
      <x:c r="H68" s="8" t="str">
        <x:v>This sentence is long enough to exercise wrapping and downstream chunk boundaries in Markdown output.</x:v>
      </x:c>
      <x:c r="I68" s="8"/>
    </x:row>
    <x:row r="69">
      <x:c r="A69" s="8" t="str">
        <x:v>2026-07-07</x:v>
      </x:c>
      <x:c r="B69" s="8" t="str">
        <x:v>prototype</x:v>
      </x:c>
      <x:c r="C69" s="8" t="str">
        <x:v>Windows</x:v>
      </x:c>
      <x:c r="D69" s="8" t="str">
        <x:v>ship</x:v>
      </x:c>
      <x:c r="E69" s="8" t="str">
        <x:v>Asha</x:v>
      </x:c>
      <x:c r="F69" s="8" t="str">
        <x:v>unrated</x:v>
      </x:c>
      <x:c r="G69" s="8"/>
      <x:c r="H69" s="8" t="str">
        <x:v>Potential duplicate: this paragraph is repeated in another section to test deduplication and chunk metadata.</x:v>
      </x:c>
      <x:c r="I69" s="8"/>
    </x:row>
    <x:row r="70">
      <x:c r="A70" s="8" t="str">
        <x:v>2026-08-08</x:v>
      </x:c>
      <x:c r="B70" s="8" t="str">
        <x:v>performance pass</x:v>
      </x:c>
      <x:c r="C70" s="8" t="str">
        <x:v>Linux</x:v>
      </x:c>
      <x:c r="D70" s="8" t="str">
        <x:v>unknown</x:v>
      </x:c>
      <x:c r="E70" s="8" t="str">
        <x:v>No owner</x:v>
      </x:c>
      <x:c r="F70" s="8" t="str">
        <x:v>unrated</x:v>
      </x:c>
      <x:c r="G70" s="8" t="str">
        <x:v>https://developer.android.com/reference/android/webkit/WebView</x:v>
      </x:c>
      <x:c r="H70" s="8" t="str">
        <x:v>The owner field was not captured in the original notes, so classification should remain conservative.</x:v>
      </x:c>
      <x:c r="I70" s="8"/>
    </x:row>
    <x:row r="71">
      <x:c r="A71" s="8" t="str">
        <x:v>2026-09-09</x:v>
      </x:c>
      <x:c r="B71" s="8" t="str">
        <x:v>pilot</x:v>
      </x:c>
      <x:c r="C71" s="8" t="str">
        <x:v>Windows</x:v>
      </x:c>
      <x:c r="D71" s="8" t="str">
        <x:v>unknown</x:v>
      </x:c>
      <x:c r="E71" s="8" t="str">
        <x:v>Asha</x:v>
      </x:c>
      <x:c r="F71" s="8" t="str">
        <x:v>medium</x:v>
      </x:c>
      <x:c r="G71" s="8" t="str">
        <x:v>https://github.com/react-native-webview/react-native-webview</x:v>
      </x:c>
      <x:c r="H71" s="8" t="str">
        <x:v>The bridge callback is stable for small payloads, but large JSON messages show visible delay during navigation.</x:v>
      </x:c>
      <x:c r="I71" s="8"/>
    </x:row>
    <x:row r="72">
      <x:c r="A72" s="8" t="str">
        <x:v>2026-01-10</x:v>
      </x:c>
      <x:c r="B72" s="8" t="str">
        <x:v>performance pass</x:v>
      </x:c>
      <x:c r="C72" s="8" t="str">
        <x:v>Android</x:v>
      </x:c>
      <x:c r="D72" s="8" t="str">
        <x:v>hold</x:v>
      </x:c>
      <x:c r="E72" s="8" t="str">
        <x:v>Mei</x:v>
      </x:c>
      <x:c r="F72" s="8" t="str">
        <x:v>high</x:v>
      </x:c>
      <x:c r="G72" s="8" t="str">
        <x:v>https://github.com/react-native-webview/react-native-webview</x:v>
      </x:c>
      <x:c r="H72" s="8" t="str">
        <x:v>This sentence is long enough to exercise wrapping and downstream chunk boundaries in Markdown output.</x:v>
      </x:c>
      <x:c r="I72" s="8"/>
    </x:row>
    <x:row r="73">
      <x:c r="A73" s="8" t="str">
        <x:v>2026-02-11</x:v>
      </x:c>
      <x:c r="B73" s="8" t="str">
        <x:v>pilot</x:v>
      </x:c>
      <x:c r="C73" s="8" t="str">
        <x:v>Windows</x:v>
      </x:c>
      <x:c r="D73" s="8" t="str">
        <x:v>collect more data</x:v>
      </x:c>
      <x:c r="E73" s="8" t="str">
        <x:v>Asha</x:v>
      </x:c>
      <x:c r="F73" s="8" t="str">
        <x:v>medium</x:v>
      </x:c>
      <x:c r="G73" s="8" t="str">
        <x:v>https://github.com/react-native-webview/react-native-webview</x:v>
      </x:c>
      <x:c r="H73" s="8"/>
      <x:c r="I73" s="8"/>
    </x:row>
    <x:row r="74">
      <x:c r="A74" s="8" t="str">
        <x:v>2026-03-12</x:v>
      </x:c>
      <x:c r="B74" s="8" t="str">
        <x:v>security review</x:v>
      </x:c>
      <x:c r="C74" s="8" t="str">
        <x:v>Android</x:v>
      </x:c>
      <x:c r="D74" s="8" t="str">
        <x:v>unknown</x:v>
      </x:c>
      <x:c r="E74" s="8" t="str">
        <x:v>Diego</x:v>
      </x:c>
      <x:c r="F74" s="8" t="str">
        <x:v>unrated</x:v>
      </x:c>
      <x:c r="G74" s="8"/>
      <x:c r="H74" s="8"/>
      <x:c r="I74" s="8"/>
    </x:row>
    <x:row r="75">
      <x:c r="A75" s="8"/>
      <x:c r="B75" s="8"/>
      <x:c r="C75" s="8"/>
      <x:c r="D75" s="8"/>
      <x:c r="E75" s="8"/>
      <x:c r="F75" s="8"/>
      <x:c r="G75" s="8"/>
      <x:c r="H75" s="8"/>
      <x:c r="I75" s="8"/>
    </x:row>
    <x:row r="76">
      <x:c r="A76" s="8" t="str">
        <x:v>2026-04-13</x:v>
      </x:c>
      <x:c r="B76" s="8" t="str">
        <x:v>performance pass</x:v>
      </x:c>
      <x:c r="C76" s="8" t="str">
        <x:v>iOS</x:v>
      </x:c>
      <x:c r="D76" s="8" t="str">
        <x:v>collect more data</x:v>
      </x:c>
      <x:c r="E76" s="8" t="str">
        <x:v>Ben</x:v>
      </x:c>
      <x:c r="F76" s="8" t="str">
        <x:v>high</x:v>
      </x:c>
      <x:c r="G76" s="8"/>
      <x:c r="H76" s="8" t="str">
        <x:v>A blank cell here is intentional. The source workbook has notes placed away from the nearest table.</x:v>
      </x:c>
      <x:c r="I76" s="8"/>
    </x:row>
    <x:row r="77">
      <x:c r="A77" s="8" t="str">
        <x:v>2026-05-14</x:v>
      </x:c>
      <x:c r="B77" s="8" t="str">
        <x:v>rollback check</x:v>
      </x:c>
      <x:c r="C77" s="8" t="str">
        <x:v>Android</x:v>
      </x:c>
      <x:c r="D77" s="8" t="str">
        <x:v>collect more data</x:v>
      </x:c>
      <x:c r="E77" s="8" t="str">
        <x:v>No owner</x:v>
      </x:c>
      <x:c r="F77" s="8" t="str">
        <x:v>unrated</x:v>
      </x:c>
      <x:c r="G77" s="8"/>
      <x:c r="H77" s="8" t="str">
        <x:v>The bridge callback is stable for small payloads, but large JSON messages show visible delay during navigation.</x:v>
      </x:c>
      <x:c r="I77" s="8"/>
    </x:row>
    <x:row r="78">
      <x:c r="A78" s="8" t="str">
        <x:v>2026-06-15</x:v>
      </x:c>
      <x:c r="B78" s="8" t="str">
        <x:v>performance pass</x:v>
      </x:c>
      <x:c r="C78" s="8" t="str">
        <x:v>Android</x:v>
      </x:c>
      <x:c r="D78" s="8" t="str">
        <x:v>hold</x:v>
      </x:c>
      <x:c r="E78" s="8" t="str">
        <x:v>Ben</x:v>
      </x:c>
      <x:c r="F78" s="8" t="str">
        <x:v>low</x:v>
      </x:c>
      <x:c r="G78" s="8" t="str">
        <x:v>https://learn.microsoft.com/en-us/microsoft-edge/webview2/concepts/security</x:v>
      </x:c>
      <x:c r="H78" s="8"/>
      <x:c r="I78" s="8"/>
    </x:row>
    <x:row r="79">
      <x:c r="A79" s="8" t="str">
        <x:v>2026-07-16</x:v>
      </x:c>
      <x:c r="B79" s="8" t="str">
        <x:v>prototype</x:v>
      </x:c>
      <x:c r="C79" s="8" t="str">
        <x:v>Windows</x:v>
      </x:c>
      <x:c r="D79" s="8" t="str">
        <x:v>unknown</x:v>
      </x:c>
      <x:c r="E79" s="8" t="str">
        <x:v>Ben</x:v>
      </x:c>
      <x:c r="F79" s="8" t="str">
        <x:v>medium</x:v>
      </x:c>
      <x:c r="G79" s="8" t="str">
        <x:v>https://developer.android.com/reference/android/webkit/WebView</x:v>
      </x:c>
      <x:c r="H79" s="8" t="str">
        <x:v>The bridge callback is stable for small payloads, but large JSON messages show visible delay during navigation.</x:v>
      </x:c>
      <x:c r="I79" s="8"/>
    </x:row>
    <x:row r="80">
      <x:c r="A80" s="8" t="str">
        <x:v>2026-08-17</x:v>
      </x:c>
      <x:c r="B80" s="8" t="str">
        <x:v>rollback check</x:v>
      </x:c>
      <x:c r="C80" s="8" t="str">
        <x:v>Windows</x:v>
      </x:c>
      <x:c r="D80" s="8" t="str">
        <x:v>unknown</x:v>
      </x:c>
      <x:c r="E80" s="8" t="str">
        <x:v>Mei</x:v>
      </x:c>
      <x:c r="F80" s="8" t="str">
        <x:v>medium</x:v>
      </x:c>
      <x:c r="G80" s="8"/>
      <x:c r="H80" s="8" t="str">
        <x:v>The owner field was not captured in the original notes, so classification should remain conservative.</x:v>
      </x:c>
      <x:c r="I80" s="8"/>
    </x:row>
    <x:row r="81">
      <x:c r="A81" s="8" t="str">
        <x:v>2026-09-18</x:v>
      </x:c>
      <x:c r="B81" s="8" t="str">
        <x:v>performance pass</x:v>
      </x:c>
      <x:c r="C81" s="8" t="str">
        <x:v>macOS</x:v>
      </x:c>
      <x:c r="D81" s="8" t="str">
        <x:v>hold</x:v>
      </x:c>
      <x:c r="E81" s="8" t="str">
        <x:v>Mei</x:v>
      </x:c>
      <x:c r="F81" s="8" t="str">
        <x:v>medium</x:v>
      </x:c>
      <x:c r="G81" s="8"/>
      <x:c r="H81" s="8"/>
      <x:c r="I81" s="8"/>
    </x:row>
    <x:row r="82">
      <x:c r="A82" s="8" t="str">
        <x:v>2026-01-19</x:v>
      </x:c>
      <x:c r="B82" s="8" t="str">
        <x:v>rollback check</x:v>
      </x:c>
      <x:c r="C82" s="8" t="str">
        <x:v>iOS</x:v>
      </x:c>
      <x:c r="D82" s="8" t="str">
        <x:v>unknown</x:v>
      </x:c>
      <x:c r="E82" s="8" t="str">
        <x:v>Diego</x:v>
      </x:c>
      <x:c r="F82" s="8" t="str">
        <x:v>medium</x:v>
      </x:c>
      <x:c r="G82" s="8"/>
      <x:c r="H82" s="8"/>
      <x:c r="I82" s="8"/>
    </x:row>
    <x:row r="83">
      <x:c r="A83" s="8" t="str">
        <x:v>2026-02-20</x:v>
      </x:c>
      <x:c r="B83" s="8" t="str">
        <x:v>rollback check</x:v>
      </x:c>
      <x:c r="C83" s="8" t="str">
        <x:v>macOS</x:v>
      </x:c>
      <x:c r="D83" s="8" t="str">
        <x:v>collect more data</x:v>
      </x:c>
      <x:c r="E83" s="8" t="str">
        <x:v>No owner</x:v>
      </x:c>
      <x:c r="F83" s="8" t="str">
        <x:v>low</x:v>
      </x:c>
      <x:c r="G83" s="8" t="str">
        <x:v>https://developer.microsoft.com/en-us/microsoft-edge/webview2/</x:v>
      </x:c>
      <x:c r="H83" s="8"/>
      <x:c r="I83" s="8"/>
    </x:row>
    <x:row r="84">
      <x:c r="A84" s="8" t="str">
        <x:v>2026-03-21</x:v>
      </x:c>
      <x:c r="B84" s="8" t="str">
        <x:v>release candidate</x:v>
      </x:c>
      <x:c r="C84" s="8" t="str">
        <x:v>Windows</x:v>
      </x:c>
      <x:c r="D84" s="8" t="str">
        <x:v>hold</x:v>
      </x:c>
      <x:c r="E84" s="8" t="str">
        <x:v>Ben</x:v>
      </x:c>
      <x:c r="F84" s="8" t="str">
        <x:v>medium</x:v>
      </x:c>
      <x:c r="G84" s="8"/>
      <x:c r="H84" s="8"/>
      <x:c r="I84" s="8"/>
    </x:row>
    <x:row r="85">
      <x:c r="A85" s="8" t="str">
        <x:v>2026-04-22</x:v>
      </x:c>
      <x:c r="B85" s="8" t="str">
        <x:v>rollback check</x:v>
      </x:c>
      <x:c r="C85" s="8" t="str">
        <x:v>Android</x:v>
      </x:c>
      <x:c r="D85" s="8" t="str">
        <x:v>ship</x:v>
      </x:c>
      <x:c r="E85" s="8" t="str">
        <x:v>No owner</x:v>
      </x:c>
      <x:c r="F85" s="8" t="str">
        <x:v>high</x:v>
      </x:c>
      <x:c r="G85" s="8"/>
      <x:c r="H85" s="8" t="str">
        <x:v>Potential duplicate: this paragraph is repeated in another section to test deduplication and chunk metadata.</x:v>
      </x:c>
      <x:c r="I85" s="8"/>
    </x:row>
    <x:row r="86">
      <x:c r="A86" s="8" t="str">
        <x:v>2026-05-23</x:v>
      </x:c>
      <x:c r="B86" s="8" t="str">
        <x:v>prototype</x:v>
      </x:c>
      <x:c r="C86" s="8" t="str">
        <x:v>Windows</x:v>
      </x:c>
      <x:c r="D86" s="8" t="str">
        <x:v>unknown</x:v>
      </x:c>
      <x:c r="E86" s="8" t="str">
        <x:v>Carla</x:v>
      </x:c>
      <x:c r="F86" s="8" t="str">
        <x:v>unrated</x:v>
      </x:c>
      <x:c r="G86" s="8" t="str">
        <x:v>https://learn.microsoft.com/en-us/microsoft-edge/webview2/concepts/security</x:v>
      </x:c>
      <x:c r="H86" s="8"/>
      <x:c r="I86" s="8"/>
    </x:row>
    <x:row r="87">
      <x:c r="A87" s="8"/>
      <x:c r="B87" s="8"/>
      <x:c r="C87" s="8"/>
      <x:c r="D87" s="8"/>
      <x:c r="E87" s="8"/>
      <x:c r="F87" s="8"/>
      <x:c r="G87" s="8"/>
      <x:c r="H87" s="8"/>
      <x:c r="I87" s="8"/>
    </x:row>
    <x:row r="88">
      <x:c r="A88" s="8" t="str">
        <x:v>2026-06-24</x:v>
      </x:c>
      <x:c r="B88" s="8" t="str">
        <x:v>pilot</x:v>
      </x:c>
      <x:c r="C88" s="8" t="str">
        <x:v>Android</x:v>
      </x:c>
      <x:c r="D88" s="8" t="str">
        <x:v>collect more data</x:v>
      </x:c>
      <x:c r="E88" s="8" t="str">
        <x:v>Asha</x:v>
      </x:c>
      <x:c r="F88" s="8" t="str">
        <x:v>medium</x:v>
      </x:c>
      <x:c r="G88" s="8" t="str">
        <x:v>https://github.com/react-native-webview/react-native-webview</x:v>
      </x:c>
      <x:c r="H88" s="8"/>
      <x:c r="I88" s="8"/>
    </x:row>
    <x:row r="89">
      <x:c r="A89" s="8" t="str">
        <x:v>2026-07-25</x:v>
      </x:c>
      <x:c r="B89" s="8" t="str">
        <x:v>pilot</x:v>
      </x:c>
      <x:c r="C89" s="8" t="str">
        <x:v>Android</x:v>
      </x:c>
      <x:c r="D89" s="8" t="str">
        <x:v>unknown</x:v>
      </x:c>
      <x:c r="E89" s="8" t="str">
        <x:v>Diego</x:v>
      </x:c>
      <x:c r="F89" s="8" t="str">
        <x:v>unrated</x:v>
      </x:c>
      <x:c r="G89" s="8" t="str">
        <x:v>https://learn.microsoft.com/en-us/microsoft-edge/webview2/concepts/security</x:v>
      </x:c>
      <x:c r="H89" s="8" t="str">
        <x:v>This sentence is long enough to exercise wrapping and downstream chunk boundaries in Markdown output.</x:v>
      </x:c>
      <x:c r="I89" s="8"/>
    </x:row>
    <x:row r="90">
      <x:c r="A90" s="8" t="str">
        <x:v>2026-08-26</x:v>
      </x:c>
      <x:c r="B90" s="8" t="str">
        <x:v>release candidate</x:v>
      </x:c>
      <x:c r="C90" s="8" t="str">
        <x:v>Linux</x:v>
      </x:c>
      <x:c r="D90" s="8" t="str">
        <x:v>unknown</x:v>
      </x:c>
      <x:c r="E90" s="8" t="str">
        <x:v>Carla</x:v>
      </x:c>
      <x:c r="F90" s="8" t="str">
        <x:v>low</x:v>
      </x:c>
      <x:c r="G90" s="8" t="str">
        <x:v>https://developer.apple.com/documentation/webkit/wkwebview</x:v>
      </x:c>
      <x:c r="H90" s="8"/>
      <x:c r="I90" s="8"/>
    </x:row>
    <x:row r="91">
      <x:c r="A91" s="8" t="str">
        <x:v>2026-09-27</x:v>
      </x:c>
      <x:c r="B91" s="8" t="str">
        <x:v>prototype</x:v>
      </x:c>
      <x:c r="C91" s="8" t="str">
        <x:v>iOS</x:v>
      </x:c>
      <x:c r="D91" s="8" t="str">
        <x:v>collect more data</x:v>
      </x:c>
      <x:c r="E91" s="8" t="str">
        <x:v>Carla</x:v>
      </x:c>
      <x:c r="F91" s="8" t="str">
        <x:v>low</x:v>
      </x:c>
      <x:c r="G91" s="8" t="str">
        <x:v>https://developer.apple.com/documentation/webkit/wkwebview</x:v>
      </x:c>
      <x:c r="H91" s="8" t="str">
        <x:v>The owner field was not captured in the original notes, so classification should remain conservative.</x:v>
      </x:c>
      <x:c r="I91" s="8"/>
    </x:row>
    <x:row r="92">
      <x:c r="A92" s="8" t="str">
        <x:v>2026-01-01</x:v>
      </x:c>
      <x:c r="B92" s="8" t="str">
        <x:v>rollback check</x:v>
      </x:c>
      <x:c r="C92" s="8" t="str">
        <x:v>Windows</x:v>
      </x:c>
      <x:c r="D92" s="8" t="str">
        <x:v>unknown</x:v>
      </x:c>
      <x:c r="E92" s="8" t="str">
        <x:v>Diego</x:v>
      </x:c>
      <x:c r="F92" s="8" t="str">
        <x:v>unrated</x:v>
      </x:c>
      <x:c r="G92" s="8"/>
      <x:c r="H92" s="8" t="str">
        <x:v>Potential duplicate: this paragraph is repeated in another section to test deduplication and chunk metadata.</x:v>
      </x:c>
      <x:c r="I92" s="8"/>
    </x:row>
    <x:row r="93">
      <x:c r="A93" s="8" t="str">
        <x:v>2026-02-02</x:v>
      </x:c>
      <x:c r="B93" s="8" t="str">
        <x:v>security review</x:v>
      </x:c>
      <x:c r="C93" s="8" t="str">
        <x:v>Windows</x:v>
      </x:c>
      <x:c r="D93" s="8" t="str">
        <x:v>ship</x:v>
      </x:c>
      <x:c r="E93" s="8" t="str">
        <x:v>Ben</x:v>
      </x:c>
      <x:c r="F93" s="8" t="str">
        <x:v>low</x:v>
      </x:c>
      <x:c r="G93" s="8" t="str">
        <x:v>https://github.com/react-native-webview/react-native-webview</x:v>
      </x:c>
      <x:c r="H93" s="8" t="str">
        <x:v>Observed in a local test run: the content rendered, but the console warning appeared twice.</x:v>
      </x:c>
      <x:c r="I93" s="8"/>
    </x:row>
    <x:row r="94">
      <x:c r="A94" s="8" t="str">
        <x:v>2026-03-03</x:v>
      </x:c>
      <x:c r="B94" s="8" t="str">
        <x:v>performance pass</x:v>
      </x:c>
      <x:c r="C94" s="8" t="str">
        <x:v>Linux</x:v>
      </x:c>
      <x:c r="D94" s="8" t="str">
        <x:v>unknown</x:v>
      </x:c>
      <x:c r="E94" s="8" t="str">
        <x:v>Asha</x:v>
      </x:c>
      <x:c r="F94" s="8" t="str">
        <x:v>low</x:v>
      </x:c>
      <x:c r="G94" s="8" t="str">
        <x:v>https://developer.microsoft.com/en-us/microsoft-edge/webview2/</x:v>
      </x:c>
      <x:c r="H94" s="8" t="str">
        <x:v>Potential duplicate: this paragraph is repeated in another section to test deduplication and chunk metadata.</x:v>
      </x:c>
      <x:c r="I94" s="8"/>
    </x:row>
    <x:row r="95">
      <x:c r="A95" s="8" t="str">
        <x:v>2026-04-04</x:v>
      </x:c>
      <x:c r="B95" s="8" t="str">
        <x:v>security review</x:v>
      </x:c>
      <x:c r="C95" s="8" t="str">
        <x:v>iOS</x:v>
      </x:c>
      <x:c r="D95" s="8" t="str">
        <x:v>unknown</x:v>
      </x:c>
      <x:c r="E95" s="8" t="str">
        <x:v>Ben</x:v>
      </x:c>
      <x:c r="F95" s="8" t="str">
        <x:v>medium</x:v>
      </x:c>
      <x:c r="G95" s="8"/>
      <x:c r="H95" s="8"/>
      <x:c r="I95" s="8"/>
    </x:row>
    <x:row r="96">
      <x:c r="A96" s="8" t="str">
        <x:v>2026-05-05</x:v>
      </x:c>
      <x:c r="B96" s="8" t="str">
        <x:v>release candidate</x:v>
      </x:c>
      <x:c r="C96" s="8" t="str">
        <x:v>macOS</x:v>
      </x:c>
      <x:c r="D96" s="8" t="str">
        <x:v>collect more data</x:v>
      </x:c>
      <x:c r="E96" s="8" t="str">
        <x:v>Carla</x:v>
      </x:c>
      <x:c r="F96" s="8" t="str">
        <x:v>unrated</x:v>
      </x:c>
      <x:c r="G96" s="8"/>
      <x:c r="H96" s="8"/>
      <x:c r="I96" s="8"/>
    </x:row>
    <x:row r="97">
      <x:c r="A97" s="8" t="str">
        <x:v>2026-06-06</x:v>
      </x:c>
      <x:c r="B97" s="8" t="str">
        <x:v>pilot</x:v>
      </x:c>
      <x:c r="C97" s="8" t="str">
        <x:v>Linux</x:v>
      </x:c>
      <x:c r="D97" s="8" t="str">
        <x:v>hold</x:v>
      </x:c>
      <x:c r="E97" s="8" t="str">
        <x:v>Mei</x:v>
      </x:c>
      <x:c r="F97" s="8" t="str">
        <x:v>high</x:v>
      </x:c>
      <x:c r="G97" s="8" t="str">
        <x:v>https://github.com/react-native-webview/react-native-webview</x:v>
      </x:c>
      <x:c r="H97" s="8" t="str">
        <x:v>The bridge callback is stable for small payloads, but large JSON messages show visible delay during navigation.</x:v>
      </x:c>
      <x:c r="I97" s="8"/>
    </x:row>
    <x:row r="98">
      <x:c r="A98" s="8" t="str">
        <x:v>2026-07-07</x:v>
      </x:c>
      <x:c r="B98" s="8" t="str">
        <x:v>rollback check</x:v>
      </x:c>
      <x:c r="C98" s="8" t="str">
        <x:v>Linux</x:v>
      </x:c>
      <x:c r="D98" s="8" t="str">
        <x:v>ship</x:v>
      </x:c>
      <x:c r="E98" s="8" t="str">
        <x:v>Asha</x:v>
      </x:c>
      <x:c r="F98" s="8" t="str">
        <x:v>unrated</x:v>
      </x:c>
      <x:c r="G98" s="8" t="str">
        <x:v>https://github.com/react-native-webview/react-native-webview</x:v>
      </x:c>
      <x:c r="H98" s="8"/>
      <x:c r="I98" s="8"/>
    </x:row>
    <x:row r="99">
      <x:c r="A99" s="8"/>
      <x:c r="B99" s="8"/>
      <x:c r="C99" s="8"/>
      <x:c r="D99" s="8"/>
      <x:c r="E99" s="8"/>
      <x:c r="F99" s="8"/>
      <x:c r="G99" s="8"/>
      <x:c r="H99" s="8"/>
      <x:c r="I99" s="8"/>
    </x:row>
    <x:row r="100">
      <x:c r="A100" s="8" t="str">
        <x:v>2026-08-08</x:v>
      </x:c>
      <x:c r="B100" s="8" t="str">
        <x:v>pilot</x:v>
      </x:c>
      <x:c r="C100" s="8" t="str">
        <x:v>Android</x:v>
      </x:c>
      <x:c r="D100" s="8" t="str">
        <x:v>unknown</x:v>
      </x:c>
      <x:c r="E100" s="8" t="str">
        <x:v>Asha</x:v>
      </x:c>
      <x:c r="F100" s="8" t="str">
        <x:v>low</x:v>
      </x:c>
      <x:c r="G100" s="8" t="str">
        <x:v>https://learn.microsoft.com/en-us/microsoft-edge/webview2/concepts/security</x:v>
      </x:c>
      <x:c r="H100" s="8" t="str">
        <x:v>Follow-up: compare the result when the network security policy is relaxed versus when it is enforced.</x:v>
      </x:c>
      <x:c r="I100" s="8"/>
    </x:row>
    <x:row r="101">
      <x:c r="A101" s="8" t="str">
        <x:v>2026-09-09</x:v>
      </x:c>
      <x:c r="B101" s="8" t="str">
        <x:v>security review</x:v>
      </x:c>
      <x:c r="C101" s="8" t="str">
        <x:v>Windows</x:v>
      </x:c>
      <x:c r="D101" s="8" t="str">
        <x:v>hold</x:v>
      </x:c>
      <x:c r="E101" s="8" t="str">
        <x:v>Diego</x:v>
      </x:c>
      <x:c r="F101" s="8" t="str">
        <x:v>medium</x:v>
      </x:c>
      <x:c r="G101" s="8" t="str">
        <x:v>https://developer.android.com/reference/android/webkit/WebView</x:v>
      </x:c>
      <x:c r="H101" s="8" t="str">
        <x:v>Potential duplicate: this paragraph is repeated in another section to test deduplication and chunk metadata.</x:v>
      </x:c>
      <x:c r="I101" s="8"/>
    </x:row>
    <x:row r="102">
      <x:c r="A102" s="8" t="str">
        <x:v>2026-01-10</x:v>
      </x:c>
      <x:c r="B102" s="8" t="str">
        <x:v>rollback check</x:v>
      </x:c>
      <x:c r="C102" s="8" t="str">
        <x:v>macOS</x:v>
      </x:c>
      <x:c r="D102" s="8" t="str">
        <x:v>hold</x:v>
      </x:c>
      <x:c r="E102" s="8" t="str">
        <x:v>Carla</x:v>
      </x:c>
      <x:c r="F102" s="8" t="str">
        <x:v>high</x:v>
      </x:c>
      <x:c r="G102" s="8"/>
      <x:c r="H102" s="8" t="str">
        <x:v>This sentence is long enough to exercise wrapping and downstream chunk boundaries in Markdown output.</x:v>
      </x:c>
      <x:c r="I102" s="8"/>
    </x:row>
    <x:row r="103">
      <x:c r="A103" s="8" t="str">
        <x:v>2026-02-11</x:v>
      </x:c>
      <x:c r="B103" s="8" t="str">
        <x:v>prototype</x:v>
      </x:c>
      <x:c r="C103" s="8" t="str">
        <x:v>macOS</x:v>
      </x:c>
      <x:c r="D103" s="8" t="str">
        <x:v>unknown</x:v>
      </x:c>
      <x:c r="E103" s="8" t="str">
        <x:v>No owner</x:v>
      </x:c>
      <x:c r="F103" s="8" t="str">
        <x:v>medium</x:v>
      </x:c>
      <x:c r="G103" s="8" t="str">
        <x:v>https://developer.android.com/reference/android/webkit/WebView</x:v>
      </x:c>
      <x:c r="H103" s="8" t="str">
        <x:v>Verify behavior on a cold start and after the page reloads without destroying the native view.</x:v>
      </x:c>
      <x:c r="I103" s="8"/>
    </x:row>
    <x:row r="104">
      <x:c r="A104" s="8" t="str">
        <x:v>2026-03-12</x:v>
      </x:c>
      <x:c r="B104" s="8" t="str">
        <x:v>rollback check</x:v>
      </x:c>
      <x:c r="C104" s="8" t="str">
        <x:v>Android</x:v>
      </x:c>
      <x:c r="D104" s="8" t="str">
        <x:v>collect more data</x:v>
      </x:c>
      <x:c r="E104" s="8" t="str">
        <x:v>Ben</x:v>
      </x:c>
      <x:c r="F104" s="8" t="str">
        <x:v>high</x:v>
      </x:c>
      <x:c r="G104" s="8" t="str">
        <x:v>https://learn.microsoft.com/en-us/microsoft-edge/webview2/concepts/security</x:v>
      </x:c>
      <x:c r="H104" s="8" t="str">
        <x:v>Potential duplicate: this paragraph is repeated in another section to test deduplication and chunk metadata.</x:v>
      </x:c>
      <x:c r="I104" s="8"/>
    </x:row>
    <x:row r="105">
      <x:c r="A105" s="8" t="str">
        <x:v>2026-04-13</x:v>
      </x:c>
      <x:c r="B105" s="8" t="str">
        <x:v>rollback check</x:v>
      </x:c>
      <x:c r="C105" s="8" t="str">
        <x:v>Android</x:v>
      </x:c>
      <x:c r="D105" s="8" t="str">
        <x:v>collect more data</x:v>
      </x:c>
      <x:c r="E105" s="8" t="str">
        <x:v>Diego</x:v>
      </x:c>
      <x:c r="F105" s="8" t="str">
        <x:v>medium</x:v>
      </x:c>
      <x:c r="G105" s="8" t="str">
        <x:v>https://developer.apple.com/documentation/webkit/wkwebview</x:v>
      </x:c>
      <x:c r="H105" s="8"/>
      <x:c r="I105" s="8"/>
    </x:row>
    <x:row r="106">
      <x:c r="A106" s="8" t="str">
        <x:v>2026-05-14</x:v>
      </x:c>
      <x:c r="B106" s="8" t="str">
        <x:v>security review</x:v>
      </x:c>
      <x:c r="C106" s="8" t="str">
        <x:v>iOS</x:v>
      </x:c>
      <x:c r="D106" s="8" t="str">
        <x:v>ship</x:v>
      </x:c>
      <x:c r="E106" s="8" t="str">
        <x:v>No owner</x:v>
      </x:c>
      <x:c r="F106" s="8" t="str">
        <x:v>high</x:v>
      </x:c>
      <x:c r="G106" s="8" t="str">
        <x:v>https://github.com/react-native-webview/react-native-webview</x:v>
      </x:c>
      <x:c r="H106" s="8" t="str">
        <x:v>The bridge callback is stable for small payloads, but large JSON messages show visible delay during navigation.</x:v>
      </x:c>
      <x:c r="I106" s="8"/>
    </x:row>
    <x:row r="107">
      <x:c r="A107" s="8" t="str">
        <x:v>2026-06-15</x:v>
      </x:c>
      <x:c r="B107" s="8" t="str">
        <x:v>performance pass</x:v>
      </x:c>
      <x:c r="C107" s="8" t="str">
        <x:v>Windows</x:v>
      </x:c>
      <x:c r="D107" s="8" t="str">
        <x:v>unknown</x:v>
      </x:c>
      <x:c r="E107" s="8" t="str">
        <x:v>No owner</x:v>
      </x:c>
      <x:c r="F107" s="8" t="str">
        <x:v>unrated</x:v>
      </x:c>
      <x:c r="G107" s="8" t="str">
        <x:v>https://github.com/react-native-webview/react-native-webview</x:v>
      </x:c>
      <x:c r="H107" s="8"/>
      <x:c r="I107" s="8"/>
    </x:row>
    <x:row r="108">
      <x:c r="A108" s="8" t="str">
        <x:v>2026-07-16</x:v>
      </x:c>
      <x:c r="B108" s="8" t="str">
        <x:v>release candidate</x:v>
      </x:c>
      <x:c r="C108" s="8" t="str">
        <x:v>Linux</x:v>
      </x:c>
      <x:c r="D108" s="8" t="str">
        <x:v>unknown</x:v>
      </x:c>
      <x:c r="E108" s="8" t="str">
        <x:v>No owner</x:v>
      </x:c>
      <x:c r="F108" s="8" t="str">
        <x:v>low</x:v>
      </x:c>
      <x:c r="G108" s="8"/>
      <x:c r="H108" s="8"/>
      <x:c r="I108" s="8"/>
    </x:row>
    <x:row r="109">
      <x:c r="A109" s="8" t="str">
        <x:v>2026-08-17</x:v>
      </x:c>
      <x:c r="B109" s="8" t="str">
        <x:v>release candidate</x:v>
      </x:c>
      <x:c r="C109" s="8" t="str">
        <x:v>Android</x:v>
      </x:c>
      <x:c r="D109" s="8" t="str">
        <x:v>unknown</x:v>
      </x:c>
      <x:c r="E109" s="8" t="str">
        <x:v>Mei</x:v>
      </x:c>
      <x:c r="F109" s="8" t="str">
        <x:v>medium</x:v>
      </x:c>
      <x:c r="G109" s="8"/>
      <x:c r="H109" s="8" t="str">
        <x:v>Potential duplicate: this paragraph is repeated in another section to test deduplication and chunk metadata.</x:v>
      </x:c>
      <x:c r="I109" s="8"/>
    </x:row>
    <x:row r="110">
      <x:c r="A110" s="8" t="str">
        <x:v>2026-09-18</x:v>
      </x:c>
      <x:c r="B110" s="8" t="str">
        <x:v>pilot</x:v>
      </x:c>
      <x:c r="C110" s="8" t="str">
        <x:v>Windows</x:v>
      </x:c>
      <x:c r="D110" s="8" t="str">
        <x:v>hold</x:v>
      </x:c>
      <x:c r="E110" s="8" t="str">
        <x:v>No owner</x:v>
      </x:c>
      <x:c r="F110" s="8" t="str">
        <x:v>unrated</x:v>
      </x:c>
      <x:c r="G110" s="8" t="str">
        <x:v>https://developer.android.com/reference/android/webkit/WebView</x:v>
      </x:c>
      <x:c r="H110" s="8" t="str">
        <x:v>This sentence is long enough to exercise wrapping and downstream chunk boundaries in Markdown output.</x:v>
      </x:c>
      <x:c r="I110" s="8"/>
    </x:row>
    <x:row r="111">
      <x:c r="A111" s="8"/>
      <x:c r="B111" s="8"/>
      <x:c r="C111" s="8"/>
      <x:c r="D111" s="8"/>
      <x:c r="E111" s="8"/>
      <x:c r="F111" s="8"/>
      <x:c r="G111" s="8"/>
      <x:c r="H111" s="8"/>
      <x:c r="I111" s="8"/>
    </x:row>
    <x:row r="112">
      <x:c r="A112" s="8" t="str">
        <x:v>2026-01-19</x:v>
      </x:c>
      <x:c r="B112" s="8" t="str">
        <x:v>release candidate</x:v>
      </x:c>
      <x:c r="C112" s="8" t="str">
        <x:v>Linux</x:v>
      </x:c>
      <x:c r="D112" s="8" t="str">
        <x:v>hold</x:v>
      </x:c>
      <x:c r="E112" s="8" t="str">
        <x:v>Ben</x:v>
      </x:c>
      <x:c r="F112" s="8" t="str">
        <x:v>unrated</x:v>
      </x:c>
      <x:c r="G112" s="8" t="str">
        <x:v>https://developer.microsoft.com/en-us/microsoft-edge/webview2/</x:v>
      </x:c>
      <x:c r="H112" s="8" t="str">
        <x:v>This sentence is long enough to exercise wrapping and downstream chunk boundaries in Markdown output.</x:v>
      </x:c>
      <x:c r="I112" s="8"/>
    </x:row>
    <x:row r="113">
      <x:c r="A113" s="8" t="str">
        <x:v>2026-02-20</x:v>
      </x:c>
      <x:c r="B113" s="8" t="str">
        <x:v>release candidate</x:v>
      </x:c>
      <x:c r="C113" s="8" t="str">
        <x:v>Windows</x:v>
      </x:c>
      <x:c r="D113" s="8" t="str">
        <x:v>collect more data</x:v>
      </x:c>
      <x:c r="E113" s="8" t="str">
        <x:v>Ben</x:v>
      </x:c>
      <x:c r="F113" s="8" t="str">
        <x:v>medium</x:v>
      </x:c>
      <x:c r="G113" s="8"/>
      <x:c r="H113" s="8" t="str">
        <x:v>A blank cell here is intentional. The source workbook has notes placed away from the nearest table.</x:v>
      </x:c>
      <x:c r="I113" s="8"/>
    </x:row>
    <x:row r="114">
      <x:c r="A114" s="8" t="str">
        <x:v>2026-03-21</x:v>
      </x:c>
      <x:c r="B114" s="8" t="str">
        <x:v>performance pass</x:v>
      </x:c>
      <x:c r="C114" s="8" t="str">
        <x:v>Linux</x:v>
      </x:c>
      <x:c r="D114" s="8" t="str">
        <x:v>collect more data</x:v>
      </x:c>
      <x:c r="E114" s="8" t="str">
        <x:v>Mei</x:v>
      </x:c>
      <x:c r="F114" s="8" t="str">
        <x:v>unrated</x:v>
      </x:c>
      <x:c r="G114" s="8" t="str">
        <x:v>https://developer.apple.com/documentation/webkit/wkwebview</x:v>
      </x:c>
      <x:c r="H114" s="8"/>
      <x:c r="I114" s="8"/>
    </x:row>
    <x:row r="115">
      <x:c r="A115" s="8" t="str">
        <x:v>2026-04-22</x:v>
      </x:c>
      <x:c r="B115" s="8" t="str">
        <x:v>prototype</x:v>
      </x:c>
      <x:c r="C115" s="8" t="str">
        <x:v>macOS</x:v>
      </x:c>
      <x:c r="D115" s="8" t="str">
        <x:v>collect more data</x:v>
      </x:c>
      <x:c r="E115" s="8" t="str">
        <x:v>No owner</x:v>
      </x:c>
      <x:c r="F115" s="8" t="str">
        <x:v>unrated</x:v>
      </x:c>
      <x:c r="G115" s="8" t="str">
        <x:v>https://developer.android.com/reference/android/webkit/WebView</x:v>
      </x:c>
      <x:c r="H115" s="8" t="str">
        <x:v>The owner field was not captured in the original notes, so classification should remain conservative.</x:v>
      </x:c>
      <x:c r="I115" s="8"/>
    </x:row>
    <x:row r="116">
      <x:c r="A116" s="8" t="str">
        <x:v>2026-05-23</x:v>
      </x:c>
      <x:c r="B116" s="8" t="str">
        <x:v>release candidate</x:v>
      </x:c>
      <x:c r="C116" s="8" t="str">
        <x:v>Linux</x:v>
      </x:c>
      <x:c r="D116" s="8" t="str">
        <x:v>hold</x:v>
      </x:c>
      <x:c r="E116" s="8" t="str">
        <x:v>Mei</x:v>
      </x:c>
      <x:c r="F116" s="8" t="str">
        <x:v>high</x:v>
      </x:c>
      <x:c r="G116" s="8"/>
      <x:c r="H116" s="8" t="str">
        <x:v>Follow-up: compare the result when the network security policy is relaxed versus when it is enforced.</x:v>
      </x:c>
      <x:c r="I116" s="8"/>
    </x:row>
    <x:row r="117">
      <x:c r="A117" s="8" t="str">
        <x:v>2026-06-24</x:v>
      </x:c>
      <x:c r="B117" s="8" t="str">
        <x:v>performance pass</x:v>
      </x:c>
      <x:c r="C117" s="8" t="str">
        <x:v>Linux</x:v>
      </x:c>
      <x:c r="D117" s="8" t="str">
        <x:v>hold</x:v>
      </x:c>
      <x:c r="E117" s="8" t="str">
        <x:v>Mei</x:v>
      </x:c>
      <x:c r="F117" s="8" t="str">
        <x:v>unrated</x:v>
      </x:c>
      <x:c r="G117" s="8"/>
      <x:c r="H117" s="8"/>
      <x:c r="I117" s="8"/>
    </x:row>
    <x:row r="118">
      <x:c r="A118" s="8" t="str">
        <x:v>2026-07-25</x:v>
      </x:c>
      <x:c r="B118" s="8" t="str">
        <x:v>rollback check</x:v>
      </x:c>
      <x:c r="C118" s="8" t="str">
        <x:v>Linux</x:v>
      </x:c>
      <x:c r="D118" s="8" t="str">
        <x:v>hold</x:v>
      </x:c>
      <x:c r="E118" s="8" t="str">
        <x:v>Diego</x:v>
      </x:c>
      <x:c r="F118" s="8" t="str">
        <x:v>unrated</x:v>
      </x:c>
      <x:c r="G118" s="8" t="str">
        <x:v>https://developer.android.com/reference/android/webkit/WebView</x:v>
      </x:c>
      <x:c r="H118" s="8" t="str">
        <x:v>This sentence is long enough to exercise wrapping and downstream chunk boundaries in Markdown output.</x:v>
      </x:c>
      <x:c r="I118" s="8"/>
    </x:row>
    <x:row r="119">
      <x:c r="A119" s="8" t="str">
        <x:v>2026-08-26</x:v>
      </x:c>
      <x:c r="B119" s="8" t="str">
        <x:v>pilot</x:v>
      </x:c>
      <x:c r="C119" s="8" t="str">
        <x:v>Windows</x:v>
      </x:c>
      <x:c r="D119" s="8" t="str">
        <x:v>ship</x:v>
      </x:c>
      <x:c r="E119" s="8" t="str">
        <x:v>Carla</x:v>
      </x:c>
      <x:c r="F119" s="8" t="str">
        <x:v>medium</x:v>
      </x:c>
      <x:c r="G119" s="8"/>
      <x:c r="H119" s="8" t="str">
        <x:v>The bridge callback is stable for small payloads, but large JSON messages show visible delay during navigation.</x:v>
      </x:c>
      <x:c r="I119" s="8"/>
    </x:row>
    <x:row r="120">
      <x:c r="A120" s="8" t="str">
        <x:v>2026-09-27</x:v>
      </x:c>
      <x:c r="B120" s="8" t="str">
        <x:v>security review</x:v>
      </x:c>
      <x:c r="C120" s="8" t="str">
        <x:v>Windows</x:v>
      </x:c>
      <x:c r="D120" s="8" t="str">
        <x:v>ship</x:v>
      </x:c>
      <x:c r="E120" s="8" t="str">
        <x:v>Mei</x:v>
      </x:c>
      <x:c r="F120" s="8" t="str">
        <x:v>unrated</x:v>
      </x:c>
      <x:c r="G120" s="8"/>
      <x:c r="H120" s="8" t="str">
        <x:v>Potential duplicate: this paragraph is repeated in another section to test deduplication and chunk metadata.</x:v>
      </x:c>
      <x:c r="I120" s="8"/>
    </x:row>
    <x:row r="121">
      <x:c r="A121" s="8" t="str">
        <x:v>2026-01-01</x:v>
      </x:c>
      <x:c r="B121" s="8" t="str">
        <x:v>release candidate</x:v>
      </x:c>
      <x:c r="C121" s="8" t="str">
        <x:v>Windows</x:v>
      </x:c>
      <x:c r="D121" s="8" t="str">
        <x:v>hold</x:v>
      </x:c>
      <x:c r="E121" s="8" t="str">
        <x:v>Diego</x:v>
      </x:c>
      <x:c r="F121" s="8" t="str">
        <x:v>medium</x:v>
      </x:c>
      <x:c r="G121" s="8" t="str">
        <x:v>https://developer.android.com/reference/android/webkit/WebView</x:v>
      </x:c>
      <x:c r="H121" s="8" t="str">
        <x:v>The owner field was not captured in the original notes, so classification should remain conservative.</x:v>
      </x:c>
      <x:c r="I121" s="8"/>
    </x:row>
    <x:row r="122">
      <x:c r="A122" s="8" t="str">
        <x:v>2026-02-02</x:v>
      </x:c>
      <x:c r="B122" s="8" t="str">
        <x:v>security review</x:v>
      </x:c>
      <x:c r="C122" s="8" t="str">
        <x:v>Android</x:v>
      </x:c>
      <x:c r="D122" s="8" t="str">
        <x:v>hold</x:v>
      </x:c>
      <x:c r="E122" s="8" t="str">
        <x:v>Asha</x:v>
      </x:c>
      <x:c r="F122" s="8" t="str">
        <x:v>high</x:v>
      </x:c>
      <x:c r="G122" s="8" t="str">
        <x:v>https://github.com/react-native-webview/react-native-webview</x:v>
      </x:c>
      <x:c r="H122" s="8"/>
      <x:c r="I122" s="8"/>
    </x:row>
    <x:row r="123">
      <x:c r="A123" s="8"/>
      <x:c r="B123" s="8"/>
      <x:c r="C123" s="8"/>
      <x:c r="D123" s="8"/>
      <x:c r="E123" s="8"/>
      <x:c r="F123" s="8"/>
      <x:c r="G123" s="8"/>
      <x:c r="H123" s="8"/>
      <x:c r="I123" s="8"/>
    </x:row>
    <x:row r="124">
      <x:c r="A124" s="8" t="str">
        <x:v>2026-03-03</x:v>
      </x:c>
      <x:c r="B124" s="8" t="str">
        <x:v>security review</x:v>
      </x:c>
      <x:c r="C124" s="8" t="str">
        <x:v>Android</x:v>
      </x:c>
      <x:c r="D124" s="8" t="str">
        <x:v>ship</x:v>
      </x:c>
      <x:c r="E124" s="8" t="str">
        <x:v>Mei</x:v>
      </x:c>
      <x:c r="F124" s="8" t="str">
        <x:v>medium</x:v>
      </x:c>
      <x:c r="G124" s="8" t="str">
        <x:v>https://developer.microsoft.com/en-us/microsoft-edge/webview2/</x:v>
      </x:c>
      <x:c r="H124" s="8" t="str">
        <x:v>Observed in a local test run: the content rendered, but the console warning appeared twice.</x:v>
      </x:c>
      <x:c r="I124" s="8"/>
    </x:row>
    <x:row r="125">
      <x:c r="A125" s="8" t="str">
        <x:v>2026-04-04</x:v>
      </x:c>
      <x:c r="B125" s="8" t="str">
        <x:v>release candidate</x:v>
      </x:c>
      <x:c r="C125" s="8" t="str">
        <x:v>macOS</x:v>
      </x:c>
      <x:c r="D125" s="8" t="str">
        <x:v>collect more data</x:v>
      </x:c>
      <x:c r="E125" s="8" t="str">
        <x:v>No owner</x:v>
      </x:c>
      <x:c r="F125" s="8" t="str">
        <x:v>unrated</x:v>
      </x:c>
      <x:c r="G125" s="8" t="str">
        <x:v>https://github.com/react-native-webview/react-native-webview</x:v>
      </x:c>
      <x:c r="H125" s="8" t="str">
        <x:v>A blank cell here is intentional. The source workbook has notes placed away from the nearest table.</x:v>
      </x:c>
      <x:c r="I125" s="8"/>
    </x:row>
    <x:row r="126">
      <x:c r="A126" s="8" t="str">
        <x:v>2026-05-05</x:v>
      </x:c>
      <x:c r="B126" s="8" t="str">
        <x:v>performance pass</x:v>
      </x:c>
      <x:c r="C126" s="8" t="str">
        <x:v>Windows</x:v>
      </x:c>
      <x:c r="D126" s="8" t="str">
        <x:v>unknown</x:v>
      </x:c>
      <x:c r="E126" s="8" t="str">
        <x:v>Diego</x:v>
      </x:c>
      <x:c r="F126" s="8" t="str">
        <x:v>unrated</x:v>
      </x:c>
      <x:c r="G126" s="8" t="str">
        <x:v>https://learn.microsoft.com/en-us/microsoft-edge/webview2/concepts/security</x:v>
      </x:c>
      <x:c r="H126" s="8"/>
      <x:c r="I126" s="8"/>
    </x:row>
    <x:row r="127">
      <x:c r="A127" s="8" t="str">
        <x:v>2026-06-06</x:v>
      </x:c>
      <x:c r="B127" s="8" t="str">
        <x:v>performance pass</x:v>
      </x:c>
      <x:c r="C127" s="8" t="str">
        <x:v>Windows</x:v>
      </x:c>
      <x:c r="D127" s="8" t="str">
        <x:v>ship</x:v>
      </x:c>
      <x:c r="E127" s="8" t="str">
        <x:v>Ben</x:v>
      </x:c>
      <x:c r="F127" s="8" t="str">
        <x:v>high</x:v>
      </x:c>
      <x:c r="G127" s="8" t="str">
        <x:v>https://developer.microsoft.com/en-us/microsoft-edge/webview2/</x:v>
      </x:c>
      <x:c r="H127" s="8"/>
      <x:c r="I127" s="8"/>
    </x:row>
    <x:row r="128">
      <x:c r="A128" s="8" t="str">
        <x:v>2026-07-07</x:v>
      </x:c>
      <x:c r="B128" s="8" t="str">
        <x:v>release candidate</x:v>
      </x:c>
      <x:c r="C128" s="8" t="str">
        <x:v>Android</x:v>
      </x:c>
      <x:c r="D128" s="8" t="str">
        <x:v>ship</x:v>
      </x:c>
      <x:c r="E128" s="8" t="str">
        <x:v>Asha</x:v>
      </x:c>
      <x:c r="F128" s="8" t="str">
        <x:v>medium</x:v>
      </x:c>
      <x:c r="G128" s="8" t="str">
        <x:v>https://developer.microsoft.com/en-us/microsoft-edge/webview2/</x:v>
      </x:c>
      <x:c r="H128" s="8" t="str">
        <x:v>The owner field was not captured in the original notes, so classification should remain conservative.</x:v>
      </x:c>
      <x:c r="I128" s="8"/>
    </x:row>
    <x:row r="129">
      <x:c r="A129" s="8" t="str">
        <x:v>2026-08-08</x:v>
      </x:c>
      <x:c r="B129" s="8" t="str">
        <x:v>security review</x:v>
      </x:c>
      <x:c r="C129" s="8" t="str">
        <x:v>Android</x:v>
      </x:c>
      <x:c r="D129" s="8" t="str">
        <x:v>collect more data</x:v>
      </x:c>
      <x:c r="E129" s="8" t="str">
        <x:v>Ben</x:v>
      </x:c>
      <x:c r="F129" s="8" t="str">
        <x:v>high</x:v>
      </x:c>
      <x:c r="G129" s="8" t="str">
        <x:v>https://developer.android.com/reference/android/webkit/WebView</x:v>
      </x:c>
      <x:c r="H129" s="8"/>
      <x:c r="I129" s="8"/>
    </x:row>
    <x:row r="130">
      <x:c r="A130" s="8" t="str">
        <x:v>2026-09-09</x:v>
      </x:c>
      <x:c r="B130" s="8" t="str">
        <x:v>security review</x:v>
      </x:c>
      <x:c r="C130" s="8" t="str">
        <x:v>Linux</x:v>
      </x:c>
      <x:c r="D130" s="8" t="str">
        <x:v>ship</x:v>
      </x:c>
      <x:c r="E130" s="8" t="str">
        <x:v>Asha</x:v>
      </x:c>
      <x:c r="F130" s="8" t="str">
        <x:v>low</x:v>
      </x:c>
      <x:c r="G130" s="8"/>
      <x:c r="H130" s="8"/>
      <x:c r="I130" s="8"/>
    </x:row>
    <x:row r="131">
      <x:c r="A131" s="8" t="str">
        <x:v>2026-01-10</x:v>
      </x:c>
      <x:c r="B131" s="8" t="str">
        <x:v>security review</x:v>
      </x:c>
      <x:c r="C131" s="8" t="str">
        <x:v>Android</x:v>
      </x:c>
      <x:c r="D131" s="8" t="str">
        <x:v>ship</x:v>
      </x:c>
      <x:c r="E131" s="8" t="str">
        <x:v>Asha</x:v>
      </x:c>
      <x:c r="F131" s="8" t="str">
        <x:v>medium</x:v>
      </x:c>
      <x:c r="G131" s="8" t="str">
        <x:v>https://developer.android.com/reference/android/webkit/WebView</x:v>
      </x:c>
      <x:c r="H131" s="8" t="str">
        <x:v>The owner field was not captured in the original notes, so classification should remain conservative.</x:v>
      </x:c>
      <x:c r="I131" s="8"/>
    </x:row>
    <x:row r="132">
      <x:c r="A132" s="8" t="str">
        <x:v>2026-02-11</x:v>
      </x:c>
      <x:c r="B132" s="8" t="str">
        <x:v>performance pass</x:v>
      </x:c>
      <x:c r="C132" s="8" t="str">
        <x:v>Windows</x:v>
      </x:c>
      <x:c r="D132" s="8" t="str">
        <x:v>ship</x:v>
      </x:c>
      <x:c r="E132" s="8" t="str">
        <x:v>Carla</x:v>
      </x:c>
      <x:c r="F132" s="8" t="str">
        <x:v>medium</x:v>
      </x:c>
      <x:c r="G132" s="8" t="str">
        <x:v>https://developer.apple.com/documentation/webkit/wkwebview</x:v>
      </x:c>
      <x:c r="H132" s="8"/>
      <x:c r="I132" s="8"/>
    </x:row>
    <x:row r="133">
      <x:c r="A133" s="8" t="str">
        <x:v>2026-03-12</x:v>
      </x:c>
      <x:c r="B133" s="8" t="str">
        <x:v>security review</x:v>
      </x:c>
      <x:c r="C133" s="8" t="str">
        <x:v>Windows</x:v>
      </x:c>
      <x:c r="D133" s="8" t="str">
        <x:v>ship</x:v>
      </x:c>
      <x:c r="E133" s="8" t="str">
        <x:v>Diego</x:v>
      </x:c>
      <x:c r="F133" s="8" t="str">
        <x:v>high</x:v>
      </x:c>
      <x:c r="G133" s="8"/>
      <x:c r="H133" s="8"/>
      <x:c r="I133" s="8"/>
    </x:row>
    <x:row r="134">
      <x:c r="A134" s="8" t="str">
        <x:v>2026-04-13</x:v>
      </x:c>
      <x:c r="B134" s="8" t="str">
        <x:v>security review</x:v>
      </x:c>
      <x:c r="C134" s="8" t="str">
        <x:v>Linux</x:v>
      </x:c>
      <x:c r="D134" s="8" t="str">
        <x:v>unknown</x:v>
      </x:c>
      <x:c r="E134" s="8" t="str">
        <x:v>No owner</x:v>
      </x:c>
      <x:c r="F134" s="8" t="str">
        <x:v>high</x:v>
      </x:c>
      <x:c r="G134" s="8" t="str">
        <x:v>https://developer.android.com/reference/android/webkit/WebView</x:v>
      </x:c>
      <x:c r="H134" s="8" t="str">
        <x:v>Potential duplicate: this paragraph is repeated in another section to test deduplication and chunk metadata.</x:v>
      </x:c>
      <x:c r="I134" s="8"/>
    </x:row>
    <x:row r="135">
      <x:c r="A135" s="8"/>
      <x:c r="B135" s="8"/>
      <x:c r="C135" s="8"/>
      <x:c r="D135" s="8"/>
      <x:c r="E135" s="8"/>
      <x:c r="F135" s="8"/>
      <x:c r="G135" s="8"/>
      <x:c r="H135" s="8"/>
      <x:c r="I135" s="8"/>
    </x:row>
    <x:row r="136">
      <x:c r="A136" s="8" t="str">
        <x:v>2026-05-14</x:v>
      </x:c>
      <x:c r="B136" s="8" t="str">
        <x:v>release candidate</x:v>
      </x:c>
      <x:c r="C136" s="8" t="str">
        <x:v>Linux</x:v>
      </x:c>
      <x:c r="D136" s="8" t="str">
        <x:v>unknown</x:v>
      </x:c>
      <x:c r="E136" s="8" t="str">
        <x:v>No owner</x:v>
      </x:c>
      <x:c r="F136" s="8" t="str">
        <x:v>medium</x:v>
      </x:c>
      <x:c r="G136" s="8" t="str">
        <x:v>https://learn.microsoft.com/en-us/microsoft-edge/webview2/concepts/security</x:v>
      </x:c>
      <x:c r="H136" s="8" t="str">
        <x:v>Observed in a local test run: the content rendered, but the console warning appeared twice.</x:v>
      </x:c>
      <x:c r="I136" s="8"/>
    </x:row>
    <x:row r="137">
      <x:c r="A137" s="8" t="str">
        <x:v>2026-06-15</x:v>
      </x:c>
      <x:c r="B137" s="8" t="str">
        <x:v>pilot</x:v>
      </x:c>
      <x:c r="C137" s="8" t="str">
        <x:v>Linux</x:v>
      </x:c>
      <x:c r="D137" s="8" t="str">
        <x:v>unknown</x:v>
      </x:c>
      <x:c r="E137" s="8" t="str">
        <x:v>Mei</x:v>
      </x:c>
      <x:c r="F137" s="8" t="str">
        <x:v>unrated</x:v>
      </x:c>
      <x:c r="G137" s="8" t="str">
        <x:v>https://github.com/react-native-webview/react-native-webview</x:v>
      </x:c>
      <x:c r="H137" s="8" t="str">
        <x:v>This sentence is long enough to exercise wrapping and downstream chunk boundaries in Markdown output.</x:v>
      </x:c>
      <x:c r="I137" s="8"/>
    </x:row>
    <x:row r="138">
      <x:c r="A138" s="8" t="str">
        <x:v>2026-07-16</x:v>
      </x:c>
      <x:c r="B138" s="8" t="str">
        <x:v>prototype</x:v>
      </x:c>
      <x:c r="C138" s="8" t="str">
        <x:v>iOS</x:v>
      </x:c>
      <x:c r="D138" s="8" t="str">
        <x:v>unknown</x:v>
      </x:c>
      <x:c r="E138" s="8" t="str">
        <x:v>Ben</x:v>
      </x:c>
      <x:c r="F138" s="8" t="str">
        <x:v>high</x:v>
      </x:c>
      <x:c r="G138" s="8" t="str">
        <x:v>https://github.com/react-native-webview/react-native-webview</x:v>
      </x:c>
      <x:c r="H138" s="8" t="str">
        <x:v>The owner field was not captured in the original notes, so classification should remain conservative.</x:v>
      </x:c>
      <x:c r="I138" s="8"/>
    </x:row>
    <x:row r="139">
      <x:c r="A139" s="8" t="str">
        <x:v>2026-08-17</x:v>
      </x:c>
      <x:c r="B139" s="8" t="str">
        <x:v>security review</x:v>
      </x:c>
      <x:c r="C139" s="8" t="str">
        <x:v>Linux</x:v>
      </x:c>
      <x:c r="D139" s="8" t="str">
        <x:v>collect more data</x:v>
      </x:c>
      <x:c r="E139" s="8" t="str">
        <x:v>Mei</x:v>
      </x:c>
      <x:c r="F139" s="8" t="str">
        <x:v>medium</x:v>
      </x:c>
      <x:c r="G139" s="8" t="str">
        <x:v>https://developer.android.com/reference/android/webkit/WebView</x:v>
      </x:c>
      <x:c r="H139" s="8"/>
      <x:c r="I139" s="8"/>
    </x:row>
    <x:row r="140">
      <x:c r="A140" s="8" t="str">
        <x:v>2026-09-18</x:v>
      </x:c>
      <x:c r="B140" s="8" t="str">
        <x:v>security review</x:v>
      </x:c>
      <x:c r="C140" s="8" t="str">
        <x:v>iOS</x:v>
      </x:c>
      <x:c r="D140" s="8" t="str">
        <x:v>collect more data</x:v>
      </x:c>
      <x:c r="E140" s="8" t="str">
        <x:v>Mei</x:v>
      </x:c>
      <x:c r="F140" s="8" t="str">
        <x:v>high</x:v>
      </x:c>
      <x:c r="G140" s="8" t="str">
        <x:v>https://developer.apple.com/documentation/webkit/wkwebview</x:v>
      </x:c>
      <x:c r="H140" s="8" t="str">
        <x:v>Follow-up: compare the result when the network security policy is relaxed versus when it is enforced.</x:v>
      </x:c>
      <x:c r="I140" s="8"/>
    </x:row>
    <x:row r="141">
      <x:c r="A141" s="8" t="str">
        <x:v>2026-01-19</x:v>
      </x:c>
      <x:c r="B141" s="8" t="str">
        <x:v>pilot</x:v>
      </x:c>
      <x:c r="C141" s="8" t="str">
        <x:v>Windows</x:v>
      </x:c>
      <x:c r="D141" s="8" t="str">
        <x:v>unknown</x:v>
      </x:c>
      <x:c r="E141" s="8" t="str">
        <x:v>Diego</x:v>
      </x:c>
      <x:c r="F141" s="8" t="str">
        <x:v>medium</x:v>
      </x:c>
      <x:c r="G141" s="8" t="str">
        <x:v>https://github.com/react-native-webview/react-native-webview</x:v>
      </x:c>
      <x:c r="H141" s="8"/>
      <x:c r="I141" s="8"/>
    </x:row>
    <x:row r="142">
      <x:c r="A142" s="8" t="str">
        <x:v>2026-02-20</x:v>
      </x:c>
      <x:c r="B142" s="8" t="str">
        <x:v>security review</x:v>
      </x:c>
      <x:c r="C142" s="8" t="str">
        <x:v>Linux</x:v>
      </x:c>
      <x:c r="D142" s="8" t="str">
        <x:v>collect more data</x:v>
      </x:c>
      <x:c r="E142" s="8" t="str">
        <x:v>Mei</x:v>
      </x:c>
      <x:c r="F142" s="8" t="str">
        <x:v>low</x:v>
      </x:c>
      <x:c r="G142" s="8"/>
      <x:c r="H142" s="8" t="str">
        <x:v>A blank cell here is intentional. The source workbook has notes placed away from the nearest table.</x:v>
      </x:c>
      <x:c r="I142" s="8"/>
    </x:row>
    <x:row r="143">
      <x:c r="A143" s="8" t="str">
        <x:v>2026-03-21</x:v>
      </x:c>
      <x:c r="B143" s="8" t="str">
        <x:v>release candidate</x:v>
      </x:c>
      <x:c r="C143" s="8" t="str">
        <x:v>iOS</x:v>
      </x:c>
      <x:c r="D143" s="8" t="str">
        <x:v>ship</x:v>
      </x:c>
      <x:c r="E143" s="8" t="str">
        <x:v>Carla</x:v>
      </x:c>
      <x:c r="F143" s="8" t="str">
        <x:v>low</x:v>
      </x:c>
      <x:c r="G143" s="8" t="str">
        <x:v>https://developer.android.com/reference/android/webkit/WebView</x:v>
      </x:c>
      <x:c r="H143" s="8" t="str">
        <x:v>Potential duplicate: this paragraph is repeated in another section to test deduplication and chunk metadata.</x:v>
      </x:c>
      <x:c r="I143" s="8"/>
    </x:row>
    <x:row r="144">
      <x:c r="A144" s="8" t="str">
        <x:v>2026-04-22</x:v>
      </x:c>
      <x:c r="B144" s="8" t="str">
        <x:v>release candidate</x:v>
      </x:c>
      <x:c r="C144" s="8" t="str">
        <x:v>Linux</x:v>
      </x:c>
      <x:c r="D144" s="8" t="str">
        <x:v>unknown</x:v>
      </x:c>
      <x:c r="E144" s="8" t="str">
        <x:v>No owner</x:v>
      </x:c>
      <x:c r="F144" s="8" t="str">
        <x:v>low</x:v>
      </x:c>
      <x:c r="G144" s="8" t="str">
        <x:v>https://learn.microsoft.com/en-us/microsoft-edge/webview2/concepts/security</x:v>
      </x:c>
      <x:c r="H144" s="8"/>
      <x:c r="I144" s="8"/>
    </x:row>
    <x:row r="145">
      <x:c r="A145" s="9"/>
      <x:c r="B145" s="9"/>
      <x:c r="C145" s="9"/>
      <x:c r="D145" s="9"/>
      <x:c r="E145" s="9"/>
      <x:c r="F145" s="9"/>
      <x:c r="G145" s="9"/>
      <x:c r="H145" s="9"/>
      <x:c r="I145" s="9"/>
    </x:row>
  </x:sheetData>
  <x:mergeCells>
    <x:mergeCell ref="C1:I1"/>
  </x:mergeCells>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52" hidden="0" customWidth="1"/>
    <x:col min="3" max="3" width="48" hidden="0" customWidth="1"/>
    <x:col min="4" max="4" width="14" hidden="0" customWidth="1"/>
    <x:col min="5" max="5" width="22" hidden="0" customWidth="1"/>
    <x:col min="6" max="6" width="42" hidden="0" customWidth="1"/>
    <x:col min="7" max="7" width="14" hidden="0" customWidth="1"/>
    <x:col min="8" max="8" width="46" hidden="0" customWidth="1"/>
  </x:cols>
  <x:sheetData>
    <x:row r="1">
      <x:c r="A1" s="4" t="str">
        <x:v>Term</x:v>
      </x:c>
      <x:c r="B1" s="4" t="str">
        <x:v>Meaning</x:v>
      </x:c>
      <x:c r="C1" s="4" t="str">
        <x:v>Example</x:v>
      </x:c>
      <x:c r="D1" s="4" t="str">
        <x:v>Platform</x:v>
      </x:c>
      <x:c r="E1" s="4" t="str">
        <x:v>Related terms</x:v>
      </x:c>
      <x:c r="F1" s="4" t="str">
        <x:v>Source</x:v>
      </x:c>
      <x:c r="G1" s="4" t="str">
        <x:v>Confidence</x:v>
      </x:c>
      <x:c r="H1" s="4" t="str">
        <x:v>Notes</x:v>
      </x:c>
    </x:row>
    <x:row r="2">
      <x:c r="A2" s="8"/>
      <x:c r="B2" s="8"/>
      <x:c r="C2" s="8"/>
      <x:c r="D2" s="8"/>
      <x:c r="E2" s="8"/>
      <x:c r="F2" s="8"/>
      <x:c r="G2" s="8"/>
      <x:c r="H2" s="8"/>
    </x:row>
    <x:row r="3">
      <x:c r="A3" s="8" t="str">
        <x:v>bridge 1</x:v>
      </x:c>
      <x:c r="B3" s="8" t="str">
        <x:v>A blank cell here is intentional. The source workbook has notes placed away from the nearest table.</x:v>
      </x:c>
      <x:c r="C3" s="8"/>
      <x:c r="D3" s="8" t="str">
        <x:v>Linux</x:v>
      </x:c>
      <x:c r="E3" s="8" t="str">
        <x:v>security</x:v>
      </x:c>
      <x:c r="F3" s="8"/>
      <x:c r="G3" s="8" t="n">
        <x:v>0.9</x:v>
      </x:c>
      <x:c r="H3" s="8" t="str">
        <x:v>Observed in a local test run: the content rendered, but the console warning appeared twice.</x:v>
      </x:c>
    </x:row>
    <x:row r="4">
      <x:c r="A4" s="8" t="str">
        <x:v>mixed content 2</x:v>
      </x:c>
      <x:c r="B4" s="8" t="str">
        <x:v>Verify behavior on a cold start and after the page reloads without destroying the native view.</x:v>
      </x:c>
      <x:c r="C4" s="8" t="str">
        <x:v>The bridge callback is stable for small payloads, but large JSON messages show visible delay during navigation.</x:v>
      </x:c>
      <x:c r="D4" s="8" t="str">
        <x:v>Android</x:v>
      </x:c>
      <x:c r="E4" s="8" t="str">
        <x:v>deployment</x:v>
      </x:c>
      <x:c r="F4" s="8" t="str">
        <x:v>https://learn.microsoft.com/en-us/microsoft-edge/webview2/concepts/security</x:v>
      </x:c>
      <x:c r="G4" s="8" t="n">
        <x:v>0.58</x:v>
      </x:c>
      <x:c r="H4" s="8"/>
    </x:row>
    <x:row r="5">
      <x:c r="A5" s="8" t="str">
        <x:v>navigation delegate 3</x:v>
      </x:c>
      <x:c r="B5" s="8" t="str">
        <x:v>This sentence is long enough to exercise wrapping and downstream chunk boundaries in Markdown output.</x:v>
      </x:c>
      <x:c r="C5" s="8" t="str">
        <x:v>A blank cell here is intentional. The source workbook has notes placed away from the nearest table.</x:v>
      </x:c>
      <x:c r="D5" s="8" t="str">
        <x:v>Linux</x:v>
      </x:c>
      <x:c r="E5" s="8" t="str">
        <x:v>messaging</x:v>
      </x:c>
      <x:c r="F5" s="8" t="str">
        <x:v>https://github.com/react-native-webview/react-native-webview</x:v>
      </x:c>
      <x:c r="G5" s="8" t="n">
        <x:v>0.93</x:v>
      </x:c>
      <x:c r="H5" s="8" t="str">
        <x:v>Verify behavior on a cold start and after the page reloads without destroying the native view.</x:v>
      </x:c>
    </x:row>
    <x:row r="6">
      <x:c r="A6" s="8" t="str">
        <x:v>injected JavaScript 4</x:v>
      </x:c>
      <x:c r="B6" s="8" t="str">
        <x:v>A blank cell here is intentional. The source workbook has notes placed away from the nearest table.</x:v>
      </x:c>
      <x:c r="C6" s="8" t="str">
        <x:v>Potential duplicate: this paragraph is repeated in another section to test deduplication and chunk metadata.</x:v>
      </x:c>
      <x:c r="D6" s="8" t="str">
        <x:v>Android</x:v>
      </x:c>
      <x:c r="E6" s="8" t="str">
        <x:v>rendering</x:v>
      </x:c>
      <x:c r="F6" s="8" t="str">
        <x:v>https://github.com/react-native-webview/react-native-webview</x:v>
      </x:c>
      <x:c r="G6" s="8" t="n">
        <x:v>0.93</x:v>
      </x:c>
      <x:c r="H6" s="8" t="str">
        <x:v>A blank cell here is intentional. The source workbook has notes placed away from the nearest table.</x:v>
      </x:c>
    </x:row>
    <x:row r="7">
      <x:c r="A7" s="8" t="str">
        <x:v>host object 5</x:v>
      </x:c>
      <x:c r="B7" s="8" t="str">
        <x:v>The bridge callback is stable for small payloads, but large JSON messages show visible delay during navigation.</x:v>
      </x:c>
      <x:c r="C7" s="8" t="str">
        <x:v>The owner field was not captured in the original notes, so classification should remain conservative.</x:v>
      </x:c>
      <x:c r="D7" s="8" t="str">
        <x:v>Linux</x:v>
      </x:c>
      <x:c r="E7" s="8" t="str">
        <x:v>security</x:v>
      </x:c>
      <x:c r="F7" s="8"/>
      <x:c r="G7" s="8" t="n">
        <x:v>0.7</x:v>
      </x:c>
      <x:c r="H7" s="8"/>
    </x:row>
    <x:row r="8">
      <x:c r="A8" s="8" t="str">
        <x:v>user agent 6</x:v>
      </x:c>
      <x:c r="B8" s="8" t="str">
        <x:v>Follow-up: compare the result when the network security policy is relaxed versus when it is enforced.</x:v>
      </x:c>
      <x:c r="C8" s="8" t="str">
        <x:v>The owner field was not captured in the original notes, so classification should remain conservative.</x:v>
      </x:c>
      <x:c r="D8" s="8" t="str">
        <x:v>Windows</x:v>
      </x:c>
      <x:c r="E8" s="8" t="str">
        <x:v>messaging</x:v>
      </x:c>
      <x:c r="F8" s="8" t="str">
        <x:v>https://developer.android.com/reference/android/webkit/WebView</x:v>
      </x:c>
      <x:c r="G8" s="8" t="n">
        <x:v>0.75</x:v>
      </x:c>
      <x:c r="H8" s="8" t="str">
        <x:v>Verify behavior on a cold start and after the page reloads without destroying the native view.</x:v>
      </x:c>
    </x:row>
    <x:row r="9">
      <x:c r="A9" s="8" t="str">
        <x:v>user agent 7</x:v>
      </x:c>
      <x:c r="B9" s="8" t="str">
        <x:v>Potential duplicate: this paragraph is repeated in another section to test deduplication and chunk metadata.</x:v>
      </x:c>
      <x:c r="C9" s="8" t="str">
        <x:v>The bridge callback is stable for small payloads, but large JSON messages show visible delay during navigation.</x:v>
      </x:c>
      <x:c r="D9" s="8" t="str">
        <x:v>Android</x:v>
      </x:c>
      <x:c r="E9" s="8" t="str">
        <x:v>messaging</x:v>
      </x:c>
      <x:c r="F9" s="8"/>
      <x:c r="G9" s="8" t="n">
        <x:v>0.83</x:v>
      </x:c>
      <x:c r="H9" s="8" t="str">
        <x:v>The owner field was not captured in the original notes, so classification should remain conservative.</x:v>
      </x:c>
    </x:row>
    <x:row r="10">
      <x:c r="A10" s="8" t="str">
        <x:v>navigation delegate 8</x:v>
      </x:c>
      <x:c r="B10" s="8" t="str">
        <x:v>A blank cell here is intentional. The source workbook has notes placed away from the nearest table.</x:v>
      </x:c>
      <x:c r="C10" s="8" t="str">
        <x:v>The owner field was not captured in the original notes, so classification should remain conservative.</x:v>
      </x:c>
      <x:c r="D10" s="8" t="str">
        <x:v>Windows</x:v>
      </x:c>
      <x:c r="E10" s="8" t="str">
        <x:v>security</x:v>
      </x:c>
      <x:c r="F10" s="8" t="str">
        <x:v>https://learn.microsoft.com/en-us/microsoft-edge/webview2/concepts/security</x:v>
      </x:c>
      <x:c r="G10" s="8" t="n">
        <x:v>0.92</x:v>
      </x:c>
      <x:c r="H10" s="8"/>
    </x:row>
    <x:row r="11">
      <x:c r="A11" s="8" t="str">
        <x:v>user agent 9</x:v>
      </x:c>
      <x:c r="B11" s="8" t="str">
        <x:v>Observed in a local test run: the content rendered, but the console warning appeared twice.</x:v>
      </x:c>
      <x:c r="C11" s="8" t="str">
        <x:v>This sentence is long enough to exercise wrapping and downstream chunk boundaries in Markdown output.</x:v>
      </x:c>
      <x:c r="D11" s="8" t="str">
        <x:v>Linux</x:v>
      </x:c>
      <x:c r="E11" s="8" t="str">
        <x:v>messaging</x:v>
      </x:c>
      <x:c r="F11" s="8"/>
      <x:c r="G11" s="8" t="n">
        <x:v>0.64</x:v>
      </x:c>
      <x:c r="H11" s="8" t="str">
        <x:v>The bridge callback is stable for small payloads, but large JSON messages show visible delay during navigation.</x:v>
      </x:c>
    </x:row>
    <x:row r="12">
      <x:c r="A12" s="8" t="str">
        <x:v>user agent 10</x:v>
      </x:c>
      <x:c r="B12" s="8" t="str">
        <x:v>Observed in a local test run: the content rendered, but the console warning appeared twice.</x:v>
      </x:c>
      <x:c r="C12" s="8"/>
      <x:c r="D12" s="8" t="str">
        <x:v>Linux</x:v>
      </x:c>
      <x:c r="E12" s="8" t="str">
        <x:v>deployment</x:v>
      </x:c>
      <x:c r="F12" s="8" t="str">
        <x:v>https://github.com/react-native-webview/react-native-webview</x:v>
      </x:c>
      <x:c r="G12" s="8" t="n">
        <x:v>0.72</x:v>
      </x:c>
      <x:c r="H12" s="8" t="str">
        <x:v>Potential duplicate: this paragraph is repeated in another section to test deduplication and chunk metadata.</x:v>
      </x:c>
    </x:row>
    <x:row r="13">
      <x:c r="A13" s="8" t="str">
        <x:v>evergreen runtime 11</x:v>
      </x:c>
      <x:c r="B13" s="8" t="str">
        <x:v>The bridge callback is stable for small payloads, but large JSON messages show visible delay during navigation.</x:v>
      </x:c>
      <x:c r="C13" s="8"/>
      <x:c r="D13" s="8" t="str">
        <x:v>Android</x:v>
      </x:c>
      <x:c r="E13" s="8" t="str">
        <x:v>rendering</x:v>
      </x:c>
      <x:c r="F13" s="8" t="str">
        <x:v>https://developer.microsoft.com/en-us/microsoft-edge/webview2/</x:v>
      </x:c>
      <x:c r="G13" s="8" t="n">
        <x:v>0.75</x:v>
      </x:c>
      <x:c r="H13" s="8"/>
    </x:row>
    <x:row r="14">
      <x:c r="A14" s="8" t="str">
        <x:v>host object 12</x:v>
      </x:c>
      <x:c r="B14" s="8" t="str">
        <x:v>The owner field was not captured in the original notes, so classification should remain conservative.</x:v>
      </x:c>
      <x:c r="C14" s="8" t="str">
        <x:v>A blank cell here is intentional. The source workbook has notes placed away from the nearest table.</x:v>
      </x:c>
      <x:c r="D14" s="8" t="str">
        <x:v>Windows</x:v>
      </x:c>
      <x:c r="E14" s="8" t="str">
        <x:v>security</x:v>
      </x:c>
      <x:c r="F14" s="8" t="str">
        <x:v>https://developer.microsoft.com/en-us/microsoft-edge/webview2/</x:v>
      </x:c>
      <x:c r="G14" s="8" t="n">
        <x:v>0.62</x:v>
      </x:c>
      <x:c r="H14" s="8"/>
    </x:row>
    <x:row r="15">
      <x:c r="A15" s="8" t="str">
        <x:v>injected JavaScript 13</x:v>
      </x:c>
      <x:c r="B15" s="8" t="str">
        <x:v>This sentence is long enough to exercise wrapping and downstream chunk boundaries in Markdown output.</x:v>
      </x:c>
      <x:c r="C15" s="8" t="str">
        <x:v>The owner field was not captured in the original notes, so classification should remain conservative.</x:v>
      </x:c>
      <x:c r="D15" s="8" t="str">
        <x:v>Linux</x:v>
      </x:c>
      <x:c r="E15" s="8" t="str">
        <x:v>lifecycle</x:v>
      </x:c>
      <x:c r="F15" s="8"/>
      <x:c r="G15" s="8" t="n">
        <x:v>0.69</x:v>
      </x:c>
      <x:c r="H15" s="8" t="str">
        <x:v>Potential duplicate: this paragraph is repeated in another section to test deduplication and chunk metadata.</x:v>
      </x:c>
    </x:row>
    <x:row r="16">
      <x:c r="A16" s="8" t="str">
        <x:v>evergreen runtime 14</x:v>
      </x:c>
      <x:c r="B16" s="8" t="str">
        <x:v>A blank cell here is intentional. The source workbook has notes placed away from the nearest table.</x:v>
      </x:c>
      <x:c r="C16" s="8"/>
      <x:c r="D16" s="8" t="str">
        <x:v>Linux</x:v>
      </x:c>
      <x:c r="E16" s="8" t="str">
        <x:v>rendering</x:v>
      </x:c>
      <x:c r="F16" s="8"/>
      <x:c r="G16" s="8" t="n">
        <x:v>0.93</x:v>
      </x:c>
      <x:c r="H16" s="8" t="str">
        <x:v>This sentence is long enough to exercise wrapping and downstream chunk boundaries in Markdown output.</x:v>
      </x:c>
    </x:row>
    <x:row r="17">
      <x:c r="A17" s="8" t="str">
        <x:v>evergreen runtime 15</x:v>
      </x:c>
      <x:c r="B17" s="8" t="str">
        <x:v>The owner field was not captured in the original notes, so classification should remain conservative.</x:v>
      </x:c>
      <x:c r="C17" s="8"/>
      <x:c r="D17" s="8" t="str">
        <x:v>Windows</x:v>
      </x:c>
      <x:c r="E17" s="8" t="str">
        <x:v>lifecycle</x:v>
      </x:c>
      <x:c r="F17" s="8" t="str">
        <x:v>https://developer.microsoft.com/en-us/microsoft-edge/webview2/</x:v>
      </x:c>
      <x:c r="G17" s="8" t="n">
        <x:v>0.57</x:v>
      </x:c>
      <x:c r="H17" s="8" t="str">
        <x:v>The owner field was not captured in the original notes, so classification should remain conservative.</x:v>
      </x:c>
    </x:row>
    <x:row r="18">
      <x:c r="A18" s="8" t="str">
        <x:v>injected JavaScript 16</x:v>
      </x:c>
      <x:c r="B18" s="8" t="str">
        <x:v>Follow-up: compare the result when the network security policy is relaxed versus when it is enforced.</x:v>
      </x:c>
      <x:c r="C18" s="8" t="str">
        <x:v>The owner field was not captured in the original notes, so classification should remain conservative.</x:v>
      </x:c>
      <x:c r="D18" s="8" t="str">
        <x:v>Android</x:v>
      </x:c>
      <x:c r="E18" s="8" t="str">
        <x:v>messaging</x:v>
      </x:c>
      <x:c r="F18" s="8" t="str">
        <x:v>https://learn.microsoft.com/en-us/microsoft-edge/webview2/concepts/security</x:v>
      </x:c>
      <x:c r="G18" s="8" t="n">
        <x:v>0.6</x:v>
      </x:c>
      <x:c r="H18" s="8" t="str">
        <x:v>Verify behavior on a cold start and after the page reloads without destroying the native view.</x:v>
      </x:c>
    </x:row>
    <x:row r="19">
      <x:c r="A19" s="8" t="str">
        <x:v>injected JavaScript 17</x:v>
      </x:c>
      <x:c r="B19" s="8" t="str">
        <x:v>The owner field was not captured in the original notes, so classification should remain conservative.</x:v>
      </x:c>
      <x:c r="C19" s="8" t="str">
        <x:v>Potential duplicate: this paragraph is repeated in another section to test deduplication and chunk metadata.</x:v>
      </x:c>
      <x:c r="D19" s="8" t="str">
        <x:v>macOS</x:v>
      </x:c>
      <x:c r="E19" s="8" t="str">
        <x:v>rendering</x:v>
      </x:c>
      <x:c r="F19" s="8"/>
      <x:c r="G19" s="8" t="n">
        <x:v>0.55</x:v>
      </x:c>
      <x:c r="H19" s="8"/>
    </x:row>
    <x:row r="20">
      <x:c r="A20" s="8" t="str">
        <x:v>bridge 18</x:v>
      </x:c>
      <x:c r="B20" s="8" t="str">
        <x:v>A blank cell here is intentional. The source workbook has notes placed away from the nearest table.</x:v>
      </x:c>
      <x:c r="C20" s="8" t="str">
        <x:v>Verify behavior on a cold start and after the page reloads without destroying the native view.</x:v>
      </x:c>
      <x:c r="D20" s="8" t="str">
        <x:v>Linux</x:v>
      </x:c>
      <x:c r="E20" s="8" t="str">
        <x:v>security</x:v>
      </x:c>
      <x:c r="F20" s="8"/>
      <x:c r="G20" s="8" t="n">
        <x:v>0.67</x:v>
      </x:c>
      <x:c r="H20" s="8"/>
    </x:row>
    <x:row r="21">
      <x:c r="A21" s="8" t="str">
        <x:v>bridge 19</x:v>
      </x:c>
      <x:c r="B21" s="8" t="str">
        <x:v>The owner field was not captured in the original notes, so classification should remain conservative.</x:v>
      </x:c>
      <x:c r="C21" s="8" t="str">
        <x:v>Potential duplicate: this paragraph is repeated in another section to test deduplication and chunk metadata.</x:v>
      </x:c>
      <x:c r="D21" s="8" t="str">
        <x:v>Windows</x:v>
      </x:c>
      <x:c r="E21" s="8" t="str">
        <x:v>lifecycle</x:v>
      </x:c>
      <x:c r="F21" s="8"/>
      <x:c r="G21" s="8" t="n">
        <x:v>0.88</x:v>
      </x:c>
      <x:c r="H21" s="8" t="str">
        <x:v>Verify behavior on a cold start and after the page reloads without destroying the native view.</x:v>
      </x:c>
    </x:row>
    <x:row r="22">
      <x:c r="A22" s="8" t="str">
        <x:v>host object 20</x:v>
      </x:c>
      <x:c r="B22" s="8" t="str">
        <x:v>Follow-up: compare the result when the network security policy is relaxed versus when it is enforced.</x:v>
      </x:c>
      <x:c r="C22" s="8" t="str">
        <x:v>The bridge callback is stable for small payloads, but large JSON messages show visible delay during navigation.</x:v>
      </x:c>
      <x:c r="D22" s="8" t="str">
        <x:v>Android</x:v>
      </x:c>
      <x:c r="E22" s="8" t="str">
        <x:v>messaging</x:v>
      </x:c>
      <x:c r="F22" s="8" t="str">
        <x:v>https://learn.microsoft.com/en-us/microsoft-edge/webview2/concepts/security</x:v>
      </x:c>
      <x:c r="G22" s="8" t="n">
        <x:v>0.85</x:v>
      </x:c>
      <x:c r="H22" s="8"/>
    </x:row>
    <x:row r="23">
      <x:c r="A23" s="8" t="str">
        <x:v>evergreen runtime 21</x:v>
      </x:c>
      <x:c r="B23" s="8" t="str">
        <x:v>The owner field was not captured in the original notes, so classification should remain conservative.</x:v>
      </x:c>
      <x:c r="C23" s="8" t="str">
        <x:v>Observed in a local test run: the content rendered, but the console warning appeared twice.</x:v>
      </x:c>
      <x:c r="D23" s="8" t="str">
        <x:v>Linux</x:v>
      </x:c>
      <x:c r="E23" s="8" t="str">
        <x:v>security</x:v>
      </x:c>
      <x:c r="F23" s="8"/>
      <x:c r="G23" s="8" t="n">
        <x:v>0.74</x:v>
      </x:c>
      <x:c r="H23" s="8"/>
    </x:row>
    <x:row r="24">
      <x:c r="A24" s="8" t="str">
        <x:v>evergreen runtime 22</x:v>
      </x:c>
      <x:c r="B24" s="8" t="str">
        <x:v>The owner field was not captured in the original notes, so classification should remain conservative.</x:v>
      </x:c>
      <x:c r="C24" s="8"/>
      <x:c r="D24" s="8" t="str">
        <x:v>Linux</x:v>
      </x:c>
      <x:c r="E24" s="8" t="str">
        <x:v>rendering</x:v>
      </x:c>
      <x:c r="F24" s="8" t="str">
        <x:v>https://developer.microsoft.com/en-us/microsoft-edge/webview2/</x:v>
      </x:c>
      <x:c r="G24" s="8" t="n">
        <x:v>0.74</x:v>
      </x:c>
      <x:c r="H24" s="8"/>
    </x:row>
    <x:row r="25">
      <x:c r="A25" s="8" t="str">
        <x:v>injected JavaScript 23</x:v>
      </x:c>
      <x:c r="B25" s="8" t="str">
        <x:v>The owner field was not captured in the original notes, so classification should remain conservative.</x:v>
      </x:c>
      <x:c r="C25" s="8" t="str">
        <x:v>This sentence is long enough to exercise wrapping and downstream chunk boundaries in Markdown output.</x:v>
      </x:c>
      <x:c r="D25" s="8" t="str">
        <x:v>Android</x:v>
      </x:c>
      <x:c r="E25" s="8" t="str">
        <x:v>rendering</x:v>
      </x:c>
      <x:c r="F25" s="8" t="str">
        <x:v>https://learn.microsoft.com/en-us/microsoft-edge/webview2/concepts/security</x:v>
      </x:c>
      <x:c r="G25" s="8" t="n">
        <x:v>0.61</x:v>
      </x:c>
      <x:c r="H25" s="8"/>
    </x:row>
    <x:row r="26">
      <x:c r="A26" s="8" t="str">
        <x:v>mixed content 24</x:v>
      </x:c>
      <x:c r="B26" s="8" t="str">
        <x:v>The owner field was not captured in the original notes, so classification should remain conservative.</x:v>
      </x:c>
      <x:c r="C26" s="8" t="str">
        <x:v>Follow-up: compare the result when the network security policy is relaxed versus when it is enforced.</x:v>
      </x:c>
      <x:c r="D26" s="8" t="str">
        <x:v>Android</x:v>
      </x:c>
      <x:c r="E26" s="8" t="str">
        <x:v>rendering</x:v>
      </x:c>
      <x:c r="F26" s="8" t="str">
        <x:v>https://github.com/react-native-webview/react-native-webview</x:v>
      </x:c>
      <x:c r="G26" s="8" t="n">
        <x:v>0.68</x:v>
      </x:c>
      <x:c r="H26" s="8" t="str">
        <x:v>This sentence is long enough to exercise wrapping and downstream chunk boundaries in Markdown output.</x:v>
      </x:c>
    </x:row>
    <x:row r="27">
      <x:c r="A27" s="8" t="str">
        <x:v>navigation delegate 25</x:v>
      </x:c>
      <x:c r="B27" s="8" t="str">
        <x:v>Observed in a local test run: the content rendered, but the console warning appeared twice.</x:v>
      </x:c>
      <x:c r="C27" s="8" t="str">
        <x:v>The owner field was not captured in the original notes, so classification should remain conservative.</x:v>
      </x:c>
      <x:c r="D27" s="8" t="str">
        <x:v>macOS</x:v>
      </x:c>
      <x:c r="E27" s="8" t="str">
        <x:v>messaging</x:v>
      </x:c>
      <x:c r="F27" s="8"/>
      <x:c r="G27" s="8" t="n">
        <x:v>0.64</x:v>
      </x:c>
      <x:c r="H27" s="8"/>
    </x:row>
    <x:row r="28">
      <x:c r="A28" s="8" t="str">
        <x:v>host object 26</x:v>
      </x:c>
      <x:c r="B28" s="8" t="str">
        <x:v>A blank cell here is intentional. The source workbook has notes placed away from the nearest table.</x:v>
      </x:c>
      <x:c r="C28" s="8" t="str">
        <x:v>The owner field was not captured in the original notes, so classification should remain conservative.</x:v>
      </x:c>
      <x:c r="D28" s="8" t="str">
        <x:v>Android</x:v>
      </x:c>
      <x:c r="E28" s="8" t="str">
        <x:v>deployment</x:v>
      </x:c>
      <x:c r="F28" s="8"/>
      <x:c r="G28" s="8" t="n">
        <x:v>0.75</x:v>
      </x:c>
      <x:c r="H28" s="8"/>
    </x:row>
    <x:row r="29">
      <x:c r="A29" s="8" t="str">
        <x:v>mixed content 27</x:v>
      </x:c>
      <x:c r="B29" s="8" t="str">
        <x:v>The bridge callback is stable for small payloads, but large JSON messages show visible delay during navigation.</x:v>
      </x:c>
      <x:c r="C29" s="8"/>
      <x:c r="D29" s="8" t="str">
        <x:v>Linux</x:v>
      </x:c>
      <x:c r="E29" s="8" t="str">
        <x:v>rendering</x:v>
      </x:c>
      <x:c r="F29" s="8" t="str">
        <x:v>https://developer.android.com/reference/android/webkit/WebView</x:v>
      </x:c>
      <x:c r="G29" s="8" t="n">
        <x:v>0.7</x:v>
      </x:c>
      <x:c r="H29" s="8"/>
    </x:row>
    <x:row r="30">
      <x:c r="A30" s="8" t="str">
        <x:v>injected JavaScript 28</x:v>
      </x:c>
      <x:c r="B30" s="8" t="str">
        <x:v>Follow-up: compare the result when the network security policy is relaxed versus when it is enforced.</x:v>
      </x:c>
      <x:c r="C30" s="8"/>
      <x:c r="D30" s="8" t="str">
        <x:v>Android</x:v>
      </x:c>
      <x:c r="E30" s="8" t="str">
        <x:v>rendering</x:v>
      </x:c>
      <x:c r="F30" s="8" t="str">
        <x:v>https://learn.microsoft.com/en-us/microsoft-edge/webview2/concepts/security</x:v>
      </x:c>
      <x:c r="G30" s="8" t="n">
        <x:v>0.88</x:v>
      </x:c>
      <x:c r="H30" s="8" t="str">
        <x:v>This sentence is long enough to exercise wrapping and downstream chunk boundaries in Markdown output.</x:v>
      </x:c>
    </x:row>
    <x:row r="31">
      <x:c r="A31" s="8" t="str">
        <x:v>user agent 29</x:v>
      </x:c>
      <x:c r="B31" s="8" t="str">
        <x:v>A blank cell here is intentional. The source workbook has notes placed away from the nearest table.</x:v>
      </x:c>
      <x:c r="C31" s="8"/>
      <x:c r="D31" s="8" t="str">
        <x:v>Windows</x:v>
      </x:c>
      <x:c r="E31" s="8" t="str">
        <x:v>messaging</x:v>
      </x:c>
      <x:c r="F31" s="8" t="str">
        <x:v>https://developer.microsoft.com/en-us/microsoft-edge/webview2/</x:v>
      </x:c>
      <x:c r="G31" s="8" t="n">
        <x:v>0.92</x:v>
      </x:c>
      <x:c r="H31" s="8"/>
    </x:row>
    <x:row r="32">
      <x:c r="A32" s="8"/>
      <x:c r="B32" s="8"/>
      <x:c r="C32" s="8"/>
      <x:c r="D32" s="8"/>
      <x:c r="E32" s="8"/>
      <x:c r="F32" s="8"/>
      <x:c r="G32" s="8"/>
      <x:c r="H32" s="8"/>
    </x:row>
    <x:row r="33">
      <x:c r="A33" s="8" t="str">
        <x:v>host object 30</x:v>
      </x:c>
      <x:c r="B33" s="8" t="str">
        <x:v>This sentence is long enough to exercise wrapping and downstream chunk boundaries in Markdown output.</x:v>
      </x:c>
      <x:c r="C33" s="8"/>
      <x:c r="D33" s="8" t="str">
        <x:v>Android</x:v>
      </x:c>
      <x:c r="E33" s="8" t="str">
        <x:v>lifecycle</x:v>
      </x:c>
      <x:c r="F33" s="8" t="str">
        <x:v>https://learn.microsoft.com/en-us/microsoft-edge/webview2/concepts/security</x:v>
      </x:c>
      <x:c r="G33" s="8" t="n">
        <x:v>0.98</x:v>
      </x:c>
      <x:c r="H33" s="8" t="str">
        <x:v>A blank cell here is intentional. The source workbook has notes placed away from the nearest table.</x:v>
      </x:c>
    </x:row>
    <x:row r="34">
      <x:c r="A34" s="8" t="str">
        <x:v>user agent 31</x:v>
      </x:c>
      <x:c r="B34" s="8" t="str">
        <x:v>Verify behavior on a cold start and after the page reloads without destroying the native view.</x:v>
      </x:c>
      <x:c r="C34" s="8" t="str">
        <x:v>A blank cell here is intentional. The source workbook has notes placed away from the nearest table.</x:v>
      </x:c>
      <x:c r="D34" s="8" t="str">
        <x:v>Windows</x:v>
      </x:c>
      <x:c r="E34" s="8" t="str">
        <x:v>security</x:v>
      </x:c>
      <x:c r="F34" s="8" t="str">
        <x:v>https://developer.apple.com/documentation/webkit/wkwebview</x:v>
      </x:c>
      <x:c r="G34" s="8" t="n">
        <x:v>0.71</x:v>
      </x:c>
      <x:c r="H34" s="8" t="str">
        <x:v>This sentence is long enough to exercise wrapping and downstream chunk boundaries in Markdown output.</x:v>
      </x:c>
    </x:row>
    <x:row r="35">
      <x:c r="A35" s="8" t="str">
        <x:v>profile 32</x:v>
      </x:c>
      <x:c r="B35" s="8" t="str">
        <x:v>The bridge callback is stable for small payloads, but large JSON messages show visible delay during navigation.</x:v>
      </x:c>
      <x:c r="C35" s="8"/>
      <x:c r="D35" s="8" t="str">
        <x:v>macOS</x:v>
      </x:c>
      <x:c r="E35" s="8" t="str">
        <x:v>lifecycle</x:v>
      </x:c>
      <x:c r="F35" s="8" t="str">
        <x:v>https://developer.apple.com/documentation/webkit/wkwebview</x:v>
      </x:c>
      <x:c r="G35" s="8" t="n">
        <x:v>0.96</x:v>
      </x:c>
      <x:c r="H35" s="8"/>
    </x:row>
    <x:row r="36">
      <x:c r="A36" s="8" t="str">
        <x:v>evergreen runtime 33</x:v>
      </x:c>
      <x:c r="B36" s="8" t="str">
        <x:v>A blank cell here is intentional. The source workbook has notes placed away from the nearest table.</x:v>
      </x:c>
      <x:c r="C36" s="8" t="str">
        <x:v>Observed in a local test run: the content rendered, but the console warning appeared twice.</x:v>
      </x:c>
      <x:c r="D36" s="8" t="str">
        <x:v>iOS</x:v>
      </x:c>
      <x:c r="E36" s="8" t="str">
        <x:v>lifecycle</x:v>
      </x:c>
      <x:c r="F36" s="8" t="str">
        <x:v>https://github.com/react-native-webview/react-native-webview</x:v>
      </x:c>
      <x:c r="G36" s="8" t="n">
        <x:v>0.95</x:v>
      </x:c>
      <x:c r="H36" s="8" t="str">
        <x:v>Follow-up: compare the result when the network security policy is relaxed versus when it is enforced.</x:v>
      </x:c>
    </x:row>
    <x:row r="37">
      <x:c r="A37" s="8" t="str">
        <x:v>navigation delegate 34</x:v>
      </x:c>
      <x:c r="B37" s="8" t="str">
        <x:v>A blank cell here is intentional. The source workbook has notes placed away from the nearest table.</x:v>
      </x:c>
      <x:c r="C37" s="8"/>
      <x:c r="D37" s="8" t="str">
        <x:v>iOS</x:v>
      </x:c>
      <x:c r="E37" s="8" t="str">
        <x:v>messaging</x:v>
      </x:c>
      <x:c r="F37" s="8"/>
      <x:c r="G37" s="8" t="n">
        <x:v>0.9</x:v>
      </x:c>
      <x:c r="H37" s="8" t="str">
        <x:v>This sentence is long enough to exercise wrapping and downstream chunk boundaries in Markdown output.</x:v>
      </x:c>
    </x:row>
    <x:row r="38">
      <x:c r="A38" s="8" t="str">
        <x:v>injected JavaScript 35</x:v>
      </x:c>
      <x:c r="B38" s="8" t="str">
        <x:v>This sentence is long enough to exercise wrapping and downstream chunk boundaries in Markdown output.</x:v>
      </x:c>
      <x:c r="C38" s="8" t="str">
        <x:v>The owner field was not captured in the original notes, so classification should remain conservative.</x:v>
      </x:c>
      <x:c r="D38" s="8" t="str">
        <x:v>Android</x:v>
      </x:c>
      <x:c r="E38" s="8" t="str">
        <x:v>deployment</x:v>
      </x:c>
      <x:c r="F38" s="8"/>
      <x:c r="G38" s="8" t="n">
        <x:v>0.72</x:v>
      </x:c>
      <x:c r="H38" s="8" t="str">
        <x:v>Verify behavior on a cold start and after the page reloads without destroying the native view.</x:v>
      </x:c>
    </x:row>
    <x:row r="39">
      <x:c r="A39" s="8" t="str">
        <x:v>bridge 36</x:v>
      </x:c>
      <x:c r="B39" s="8" t="str">
        <x:v>Follow-up: compare the result when the network security policy is relaxed versus when it is enforced.</x:v>
      </x:c>
      <x:c r="C39" s="8" t="str">
        <x:v>A blank cell here is intentional. The source workbook has notes placed away from the nearest table.</x:v>
      </x:c>
      <x:c r="D39" s="8" t="str">
        <x:v>macOS</x:v>
      </x:c>
      <x:c r="E39" s="8" t="str">
        <x:v>lifecycle</x:v>
      </x:c>
      <x:c r="F39" s="8"/>
      <x:c r="G39" s="8" t="n">
        <x:v>0.7</x:v>
      </x:c>
      <x:c r="H39" s="8" t="str">
        <x:v>Follow-up: compare the result when the network security policy is relaxed versus when it is enforced.</x:v>
      </x:c>
    </x:row>
    <x:row r="40">
      <x:c r="A40" s="8" t="str">
        <x:v>bridge 37</x:v>
      </x:c>
      <x:c r="B40" s="8" t="str">
        <x:v>Potential duplicate: this paragraph is repeated in another section to test deduplication and chunk metadata.</x:v>
      </x:c>
      <x:c r="C40" s="8" t="str">
        <x:v>Potential duplicate: this paragraph is repeated in another section to test deduplication and chunk metadata.</x:v>
      </x:c>
      <x:c r="D40" s="8" t="str">
        <x:v>macOS</x:v>
      </x:c>
      <x:c r="E40" s="8" t="str">
        <x:v>deployment</x:v>
      </x:c>
      <x:c r="F40" s="8" t="str">
        <x:v>https://learn.microsoft.com/en-us/microsoft-edge/webview2/concepts/security</x:v>
      </x:c>
      <x:c r="G40" s="8" t="n">
        <x:v>0.62</x:v>
      </x:c>
      <x:c r="H40" s="8"/>
    </x:row>
    <x:row r="41">
      <x:c r="A41" s="8" t="str">
        <x:v>user agent 38</x:v>
      </x:c>
      <x:c r="B41" s="8" t="str">
        <x:v>The bridge callback is stable for small payloads, but large JSON messages show visible delay during navigation.</x:v>
      </x:c>
      <x:c r="C41" s="8"/>
      <x:c r="D41" s="8" t="str">
        <x:v>Windows</x:v>
      </x:c>
      <x:c r="E41" s="8" t="str">
        <x:v>deployment</x:v>
      </x:c>
      <x:c r="F41" s="8"/>
      <x:c r="G41" s="8" t="n">
        <x:v>0.58</x:v>
      </x:c>
      <x:c r="H41" s="8" t="str">
        <x:v>Follow-up: compare the result when the network security policy is relaxed versus when it is enforced.</x:v>
      </x:c>
    </x:row>
    <x:row r="42">
      <x:c r="A42" s="8" t="str">
        <x:v>navigation delegate 39</x:v>
      </x:c>
      <x:c r="B42" s="8" t="str">
        <x:v>Follow-up: compare the result when the network security policy is relaxed versus when it is enforced.</x:v>
      </x:c>
      <x:c r="C42" s="8" t="str">
        <x:v>Potential duplicate: this paragraph is repeated in another section to test deduplication and chunk metadata.</x:v>
      </x:c>
      <x:c r="D42" s="8" t="str">
        <x:v>Linux</x:v>
      </x:c>
      <x:c r="E42" s="8" t="str">
        <x:v>deployment</x:v>
      </x:c>
      <x:c r="F42" s="8" t="str">
        <x:v>https://developer.apple.com/documentation/webkit/wkwebview</x:v>
      </x:c>
      <x:c r="G42" s="8" t="n">
        <x:v>0.65</x:v>
      </x:c>
      <x:c r="H42" s="8" t="str">
        <x:v>The owner field was not captured in the original notes, so classification should remain conservative.</x:v>
      </x:c>
    </x:row>
    <x:row r="43">
      <x:c r="A43" s="8" t="str">
        <x:v>profile 40</x:v>
      </x:c>
      <x:c r="B43" s="8" t="str">
        <x:v>Observed in a local test run: the content rendered, but the console warning appeared twice.</x:v>
      </x:c>
      <x:c r="C43" s="8" t="str">
        <x:v>Follow-up: compare the result when the network security policy is relaxed versus when it is enforced.</x:v>
      </x:c>
      <x:c r="D43" s="8" t="str">
        <x:v>Linux</x:v>
      </x:c>
      <x:c r="E43" s="8" t="str">
        <x:v>lifecycle</x:v>
      </x:c>
      <x:c r="F43" s="8"/>
      <x:c r="G43" s="8" t="n">
        <x:v>0.59</x:v>
      </x:c>
      <x:c r="H43" s="8" t="str">
        <x:v>Verify behavior on a cold start and after the page reloads without destroying the native view.</x:v>
      </x:c>
    </x:row>
    <x:row r="44">
      <x:c r="A44" s="8" t="str">
        <x:v>profile 41</x:v>
      </x:c>
      <x:c r="B44" s="8" t="str">
        <x:v>A blank cell here is intentional. The source workbook has notes placed away from the nearest table.</x:v>
      </x:c>
      <x:c r="C44" s="8"/>
      <x:c r="D44" s="8" t="str">
        <x:v>Linux</x:v>
      </x:c>
      <x:c r="E44" s="8" t="str">
        <x:v>rendering</x:v>
      </x:c>
      <x:c r="F44" s="8" t="str">
        <x:v>https://github.com/react-native-webview/react-native-webview</x:v>
      </x:c>
      <x:c r="G44" s="8" t="n">
        <x:v>0.7</x:v>
      </x:c>
      <x:c r="H44" s="8"/>
    </x:row>
    <x:row r="45">
      <x:c r="A45" s="8" t="str">
        <x:v>user agent 42</x:v>
      </x:c>
      <x:c r="B45" s="8" t="str">
        <x:v>This sentence is long enough to exercise wrapping and downstream chunk boundaries in Markdown output.</x:v>
      </x:c>
      <x:c r="C45" s="8" t="str">
        <x:v>Verify behavior on a cold start and after the page reloads without destroying the native view.</x:v>
      </x:c>
      <x:c r="D45" s="8" t="str">
        <x:v>Linux</x:v>
      </x:c>
      <x:c r="E45" s="8" t="str">
        <x:v>rendering</x:v>
      </x:c>
      <x:c r="F45" s="8"/>
      <x:c r="G45" s="8" t="n">
        <x:v>1</x:v>
      </x:c>
      <x:c r="H45" s="8"/>
    </x:row>
    <x:row r="46">
      <x:c r="A46" s="8" t="str">
        <x:v>mixed content 43</x:v>
      </x:c>
      <x:c r="B46" s="8" t="str">
        <x:v>This sentence is long enough to exercise wrapping and downstream chunk boundaries in Markdown output.</x:v>
      </x:c>
      <x:c r="C46" s="8" t="str">
        <x:v>The owner field was not captured in the original notes, so classification should remain conservative.</x:v>
      </x:c>
      <x:c r="D46" s="8" t="str">
        <x:v>Linux</x:v>
      </x:c>
      <x:c r="E46" s="8" t="str">
        <x:v>deployment</x:v>
      </x:c>
      <x:c r="F46" s="8" t="str">
        <x:v>https://developer.android.com/reference/android/webkit/WebView</x:v>
      </x:c>
      <x:c r="G46" s="8" t="n">
        <x:v>0.69</x:v>
      </x:c>
      <x:c r="H46" s="8" t="str">
        <x:v>The owner field was not captured in the original notes, so classification should remain conservative.</x:v>
      </x:c>
    </x:row>
    <x:row r="47">
      <x:c r="A47" s="8" t="str">
        <x:v>host object 44</x:v>
      </x:c>
      <x:c r="B47" s="8" t="str">
        <x:v>A blank cell here is intentional. The source workbook has notes placed away from the nearest table.</x:v>
      </x:c>
      <x:c r="C47" s="8" t="str">
        <x:v>The owner field was not captured in the original notes, so classification should remain conservative.</x:v>
      </x:c>
      <x:c r="D47" s="8" t="str">
        <x:v>macOS</x:v>
      </x:c>
      <x:c r="E47" s="8" t="str">
        <x:v>rendering</x:v>
      </x:c>
      <x:c r="F47" s="8" t="str">
        <x:v>https://learn.microsoft.com/en-us/microsoft-edge/webview2/concepts/security</x:v>
      </x:c>
      <x:c r="G47" s="8" t="n">
        <x:v>0.62</x:v>
      </x:c>
      <x:c r="H47" s="8" t="str">
        <x:v>The owner field was not captured in the original notes, so classification should remain conservative.</x:v>
      </x:c>
    </x:row>
    <x:row r="48">
      <x:c r="A48" s="8" t="str">
        <x:v>injected JavaScript 45</x:v>
      </x:c>
      <x:c r="B48" s="8" t="str">
        <x:v>Verify behavior on a cold start and after the page reloads without destroying the native view.</x:v>
      </x:c>
      <x:c r="C48" s="8" t="str">
        <x:v>This sentence is long enough to exercise wrapping and downstream chunk boundaries in Markdown output.</x:v>
      </x:c>
      <x:c r="D48" s="8" t="str">
        <x:v>macOS</x:v>
      </x:c>
      <x:c r="E48" s="8" t="str">
        <x:v>security</x:v>
      </x:c>
      <x:c r="F48" s="8" t="str">
        <x:v>https://learn.microsoft.com/en-us/microsoft-edge/webview2/concepts/security</x:v>
      </x:c>
      <x:c r="G48" s="8" t="n">
        <x:v>0.79</x:v>
      </x:c>
      <x:c r="H48" s="8"/>
    </x:row>
    <x:row r="49">
      <x:c r="A49" s="8" t="str">
        <x:v>evergreen runtime 46</x:v>
      </x:c>
      <x:c r="B49" s="8" t="str">
        <x:v>Verify behavior on a cold start and after the page reloads without destroying the native view.</x:v>
      </x:c>
      <x:c r="C49" s="8" t="str">
        <x:v>Follow-up: compare the result when the network security policy is relaxed versus when it is enforced.</x:v>
      </x:c>
      <x:c r="D49" s="8" t="str">
        <x:v>Android</x:v>
      </x:c>
      <x:c r="E49" s="8" t="str">
        <x:v>lifecycle</x:v>
      </x:c>
      <x:c r="F49" s="8" t="str">
        <x:v>https://developer.android.com/reference/android/webkit/WebView</x:v>
      </x:c>
      <x:c r="G49" s="8" t="n">
        <x:v>0.63</x:v>
      </x:c>
      <x:c r="H49" s="8" t="str">
        <x:v>The owner field was not captured in the original notes, so classification should remain conservative.</x:v>
      </x:c>
    </x:row>
    <x:row r="50">
      <x:c r="A50" s="8" t="str">
        <x:v>navigation delegate 47</x:v>
      </x:c>
      <x:c r="B50" s="8" t="str">
        <x:v>Potential duplicate: this paragraph is repeated in another section to test deduplication and chunk metadata.</x:v>
      </x:c>
      <x:c r="C50" s="8" t="str">
        <x:v>Observed in a local test run: the content rendered, but the console warning appeared twice.</x:v>
      </x:c>
      <x:c r="D50" s="8" t="str">
        <x:v>iOS</x:v>
      </x:c>
      <x:c r="E50" s="8" t="str">
        <x:v>security</x:v>
      </x:c>
      <x:c r="F50" s="8"/>
      <x:c r="G50" s="8" t="n">
        <x:v>0.61</x:v>
      </x:c>
      <x:c r="H50" s="8"/>
    </x:row>
    <x:row r="51">
      <x:c r="A51" s="8" t="str">
        <x:v>profile 48</x:v>
      </x:c>
      <x:c r="B51" s="8" t="str">
        <x:v>The owner field was not captured in the original notes, so classification should remain conservative.</x:v>
      </x:c>
      <x:c r="C51" s="8" t="str">
        <x:v>The bridge callback is stable for small payloads, but large JSON messages show visible delay during navigation.</x:v>
      </x:c>
      <x:c r="D51" s="8" t="str">
        <x:v>macOS</x:v>
      </x:c>
      <x:c r="E51" s="8" t="str">
        <x:v>deployment</x:v>
      </x:c>
      <x:c r="F51" s="8" t="str">
        <x:v>https://learn.microsoft.com/en-us/microsoft-edge/webview2/concepts/security</x:v>
      </x:c>
      <x:c r="G51" s="8" t="n">
        <x:v>0.78</x:v>
      </x:c>
      <x:c r="H51" s="8"/>
    </x:row>
    <x:row r="52">
      <x:c r="A52" s="8" t="str">
        <x:v>profile 49</x:v>
      </x:c>
      <x:c r="B52" s="8" t="str">
        <x:v>The owner field was not captured in the original notes, so classification should remain conservative.</x:v>
      </x:c>
      <x:c r="C52" s="8" t="str">
        <x:v>Follow-up: compare the result when the network security policy is relaxed versus when it is enforced.</x:v>
      </x:c>
      <x:c r="D52" s="8" t="str">
        <x:v>iOS</x:v>
      </x:c>
      <x:c r="E52" s="8" t="str">
        <x:v>rendering</x:v>
      </x:c>
      <x:c r="F52" s="8" t="str">
        <x:v>https://github.com/react-native-webview/react-native-webview</x:v>
      </x:c>
      <x:c r="G52" s="8" t="n">
        <x:v>0.89</x:v>
      </x:c>
      <x:c r="H52" s="8" t="str">
        <x:v>The owner field was not captured in the original notes, so classification should remain conservative.</x:v>
      </x:c>
    </x:row>
    <x:row r="53">
      <x:c r="A53" s="8" t="str">
        <x:v>evergreen runtime 50</x:v>
      </x:c>
      <x:c r="B53" s="8" t="str">
        <x:v>Potential duplicate: this paragraph is repeated in another section to test deduplication and chunk metadata.</x:v>
      </x:c>
      <x:c r="C53" s="8"/>
      <x:c r="D53" s="8" t="str">
        <x:v>Linux</x:v>
      </x:c>
      <x:c r="E53" s="8" t="str">
        <x:v>security</x:v>
      </x:c>
      <x:c r="F53" s="8" t="str">
        <x:v>https://github.com/react-native-webview/react-native-webview</x:v>
      </x:c>
      <x:c r="G53" s="8" t="n">
        <x:v>0.9</x:v>
      </x:c>
      <x:c r="H53" s="8"/>
    </x:row>
    <x:row r="54">
      <x:c r="A54" s="8" t="str">
        <x:v>injected JavaScript 51</x:v>
      </x:c>
      <x:c r="B54" s="8" t="str">
        <x:v>Verify behavior on a cold start and after the page reloads without destroying the native view.</x:v>
      </x:c>
      <x:c r="C54" s="8" t="str">
        <x:v>Follow-up: compare the result when the network security policy is relaxed versus when it is enforced.</x:v>
      </x:c>
      <x:c r="D54" s="8" t="str">
        <x:v>iOS</x:v>
      </x:c>
      <x:c r="E54" s="8" t="str">
        <x:v>lifecycle</x:v>
      </x:c>
      <x:c r="F54" s="8" t="str">
        <x:v>https://developer.android.com/reference/android/webkit/WebView</x:v>
      </x:c>
      <x:c r="G54" s="8" t="n">
        <x:v>0.65</x:v>
      </x:c>
      <x:c r="H54" s="8"/>
    </x:row>
    <x:row r="55">
      <x:c r="A55" s="8" t="str">
        <x:v>navigation delegate 52</x:v>
      </x:c>
      <x:c r="B55" s="8" t="str">
        <x:v>The owner field was not captured in the original notes, so classification should remain conservative.</x:v>
      </x:c>
      <x:c r="C55" s="8"/>
      <x:c r="D55" s="8" t="str">
        <x:v>Android</x:v>
      </x:c>
      <x:c r="E55" s="8" t="str">
        <x:v>deployment</x:v>
      </x:c>
      <x:c r="F55" s="8" t="str">
        <x:v>https://developer.microsoft.com/en-us/microsoft-edge/webview2/</x:v>
      </x:c>
      <x:c r="G55" s="8" t="n">
        <x:v>0.67</x:v>
      </x:c>
      <x:c r="H55" s="8" t="str">
        <x:v>Potential duplicate: this paragraph is repeated in another section to test deduplication and chunk metadata.</x:v>
      </x:c>
    </x:row>
    <x:row r="56">
      <x:c r="A56" s="8" t="str">
        <x:v>host object 53</x:v>
      </x:c>
      <x:c r="B56" s="8" t="str">
        <x:v>Follow-up: compare the result when the network security policy is relaxed versus when it is enforced.</x:v>
      </x:c>
      <x:c r="C56" s="8" t="str">
        <x:v>Observed in a local test run: the content rendered, but the console warning appeared twice.</x:v>
      </x:c>
      <x:c r="D56" s="8" t="str">
        <x:v>Windows</x:v>
      </x:c>
      <x:c r="E56" s="8" t="str">
        <x:v>lifecycle</x:v>
      </x:c>
      <x:c r="F56" s="8" t="str">
        <x:v>https://github.com/react-native-webview/react-native-webview</x:v>
      </x:c>
      <x:c r="G56" s="8" t="n">
        <x:v>0.75</x:v>
      </x:c>
      <x:c r="H56" s="8" t="str">
        <x:v>Observed in a local test run: the content rendered, but the console warning appeared twice.</x:v>
      </x:c>
    </x:row>
    <x:row r="57">
      <x:c r="A57" s="8" t="str">
        <x:v>evergreen runtime 54</x:v>
      </x:c>
      <x:c r="B57" s="8" t="str">
        <x:v>The owner field was not captured in the original notes, so classification should remain conservative.</x:v>
      </x:c>
      <x:c r="C57" s="8"/>
      <x:c r="D57" s="8" t="str">
        <x:v>Windows</x:v>
      </x:c>
      <x:c r="E57" s="8" t="str">
        <x:v>deployment</x:v>
      </x:c>
      <x:c r="F57" s="8"/>
      <x:c r="G57" s="8" t="n">
        <x:v>0.79</x:v>
      </x:c>
      <x:c r="H57" s="8"/>
    </x:row>
    <x:row r="58">
      <x:c r="A58" s="8" t="str">
        <x:v>bridge 55</x:v>
      </x:c>
      <x:c r="B58" s="8" t="str">
        <x:v>The owner field was not captured in the original notes, so classification should remain conservative.</x:v>
      </x:c>
      <x:c r="C58" s="8" t="str">
        <x:v>Verify behavior on a cold start and after the page reloads without destroying the native view.</x:v>
      </x:c>
      <x:c r="D58" s="8" t="str">
        <x:v>macOS</x:v>
      </x:c>
      <x:c r="E58" s="8" t="str">
        <x:v>lifecycle</x:v>
      </x:c>
      <x:c r="F58" s="8" t="str">
        <x:v>https://developer.apple.com/documentation/webkit/wkwebview</x:v>
      </x:c>
      <x:c r="G58" s="8" t="n">
        <x:v>0.72</x:v>
      </x:c>
      <x:c r="H58" s="8" t="str">
        <x:v>This sentence is long enough to exercise wrapping and downstream chunk boundaries in Markdown output.</x:v>
      </x:c>
    </x:row>
    <x:row r="59">
      <x:c r="A59" s="8" t="str">
        <x:v>profile 56</x:v>
      </x:c>
      <x:c r="B59" s="8" t="str">
        <x:v>Observed in a local test run: the content rendered, but the console warning appeared twice.</x:v>
      </x:c>
      <x:c r="C59" s="8"/>
      <x:c r="D59" s="8" t="str">
        <x:v>iOS</x:v>
      </x:c>
      <x:c r="E59" s="8" t="str">
        <x:v>lifecycle</x:v>
      </x:c>
      <x:c r="F59" s="8"/>
      <x:c r="G59" s="8" t="n">
        <x:v>0.89</x:v>
      </x:c>
      <x:c r="H59" s="8" t="str">
        <x:v>The owner field was not captured in the original notes, so classification should remain conservative.</x:v>
      </x:c>
    </x:row>
    <x:row r="60">
      <x:c r="A60" s="8" t="str">
        <x:v>host object 57</x:v>
      </x:c>
      <x:c r="B60" s="8" t="str">
        <x:v>Potential duplicate: this paragraph is repeated in another section to test deduplication and chunk metadata.</x:v>
      </x:c>
      <x:c r="C60" s="8" t="str">
        <x:v>The owner field was not captured in the original notes, so classification should remain conservative.</x:v>
      </x:c>
      <x:c r="D60" s="8" t="str">
        <x:v>macOS</x:v>
      </x:c>
      <x:c r="E60" s="8" t="str">
        <x:v>lifecycle</x:v>
      </x:c>
      <x:c r="F60" s="8" t="str">
        <x:v>https://developer.android.com/reference/android/webkit/WebView</x:v>
      </x:c>
      <x:c r="G60" s="8" t="n">
        <x:v>0.67</x:v>
      </x:c>
      <x:c r="H60" s="8"/>
    </x:row>
    <x:row r="61">
      <x:c r="A61" s="8" t="str">
        <x:v>profile 58</x:v>
      </x:c>
      <x:c r="B61" s="8" t="str">
        <x:v>The owner field was not captured in the original notes, so classification should remain conservative.</x:v>
      </x:c>
      <x:c r="C61" s="8" t="str">
        <x:v>A blank cell here is intentional. The source workbook has notes placed away from the nearest table.</x:v>
      </x:c>
      <x:c r="D61" s="8" t="str">
        <x:v>macOS</x:v>
      </x:c>
      <x:c r="E61" s="8" t="str">
        <x:v>security</x:v>
      </x:c>
      <x:c r="F61" s="8" t="str">
        <x:v>https://learn.microsoft.com/en-us/microsoft-edge/webview2/concepts/security</x:v>
      </x:c>
      <x:c r="G61" s="8" t="n">
        <x:v>0.83</x:v>
      </x:c>
      <x:c r="H61" s="8"/>
    </x:row>
    <x:row r="62">
      <x:c r="A62" s="8"/>
      <x:c r="B62" s="8"/>
      <x:c r="C62" s="8"/>
      <x:c r="D62" s="8"/>
      <x:c r="E62" s="8"/>
      <x:c r="F62" s="8"/>
      <x:c r="G62" s="8"/>
      <x:c r="H62" s="8"/>
    </x:row>
    <x:row r="63">
      <x:c r="A63" s="8" t="str">
        <x:v>host object 59</x:v>
      </x:c>
      <x:c r="B63" s="8" t="str">
        <x:v>Verify behavior on a cold start and after the page reloads without destroying the native view.</x:v>
      </x:c>
      <x:c r="C63" s="8"/>
      <x:c r="D63" s="8" t="str">
        <x:v>Windows</x:v>
      </x:c>
      <x:c r="E63" s="8" t="str">
        <x:v>security</x:v>
      </x:c>
      <x:c r="F63" s="8"/>
      <x:c r="G63" s="8" t="n">
        <x:v>0.78</x:v>
      </x:c>
      <x:c r="H63" s="8"/>
    </x:row>
    <x:row r="64">
      <x:c r="A64" s="8" t="str">
        <x:v>mixed content 60</x:v>
      </x:c>
      <x:c r="B64" s="8" t="str">
        <x:v>The bridge callback is stable for small payloads, but large JSON messages show visible delay during navigation.</x:v>
      </x:c>
      <x:c r="C64" s="8" t="str">
        <x:v>This sentence is long enough to exercise wrapping and downstream chunk boundaries in Markdown output.</x:v>
      </x:c>
      <x:c r="D64" s="8" t="str">
        <x:v>iOS</x:v>
      </x:c>
      <x:c r="E64" s="8" t="str">
        <x:v>lifecycle</x:v>
      </x:c>
      <x:c r="F64" s="8"/>
      <x:c r="G64" s="8" t="n">
        <x:v>0.77</x:v>
      </x:c>
      <x:c r="H64" s="8" t="str">
        <x:v>The owner field was not captured in the original notes, so classification should remain conservative.</x:v>
      </x:c>
    </x:row>
    <x:row r="65">
      <x:c r="A65" s="8" t="str">
        <x:v>host object 61</x:v>
      </x:c>
      <x:c r="B65" s="8" t="str">
        <x:v>Potential duplicate: this paragraph is repeated in another section to test deduplication and chunk metadata.</x:v>
      </x:c>
      <x:c r="C65" s="8"/>
      <x:c r="D65" s="8" t="str">
        <x:v>macOS</x:v>
      </x:c>
      <x:c r="E65" s="8" t="str">
        <x:v>deployment</x:v>
      </x:c>
      <x:c r="F65" s="8" t="str">
        <x:v>https://github.com/react-native-webview/react-native-webview</x:v>
      </x:c>
      <x:c r="G65" s="8" t="n">
        <x:v>0.68</x:v>
      </x:c>
      <x:c r="H65" s="8" t="str">
        <x:v>Potential duplicate: this paragraph is repeated in another section to test deduplication and chunk metadata.</x:v>
      </x:c>
    </x:row>
    <x:row r="66">
      <x:c r="A66" s="8" t="str">
        <x:v>mixed content 62</x:v>
      </x:c>
      <x:c r="B66" s="8" t="str">
        <x:v>A blank cell here is intentional. The source workbook has notes placed away from the nearest table.</x:v>
      </x:c>
      <x:c r="C66" s="8" t="str">
        <x:v>This sentence is long enough to exercise wrapping and downstream chunk boundaries in Markdown output.</x:v>
      </x:c>
      <x:c r="D66" s="8" t="str">
        <x:v>Windows</x:v>
      </x:c>
      <x:c r="E66" s="8" t="str">
        <x:v>rendering</x:v>
      </x:c>
      <x:c r="F66" s="8"/>
      <x:c r="G66" s="8" t="n">
        <x:v>0.77</x:v>
      </x:c>
      <x:c r="H66" s="8"/>
    </x:row>
    <x:row r="67">
      <x:c r="A67" s="8" t="str">
        <x:v>user agent 63</x:v>
      </x:c>
      <x:c r="B67" s="8" t="str">
        <x:v>Observed in a local test run: the content rendered, but the console warning appeared twice.</x:v>
      </x:c>
      <x:c r="C67" s="8" t="str">
        <x:v>Follow-up: compare the result when the network security policy is relaxed versus when it is enforced.</x:v>
      </x:c>
      <x:c r="D67" s="8" t="str">
        <x:v>iOS</x:v>
      </x:c>
      <x:c r="E67" s="8" t="str">
        <x:v>rendering</x:v>
      </x:c>
      <x:c r="F67" s="8"/>
      <x:c r="G67" s="8" t="n">
        <x:v>0.71</x:v>
      </x:c>
      <x:c r="H67" s="8"/>
    </x:row>
    <x:row r="68">
      <x:c r="A68" s="8" t="str">
        <x:v>evergreen runtime 64</x:v>
      </x:c>
      <x:c r="B68" s="8" t="str">
        <x:v>Potential duplicate: this paragraph is repeated in another section to test deduplication and chunk metadata.</x:v>
      </x:c>
      <x:c r="C68" s="8" t="str">
        <x:v>Potential duplicate: this paragraph is repeated in another section to test deduplication and chunk metadata.</x:v>
      </x:c>
      <x:c r="D68" s="8" t="str">
        <x:v>iOS</x:v>
      </x:c>
      <x:c r="E68" s="8" t="str">
        <x:v>lifecycle</x:v>
      </x:c>
      <x:c r="F68" s="8"/>
      <x:c r="G68" s="8" t="n">
        <x:v>0.94</x:v>
      </x:c>
      <x:c r="H68" s="8"/>
    </x:row>
    <x:row r="69">
      <x:c r="A69" s="8" t="str">
        <x:v>bridge 65</x:v>
      </x:c>
      <x:c r="B69" s="8" t="str">
        <x:v>Verify behavior on a cold start and after the page reloads without destroying the native view.</x:v>
      </x:c>
      <x:c r="C69" s="8" t="str">
        <x:v>This sentence is long enough to exercise wrapping and downstream chunk boundaries in Markdown output.</x:v>
      </x:c>
      <x:c r="D69" s="8" t="str">
        <x:v>Linux</x:v>
      </x:c>
      <x:c r="E69" s="8" t="str">
        <x:v>lifecycle</x:v>
      </x:c>
      <x:c r="F69" s="8" t="str">
        <x:v>https://developer.apple.com/documentation/webkit/wkwebview</x:v>
      </x:c>
      <x:c r="G69" s="8" t="n">
        <x:v>0.59</x:v>
      </x:c>
      <x:c r="H69" s="8"/>
    </x:row>
    <x:row r="70">
      <x:c r="A70" s="8" t="str">
        <x:v>profile 66</x:v>
      </x:c>
      <x:c r="B70" s="8" t="str">
        <x:v>This sentence is long enough to exercise wrapping and downstream chunk boundaries in Markdown output.</x:v>
      </x:c>
      <x:c r="C70" s="8" t="str">
        <x:v>The bridge callback is stable for small payloads, but large JSON messages show visible delay during navigation.</x:v>
      </x:c>
      <x:c r="D70" s="8" t="str">
        <x:v>Linux</x:v>
      </x:c>
      <x:c r="E70" s="8" t="str">
        <x:v>lifecycle</x:v>
      </x:c>
      <x:c r="F70" s="8"/>
      <x:c r="G70" s="8" t="n">
        <x:v>0.81</x:v>
      </x:c>
      <x:c r="H70" s="8" t="str">
        <x:v>This sentence is long enough to exercise wrapping and downstream chunk boundaries in Markdown output.</x:v>
      </x:c>
    </x:row>
    <x:row r="71">
      <x:c r="A71" s="8" t="str">
        <x:v>host object 67</x:v>
      </x:c>
      <x:c r="B71" s="8" t="str">
        <x:v>This sentence is long enough to exercise wrapping and downstream chunk boundaries in Markdown output.</x:v>
      </x:c>
      <x:c r="C71" s="8"/>
      <x:c r="D71" s="8" t="str">
        <x:v>Windows</x:v>
      </x:c>
      <x:c r="E71" s="8" t="str">
        <x:v>deployment</x:v>
      </x:c>
      <x:c r="F71" s="8"/>
      <x:c r="G71" s="8" t="n">
        <x:v>0.74</x:v>
      </x:c>
      <x:c r="H71" s="8"/>
    </x:row>
    <x:row r="72">
      <x:c r="A72" s="8" t="str">
        <x:v>navigation delegate 68</x:v>
      </x:c>
      <x:c r="B72" s="8" t="str">
        <x:v>Potential duplicate: this paragraph is repeated in another section to test deduplication and chunk metadata.</x:v>
      </x:c>
      <x:c r="C72" s="8" t="str">
        <x:v>A blank cell here is intentional. The source workbook has notes placed away from the nearest table.</x:v>
      </x:c>
      <x:c r="D72" s="8" t="str">
        <x:v>Android</x:v>
      </x:c>
      <x:c r="E72" s="8" t="str">
        <x:v>rendering</x:v>
      </x:c>
      <x:c r="F72" s="8"/>
      <x:c r="G72" s="8" t="n">
        <x:v>0.95</x:v>
      </x:c>
      <x:c r="H72" s="8"/>
    </x:row>
    <x:row r="73">
      <x:c r="A73" s="8" t="str">
        <x:v>navigation delegate 69</x:v>
      </x:c>
      <x:c r="B73" s="8" t="str">
        <x:v>The bridge callback is stable for small payloads, but large JSON messages show visible delay during navigation.</x:v>
      </x:c>
      <x:c r="C73" s="8"/>
      <x:c r="D73" s="8" t="str">
        <x:v>macOS</x:v>
      </x:c>
      <x:c r="E73" s="8" t="str">
        <x:v>security</x:v>
      </x:c>
      <x:c r="F73" s="8" t="str">
        <x:v>https://developer.microsoft.com/en-us/microsoft-edge/webview2/</x:v>
      </x:c>
      <x:c r="G73" s="8" t="n">
        <x:v>0.88</x:v>
      </x:c>
      <x:c r="H73" s="8"/>
    </x:row>
    <x:row r="74">
      <x:c r="A74" s="8" t="str">
        <x:v>navigation delegate 70</x:v>
      </x:c>
      <x:c r="B74" s="8" t="str">
        <x:v>This sentence is long enough to exercise wrapping and downstream chunk boundaries in Markdown output.</x:v>
      </x:c>
      <x:c r="C74" s="8" t="str">
        <x:v>The bridge callback is stable for small payloads, but large JSON messages show visible delay during navigation.</x:v>
      </x:c>
      <x:c r="D74" s="8" t="str">
        <x:v>macOS</x:v>
      </x:c>
      <x:c r="E74" s="8" t="str">
        <x:v>messaging</x:v>
      </x:c>
      <x:c r="F74" s="8" t="str">
        <x:v>https://developer.android.com/reference/android/webkit/WebView</x:v>
      </x:c>
      <x:c r="G74" s="8" t="n">
        <x:v>0.92</x:v>
      </x:c>
      <x:c r="H74" s="8" t="str">
        <x:v>Observed in a local test run: the content rendered, but the console warning appeared twice.</x:v>
      </x:c>
    </x:row>
    <x:row r="75">
      <x:c r="A75" s="8" t="str">
        <x:v>user agent 71</x:v>
      </x:c>
      <x:c r="B75" s="8" t="str">
        <x:v>A blank cell here is intentional. The source workbook has notes placed away from the nearest table.</x:v>
      </x:c>
      <x:c r="C75" s="8"/>
      <x:c r="D75" s="8" t="str">
        <x:v>macOS</x:v>
      </x:c>
      <x:c r="E75" s="8" t="str">
        <x:v>security</x:v>
      </x:c>
      <x:c r="F75" s="8"/>
      <x:c r="G75" s="8" t="n">
        <x:v>0.97</x:v>
      </x:c>
      <x:c r="H75" s="8"/>
    </x:row>
    <x:row r="76">
      <x:c r="A76" s="8" t="str">
        <x:v>profile 72</x:v>
      </x:c>
      <x:c r="B76" s="8" t="str">
        <x:v>Follow-up: compare the result when the network security policy is relaxed versus when it is enforced.</x:v>
      </x:c>
      <x:c r="C76" s="8"/>
      <x:c r="D76" s="8" t="str">
        <x:v>Windows</x:v>
      </x:c>
      <x:c r="E76" s="8" t="str">
        <x:v>messaging</x:v>
      </x:c>
      <x:c r="F76" s="8"/>
      <x:c r="G76" s="8" t="n">
        <x:v>0.66</x:v>
      </x:c>
      <x:c r="H76" s="8" t="str">
        <x:v>A blank cell here is intentional. The source workbook has notes placed away from the nearest table.</x:v>
      </x:c>
    </x:row>
    <x:row r="77">
      <x:c r="A77" s="8" t="str">
        <x:v>navigation delegate 73</x:v>
      </x:c>
      <x:c r="B77" s="8" t="str">
        <x:v>The bridge callback is stable for small payloads, but large JSON messages show visible delay during navigation.</x:v>
      </x:c>
      <x:c r="C77" s="8"/>
      <x:c r="D77" s="8" t="str">
        <x:v>macOS</x:v>
      </x:c>
      <x:c r="E77" s="8" t="str">
        <x:v>rendering</x:v>
      </x:c>
      <x:c r="F77" s="8" t="str">
        <x:v>https://developer.android.com/reference/android/webkit/WebView</x:v>
      </x:c>
      <x:c r="G77" s="8" t="n">
        <x:v>0.66</x:v>
      </x:c>
      <x:c r="H77" s="8" t="str">
        <x:v>This sentence is long enough to exercise wrapping and downstream chunk boundaries in Markdown output.</x:v>
      </x:c>
    </x:row>
    <x:row r="78">
      <x:c r="A78" s="8" t="str">
        <x:v>host object 74</x:v>
      </x:c>
      <x:c r="B78" s="8" t="str">
        <x:v>Potential duplicate: this paragraph is repeated in another section to test deduplication and chunk metadata.</x:v>
      </x:c>
      <x:c r="C78" s="8" t="str">
        <x:v>Observed in a local test run: the content rendered, but the console warning appeared twice.</x:v>
      </x:c>
      <x:c r="D78" s="8" t="str">
        <x:v>iOS</x:v>
      </x:c>
      <x:c r="E78" s="8" t="str">
        <x:v>deployment</x:v>
      </x:c>
      <x:c r="F78" s="8" t="str">
        <x:v>https://developer.microsoft.com/en-us/microsoft-edge/webview2/</x:v>
      </x:c>
      <x:c r="G78" s="8" t="n">
        <x:v>0.6</x:v>
      </x:c>
      <x:c r="H78" s="8" t="str">
        <x:v>The owner field was not captured in the original notes, so classification should remain conservative.</x:v>
      </x:c>
    </x:row>
    <x:row r="79">
      <x:c r="A79" s="8" t="str">
        <x:v>injected JavaScript 75</x:v>
      </x:c>
      <x:c r="B79" s="8" t="str">
        <x:v>Follow-up: compare the result when the network security policy is relaxed versus when it is enforced.</x:v>
      </x:c>
      <x:c r="C79" s="8" t="str">
        <x:v>Follow-up: compare the result when the network security policy is relaxed versus when it is enforced.</x:v>
      </x:c>
      <x:c r="D79" s="8" t="str">
        <x:v>Android</x:v>
      </x:c>
      <x:c r="E79" s="8" t="str">
        <x:v>rendering</x:v>
      </x:c>
      <x:c r="F79" s="8" t="str">
        <x:v>https://developer.android.com/reference/android/webkit/WebView</x:v>
      </x:c>
      <x:c r="G79" s="8" t="n">
        <x:v>0.68</x:v>
      </x:c>
      <x:c r="H79" s="8" t="str">
        <x:v>Potential duplicate: this paragraph is repeated in another section to test deduplication and chunk metadata.</x:v>
      </x:c>
    </x:row>
    <x:row r="80">
      <x:c r="A80" s="8" t="str">
        <x:v>bridge 76</x:v>
      </x:c>
      <x:c r="B80" s="8" t="str">
        <x:v>Follow-up: compare the result when the network security policy is relaxed versus when it is enforced.</x:v>
      </x:c>
      <x:c r="C80" s="8"/>
      <x:c r="D80" s="8" t="str">
        <x:v>macOS</x:v>
      </x:c>
      <x:c r="E80" s="8" t="str">
        <x:v>messaging</x:v>
      </x:c>
      <x:c r="F80" s="8"/>
      <x:c r="G80" s="8" t="n">
        <x:v>0.71</x:v>
      </x:c>
      <x:c r="H80" s="8"/>
    </x:row>
    <x:row r="81">
      <x:c r="A81" s="8" t="str">
        <x:v>profile 77</x:v>
      </x:c>
      <x:c r="B81" s="8" t="str">
        <x:v>Follow-up: compare the result when the network security policy is relaxed versus when it is enforced.</x:v>
      </x:c>
      <x:c r="C81" s="8" t="str">
        <x:v>Observed in a local test run: the content rendered, but the console warning appeared twice.</x:v>
      </x:c>
      <x:c r="D81" s="8" t="str">
        <x:v>Windows</x:v>
      </x:c>
      <x:c r="E81" s="8" t="str">
        <x:v>deployment</x:v>
      </x:c>
      <x:c r="F81" s="8"/>
      <x:c r="G81" s="8" t="n">
        <x:v>0.74</x:v>
      </x:c>
      <x:c r="H81" s="8"/>
    </x:row>
    <x:row r="82">
      <x:c r="A82" s="8" t="str">
        <x:v>bridge 78</x:v>
      </x:c>
      <x:c r="B82" s="8" t="str">
        <x:v>Follow-up: compare the result when the network security policy is relaxed versus when it is enforced.</x:v>
      </x:c>
      <x:c r="C82" s="8" t="str">
        <x:v>Potential duplicate: this paragraph is repeated in another section to test deduplication and chunk metadata.</x:v>
      </x:c>
      <x:c r="D82" s="8" t="str">
        <x:v>Linux</x:v>
      </x:c>
      <x:c r="E82" s="8" t="str">
        <x:v>messaging</x:v>
      </x:c>
      <x:c r="F82" s="8" t="str">
        <x:v>https://developer.microsoft.com/en-us/microsoft-edge/webview2/</x:v>
      </x:c>
      <x:c r="G82" s="8" t="n">
        <x:v>0.89</x:v>
      </x:c>
      <x:c r="H82" s="8" t="str">
        <x:v>Verify behavior on a cold start and after the page reloads without destroying the native view.</x:v>
      </x:c>
    </x:row>
    <x:row r="83">
      <x:c r="A83" s="8" t="str">
        <x:v>bridge 79</x:v>
      </x:c>
      <x:c r="B83" s="8" t="str">
        <x:v>Potential duplicate: this paragraph is repeated in another section to test deduplication and chunk metadata.</x:v>
      </x:c>
      <x:c r="C83" s="8"/>
      <x:c r="D83" s="8" t="str">
        <x:v>iOS</x:v>
      </x:c>
      <x:c r="E83" s="8" t="str">
        <x:v>security</x:v>
      </x:c>
      <x:c r="F83" s="8"/>
      <x:c r="G83" s="8" t="n">
        <x:v>0.61</x:v>
      </x:c>
      <x:c r="H83" s="8" t="str">
        <x:v>Verify behavior on a cold start and after the page reloads without destroying the native view.</x:v>
      </x:c>
    </x:row>
    <x:row r="84">
      <x:c r="A84" s="8" t="str">
        <x:v>mixed content 80</x:v>
      </x:c>
      <x:c r="B84" s="8" t="str">
        <x:v>The owner field was not captured in the original notes, so classification should remain conservative.</x:v>
      </x:c>
      <x:c r="C84" s="8" t="str">
        <x:v>Verify behavior on a cold start and after the page reloads without destroying the native view.</x:v>
      </x:c>
      <x:c r="D84" s="8" t="str">
        <x:v>Android</x:v>
      </x:c>
      <x:c r="E84" s="8" t="str">
        <x:v>lifecycle</x:v>
      </x:c>
      <x:c r="F84" s="8" t="str">
        <x:v>https://learn.microsoft.com/en-us/microsoft-edge/webview2/concepts/security</x:v>
      </x:c>
      <x:c r="G84" s="8" t="n">
        <x:v>0.93</x:v>
      </x:c>
      <x:c r="H84" s="8" t="str">
        <x:v>Verify behavior on a cold start and after the page reloads without destroying the native view.</x:v>
      </x:c>
    </x:row>
    <x:row r="85">
      <x:c r="A85" s="8" t="str">
        <x:v>host object 81</x:v>
      </x:c>
      <x:c r="B85" s="8" t="str">
        <x:v>Follow-up: compare the result when the network security policy is relaxed versus when it is enforced.</x:v>
      </x:c>
      <x:c r="C85" s="8" t="str">
        <x:v>The bridge callback is stable for small payloads, but large JSON messages show visible delay during navigation.</x:v>
      </x:c>
      <x:c r="D85" s="8" t="str">
        <x:v>macOS</x:v>
      </x:c>
      <x:c r="E85" s="8" t="str">
        <x:v>lifecycle</x:v>
      </x:c>
      <x:c r="F85" s="8" t="str">
        <x:v>https://developer.apple.com/documentation/webkit/wkwebview</x:v>
      </x:c>
      <x:c r="G85" s="8" t="n">
        <x:v>0.72</x:v>
      </x:c>
      <x:c r="H85" s="8" t="str">
        <x:v>The bridge callback is stable for small payloads, but large JSON messages show visible delay during navigation.</x:v>
      </x:c>
    </x:row>
    <x:row r="86">
      <x:c r="A86" s="8" t="str">
        <x:v>host object 82</x:v>
      </x:c>
      <x:c r="B86" s="8" t="str">
        <x:v>The bridge callback is stable for small payloads, but large JSON messages show visible delay during navigation.</x:v>
      </x:c>
      <x:c r="C86" s="8"/>
      <x:c r="D86" s="8" t="str">
        <x:v>macOS</x:v>
      </x:c>
      <x:c r="E86" s="8" t="str">
        <x:v>lifecycle</x:v>
      </x:c>
      <x:c r="F86" s="8"/>
      <x:c r="G86" s="8" t="n">
        <x:v>0.92</x:v>
      </x:c>
      <x:c r="H86" s="8" t="str">
        <x:v>The owner field was not captured in the original notes, so classification should remain conservative.</x:v>
      </x:c>
    </x:row>
    <x:row r="87">
      <x:c r="A87" s="8" t="str">
        <x:v>bridge 83</x:v>
      </x:c>
      <x:c r="B87" s="8" t="str">
        <x:v>A blank cell here is intentional. The source workbook has notes placed away from the nearest table.</x:v>
      </x:c>
      <x:c r="C87" s="8" t="str">
        <x:v>This sentence is long enough to exercise wrapping and downstream chunk boundaries in Markdown output.</x:v>
      </x:c>
      <x:c r="D87" s="8" t="str">
        <x:v>iOS</x:v>
      </x:c>
      <x:c r="E87" s="8" t="str">
        <x:v>messaging</x:v>
      </x:c>
      <x:c r="F87" s="8"/>
      <x:c r="G87" s="8" t="n">
        <x:v>0.94</x:v>
      </x:c>
      <x:c r="H87" s="8"/>
    </x:row>
    <x:row r="88">
      <x:c r="A88" s="8" t="str">
        <x:v>evergreen runtime 84</x:v>
      </x:c>
      <x:c r="B88" s="8" t="str">
        <x:v>The bridge callback is stable for small payloads, but large JSON messages show visible delay during navigation.</x:v>
      </x:c>
      <x:c r="C88" s="8" t="str">
        <x:v>Verify behavior on a cold start and after the page reloads without destroying the native view.</x:v>
      </x:c>
      <x:c r="D88" s="8" t="str">
        <x:v>macOS</x:v>
      </x:c>
      <x:c r="E88" s="8" t="str">
        <x:v>messaging</x:v>
      </x:c>
      <x:c r="F88" s="8" t="str">
        <x:v>https://learn.microsoft.com/en-us/microsoft-edge/webview2/concepts/security</x:v>
      </x:c>
      <x:c r="G88" s="8" t="n">
        <x:v>0.7</x:v>
      </x:c>
      <x:c r="H88" s="8"/>
    </x:row>
    <x:row r="89">
      <x:c r="A89" s="8" t="str">
        <x:v>evergreen runtime 85</x:v>
      </x:c>
      <x:c r="B89" s="8" t="str">
        <x:v>Potential duplicate: this paragraph is repeated in another section to test deduplication and chunk metadata.</x:v>
      </x:c>
      <x:c r="C89" s="8"/>
      <x:c r="D89" s="8" t="str">
        <x:v>Linux</x:v>
      </x:c>
      <x:c r="E89" s="8" t="str">
        <x:v>lifecycle</x:v>
      </x:c>
      <x:c r="F89" s="8" t="str">
        <x:v>https://learn.microsoft.com/en-us/microsoft-edge/webview2/concepts/security</x:v>
      </x:c>
      <x:c r="G89" s="8" t="n">
        <x:v>0.61</x:v>
      </x:c>
      <x:c r="H89" s="8"/>
    </x:row>
    <x:row r="90">
      <x:c r="A90" s="8" t="str">
        <x:v>navigation delegate 86</x:v>
      </x:c>
      <x:c r="B90" s="8" t="str">
        <x:v>A blank cell here is intentional. The source workbook has notes placed away from the nearest table.</x:v>
      </x:c>
      <x:c r="C90" s="8" t="str">
        <x:v>Follow-up: compare the result when the network security policy is relaxed versus when it is enforced.</x:v>
      </x:c>
      <x:c r="D90" s="8" t="str">
        <x:v>Android</x:v>
      </x:c>
      <x:c r="E90" s="8" t="str">
        <x:v>deployment</x:v>
      </x:c>
      <x:c r="F90" s="8" t="str">
        <x:v>https://learn.microsoft.com/en-us/microsoft-edge/webview2/concepts/security</x:v>
      </x:c>
      <x:c r="G90" s="8" t="n">
        <x:v>0.72</x:v>
      </x:c>
      <x:c r="H90" s="8" t="str">
        <x:v>The owner field was not captured in the original notes, so classification should remain conservative.</x:v>
      </x:c>
    </x:row>
    <x:row r="91">
      <x:c r="A91" s="8" t="str">
        <x:v>evergreen runtime 87</x:v>
      </x:c>
      <x:c r="B91" s="8" t="str">
        <x:v>Observed in a local test run: the content rendered, but the console warning appeared twice.</x:v>
      </x:c>
      <x:c r="C91" s="8" t="str">
        <x:v>A blank cell here is intentional. The source workbook has notes placed away from the nearest table.</x:v>
      </x:c>
      <x:c r="D91" s="8" t="str">
        <x:v>Windows</x:v>
      </x:c>
      <x:c r="E91" s="8" t="str">
        <x:v>security</x:v>
      </x:c>
      <x:c r="F91" s="8" t="str">
        <x:v>https://github.com/react-native-webview/react-native-webview</x:v>
      </x:c>
      <x:c r="G91" s="8" t="n">
        <x:v>0.75</x:v>
      </x:c>
      <x:c r="H91" s="8"/>
    </x:row>
    <x:row r="92">
      <x:c r="A92" s="8"/>
      <x:c r="B92" s="8"/>
      <x:c r="C92" s="8"/>
      <x:c r="D92" s="8"/>
      <x:c r="E92" s="8"/>
      <x:c r="F92" s="8"/>
      <x:c r="G92" s="8"/>
      <x:c r="H92" s="8"/>
    </x:row>
    <x:row r="93">
      <x:c r="A93" s="8" t="str">
        <x:v>injected JavaScript 88</x:v>
      </x:c>
      <x:c r="B93" s="8" t="str">
        <x:v>Observed in a local test run: the content rendered, but the console warning appeared twice.</x:v>
      </x:c>
      <x:c r="C93" s="8"/>
      <x:c r="D93" s="8" t="str">
        <x:v>Windows</x:v>
      </x:c>
      <x:c r="E93" s="8" t="str">
        <x:v>lifecycle</x:v>
      </x:c>
      <x:c r="F93" s="8" t="str">
        <x:v>https://developer.android.com/reference/android/webkit/WebView</x:v>
      </x:c>
      <x:c r="G93" s="8" t="n">
        <x:v>0.91</x:v>
      </x:c>
      <x:c r="H93" s="8" t="str">
        <x:v>Potential duplicate: this paragraph is repeated in another section to test deduplication and chunk metadata.</x:v>
      </x:c>
    </x:row>
    <x:row r="94">
      <x:c r="A94" s="8" t="str">
        <x:v>mixed content 89</x:v>
      </x:c>
      <x:c r="B94" s="8" t="str">
        <x:v>Verify behavior on a cold start and after the page reloads without destroying the native view.</x:v>
      </x:c>
      <x:c r="C94" s="8" t="str">
        <x:v>Observed in a local test run: the content rendered, but the console warning appeared twice.</x:v>
      </x:c>
      <x:c r="D94" s="8" t="str">
        <x:v>Windows</x:v>
      </x:c>
      <x:c r="E94" s="8" t="str">
        <x:v>security</x:v>
      </x:c>
      <x:c r="F94" s="8"/>
      <x:c r="G94" s="8" t="n">
        <x:v>0.95</x:v>
      </x:c>
      <x:c r="H94" s="8"/>
    </x:row>
    <x:row r="95">
      <x:c r="A95" s="8" t="str">
        <x:v>bridge 90</x:v>
      </x:c>
      <x:c r="B95" s="8" t="str">
        <x:v>Potential duplicate: this paragraph is repeated in another section to test deduplication and chunk metadata.</x:v>
      </x:c>
      <x:c r="C95" s="8"/>
      <x:c r="D95" s="8" t="str">
        <x:v>Linux</x:v>
      </x:c>
      <x:c r="E95" s="8" t="str">
        <x:v>lifecycle</x:v>
      </x:c>
      <x:c r="F95" s="8" t="str">
        <x:v>https://developer.android.com/reference/android/webkit/WebView</x:v>
      </x:c>
      <x:c r="G95" s="8" t="n">
        <x:v>0.7</x:v>
      </x:c>
      <x:c r="H95" s="8" t="str">
        <x:v>Verify behavior on a cold start and after the page reloads without destroying the native view.</x:v>
      </x:c>
    </x:row>
    <x:row r="96">
      <x:c r="A96" s="8" t="str">
        <x:v>profile 91</x:v>
      </x:c>
      <x:c r="B96" s="8" t="str">
        <x:v>Potential duplicate: this paragraph is repeated in another section to test deduplication and chunk metadata.</x:v>
      </x:c>
      <x:c r="C96" s="8"/>
      <x:c r="D96" s="8" t="str">
        <x:v>Linux</x:v>
      </x:c>
      <x:c r="E96" s="8" t="str">
        <x:v>security</x:v>
      </x:c>
      <x:c r="F96" s="8"/>
      <x:c r="G96" s="8" t="n">
        <x:v>0.65</x:v>
      </x:c>
      <x:c r="H96" s="8" t="str">
        <x:v>Observed in a local test run: the content rendered, but the console warning appeared twice.</x:v>
      </x:c>
    </x:row>
    <x:row r="97">
      <x:c r="A97" s="8" t="str">
        <x:v>host object 92</x:v>
      </x:c>
      <x:c r="B97" s="8" t="str">
        <x:v>Follow-up: compare the result when the network security policy is relaxed versus when it is enforced.</x:v>
      </x:c>
      <x:c r="C97" s="8"/>
      <x:c r="D97" s="8" t="str">
        <x:v>iOS</x:v>
      </x:c>
      <x:c r="E97" s="8" t="str">
        <x:v>rendering</x:v>
      </x:c>
      <x:c r="F97" s="8"/>
      <x:c r="G97" s="8" t="n">
        <x:v>0.61</x:v>
      </x:c>
      <x:c r="H97" s="8"/>
    </x:row>
    <x:row r="98">
      <x:c r="A98" s="8" t="str">
        <x:v>profile 93</x:v>
      </x:c>
      <x:c r="B98" s="8" t="str">
        <x:v>The owner field was not captured in the original notes, so classification should remain conservative.</x:v>
      </x:c>
      <x:c r="C98" s="8" t="str">
        <x:v>The bridge callback is stable for small payloads, but large JSON messages show visible delay during navigation.</x:v>
      </x:c>
      <x:c r="D98" s="8" t="str">
        <x:v>Android</x:v>
      </x:c>
      <x:c r="E98" s="8" t="str">
        <x:v>lifecycle</x:v>
      </x:c>
      <x:c r="F98" s="8" t="str">
        <x:v>https://learn.microsoft.com/en-us/microsoft-edge/webview2/concepts/security</x:v>
      </x:c>
      <x:c r="G98" s="8" t="n">
        <x:v>0.99</x:v>
      </x:c>
      <x:c r="H98" s="8"/>
    </x:row>
    <x:row r="99">
      <x:c r="A99" s="8" t="str">
        <x:v>profile 94</x:v>
      </x:c>
      <x:c r="B99" s="8" t="str">
        <x:v>Follow-up: compare the result when the network security policy is relaxed versus when it is enforced.</x:v>
      </x:c>
      <x:c r="C99" s="8" t="str">
        <x:v>Follow-up: compare the result when the network security policy is relaxed versus when it is enforced.</x:v>
      </x:c>
      <x:c r="D99" s="8" t="str">
        <x:v>Windows</x:v>
      </x:c>
      <x:c r="E99" s="8" t="str">
        <x:v>rendering</x:v>
      </x:c>
      <x:c r="F99" s="8" t="str">
        <x:v>https://developer.android.com/reference/android/webkit/WebView</x:v>
      </x:c>
      <x:c r="G99" s="8" t="n">
        <x:v>0.93</x:v>
      </x:c>
      <x:c r="H99" s="8"/>
    </x:row>
    <x:row r="100">
      <x:c r="A100" s="8" t="str">
        <x:v>bridge 95</x:v>
      </x:c>
      <x:c r="B100" s="8" t="str">
        <x:v>Verify behavior on a cold start and after the page reloads without destroying the native view.</x:v>
      </x:c>
      <x:c r="C100" s="8"/>
      <x:c r="D100" s="8" t="str">
        <x:v>Android</x:v>
      </x:c>
      <x:c r="E100" s="8" t="str">
        <x:v>security</x:v>
      </x:c>
      <x:c r="F100" s="8"/>
      <x:c r="G100" s="8" t="n">
        <x:v>0.61</x:v>
      </x:c>
      <x:c r="H100" s="8"/>
    </x:row>
    <x:row r="101">
      <x:c r="A101" s="8" t="str">
        <x:v>navigation delegate 96</x:v>
      </x:c>
      <x:c r="B101" s="8" t="str">
        <x:v>The owner field was not captured in the original notes, so classification should remain conservative.</x:v>
      </x:c>
      <x:c r="C101" s="8"/>
      <x:c r="D101" s="8" t="str">
        <x:v>macOS</x:v>
      </x:c>
      <x:c r="E101" s="8" t="str">
        <x:v>messaging</x:v>
      </x:c>
      <x:c r="F101" s="8"/>
      <x:c r="G101" s="8" t="n">
        <x:v>0.74</x:v>
      </x:c>
      <x:c r="H101" s="8" t="str">
        <x:v>This sentence is long enough to exercise wrapping and downstream chunk boundaries in Markdown output.</x:v>
      </x:c>
    </x:row>
    <x:row r="102">
      <x:c r="A102" s="8" t="str">
        <x:v>user agent 97</x:v>
      </x:c>
      <x:c r="B102" s="8" t="str">
        <x:v>This sentence is long enough to exercise wrapping and downstream chunk boundaries in Markdown output.</x:v>
      </x:c>
      <x:c r="C102" s="8" t="str">
        <x:v>The owner field was not captured in the original notes, so classification should remain conservative.</x:v>
      </x:c>
      <x:c r="D102" s="8" t="str">
        <x:v>Android</x:v>
      </x:c>
      <x:c r="E102" s="8" t="str">
        <x:v>lifecycle</x:v>
      </x:c>
      <x:c r="F102" s="8" t="str">
        <x:v>https://github.com/react-native-webview/react-native-webview</x:v>
      </x:c>
      <x:c r="G102" s="8" t="n">
        <x:v>0.61</x:v>
      </x:c>
      <x:c r="H102" s="8"/>
    </x:row>
    <x:row r="103">
      <x:c r="A103" s="8" t="str">
        <x:v>user agent 98</x:v>
      </x:c>
      <x:c r="B103" s="8" t="str">
        <x:v>Potential duplicate: this paragraph is repeated in another section to test deduplication and chunk metadata.</x:v>
      </x:c>
      <x:c r="C103" s="8"/>
      <x:c r="D103" s="8" t="str">
        <x:v>Linux</x:v>
      </x:c>
      <x:c r="E103" s="8" t="str">
        <x:v>lifecycle</x:v>
      </x:c>
      <x:c r="F103" s="8"/>
      <x:c r="G103" s="8" t="n">
        <x:v>1</x:v>
      </x:c>
      <x:c r="H103" s="8" t="str">
        <x:v>This sentence is long enough to exercise wrapping and downstream chunk boundaries in Markdown output.</x:v>
      </x:c>
    </x:row>
    <x:row r="104">
      <x:c r="A104" s="8" t="str">
        <x:v>evergreen runtime 99</x:v>
      </x:c>
      <x:c r="B104" s="8" t="str">
        <x:v>A blank cell here is intentional. The source workbook has notes placed away from the nearest table.</x:v>
      </x:c>
      <x:c r="C104" s="8" t="str">
        <x:v>A blank cell here is intentional. The source workbook has notes placed away from the nearest table.</x:v>
      </x:c>
      <x:c r="D104" s="8" t="str">
        <x:v>iOS</x:v>
      </x:c>
      <x:c r="E104" s="8" t="str">
        <x:v>rendering</x:v>
      </x:c>
      <x:c r="F104" s="8" t="str">
        <x:v>https://developer.microsoft.com/en-us/microsoft-edge/webview2/</x:v>
      </x:c>
      <x:c r="G104" s="8" t="n">
        <x:v>0.68</x:v>
      </x:c>
      <x:c r="H104" s="8"/>
    </x:row>
    <x:row r="105">
      <x:c r="A105" s="8" t="str">
        <x:v>mixed content 100</x:v>
      </x:c>
      <x:c r="B105" s="8" t="str">
        <x:v>Verify behavior on a cold start and after the page reloads without destroying the native view.</x:v>
      </x:c>
      <x:c r="C105" s="8"/>
      <x:c r="D105" s="8" t="str">
        <x:v>Android</x:v>
      </x:c>
      <x:c r="E105" s="8" t="str">
        <x:v>messaging</x:v>
      </x:c>
      <x:c r="F105" s="8" t="str">
        <x:v>https://developer.android.com/reference/android/webkit/WebView</x:v>
      </x:c>
      <x:c r="G105" s="8" t="n">
        <x:v>0.96</x:v>
      </x:c>
      <x:c r="H105" s="8"/>
    </x:row>
    <x:row r="106">
      <x:c r="A106" s="8" t="str">
        <x:v>profile 101</x:v>
      </x:c>
      <x:c r="B106" s="8" t="str">
        <x:v>The bridge callback is stable for small payloads, but large JSON messages show visible delay during navigation.</x:v>
      </x:c>
      <x:c r="C106" s="8" t="str">
        <x:v>The owner field was not captured in the original notes, so classification should remain conservative.</x:v>
      </x:c>
      <x:c r="D106" s="8" t="str">
        <x:v>macOS</x:v>
      </x:c>
      <x:c r="E106" s="8" t="str">
        <x:v>lifecycle</x:v>
      </x:c>
      <x:c r="F106" s="8"/>
      <x:c r="G106" s="8" t="n">
        <x:v>0.84</x:v>
      </x:c>
      <x:c r="H106" s="8" t="str">
        <x:v>This sentence is long enough to exercise wrapping and downstream chunk boundaries in Markdown output.</x:v>
      </x:c>
    </x:row>
    <x:row r="107">
      <x:c r="A107" s="8" t="str">
        <x:v>profile 102</x:v>
      </x:c>
      <x:c r="B107" s="8" t="str">
        <x:v>The owner field was not captured in the original notes, so classification should remain conservative.</x:v>
      </x:c>
      <x:c r="C107" s="8" t="str">
        <x:v>This sentence is long enough to exercise wrapping and downstream chunk boundaries in Markdown output.</x:v>
      </x:c>
      <x:c r="D107" s="8" t="str">
        <x:v>Linux</x:v>
      </x:c>
      <x:c r="E107" s="8" t="str">
        <x:v>security</x:v>
      </x:c>
      <x:c r="F107" s="8" t="str">
        <x:v>https://developer.apple.com/documentation/webkit/wkwebview</x:v>
      </x:c>
      <x:c r="G107" s="8" t="n">
        <x:v>0.95</x:v>
      </x:c>
      <x:c r="H107" s="8" t="str">
        <x:v>The owner field was not captured in the original notes, so classification should remain conservative.</x:v>
      </x:c>
    </x:row>
    <x:row r="108">
      <x:c r="A108" s="8" t="str">
        <x:v>injected JavaScript 103</x:v>
      </x:c>
      <x:c r="B108" s="8" t="str">
        <x:v>The bridge callback is stable for small payloads, but large JSON messages show visible delay during navigation.</x:v>
      </x:c>
      <x:c r="C108" s="8"/>
      <x:c r="D108" s="8" t="str">
        <x:v>Android</x:v>
      </x:c>
      <x:c r="E108" s="8" t="str">
        <x:v>deployment</x:v>
      </x:c>
      <x:c r="F108" s="8" t="str">
        <x:v>https://developer.android.com/reference/android/webkit/WebView</x:v>
      </x:c>
      <x:c r="G108" s="8" t="n">
        <x:v>0.81</x:v>
      </x:c>
      <x:c r="H108" s="8" t="str">
        <x:v>The bridge callback is stable for small payloads, but large JSON messages show visible delay during navigation.</x:v>
      </x:c>
    </x:row>
    <x:row r="109">
      <x:c r="A109" s="8" t="str">
        <x:v>bridge 104</x:v>
      </x:c>
      <x:c r="B109" s="8" t="str">
        <x:v>A blank cell here is intentional. The source workbook has notes placed away from the nearest table.</x:v>
      </x:c>
      <x:c r="C109" s="8"/>
      <x:c r="D109" s="8" t="str">
        <x:v>Windows</x:v>
      </x:c>
      <x:c r="E109" s="8" t="str">
        <x:v>rendering</x:v>
      </x:c>
      <x:c r="F109" s="8" t="str">
        <x:v>https://developer.android.com/reference/android/webkit/WebView</x:v>
      </x:c>
      <x:c r="G109" s="8" t="n">
        <x:v>0.55</x:v>
      </x:c>
      <x:c r="H109" s="8" t="str">
        <x:v>Potential duplicate: this paragraph is repeated in another section to test deduplication and chunk metadata.</x:v>
      </x:c>
    </x:row>
    <x:row r="110">
      <x:c r="A110" s="8" t="str">
        <x:v>navigation delegate 105</x:v>
      </x:c>
      <x:c r="B110" s="8" t="str">
        <x:v>The bridge callback is stable for small payloads, but large JSON messages show visible delay during navigation.</x:v>
      </x:c>
      <x:c r="C110" s="8"/>
      <x:c r="D110" s="8" t="str">
        <x:v>iOS</x:v>
      </x:c>
      <x:c r="E110" s="8" t="str">
        <x:v>security</x:v>
      </x:c>
      <x:c r="F110" s="8"/>
      <x:c r="G110" s="8" t="n">
        <x:v>0.76</x:v>
      </x:c>
      <x:c r="H110" s="8" t="str">
        <x:v>A blank cell here is intentional. The source workbook has notes placed away from the nearest table.</x:v>
      </x:c>
    </x:row>
    <x:row r="111">
      <x:c r="A111" s="8" t="str">
        <x:v>user agent 106</x:v>
      </x:c>
      <x:c r="B111" s="8" t="str">
        <x:v>Follow-up: compare the result when the network security policy is relaxed versus when it is enforced.</x:v>
      </x:c>
      <x:c r="C111" s="8"/>
      <x:c r="D111" s="8" t="str">
        <x:v>iOS</x:v>
      </x:c>
      <x:c r="E111" s="8" t="str">
        <x:v>messaging</x:v>
      </x:c>
      <x:c r="F111" s="8"/>
      <x:c r="G111" s="8" t="n">
        <x:v>0.82</x:v>
      </x:c>
      <x:c r="H111" s="8"/>
    </x:row>
    <x:row r="112">
      <x:c r="A112" s="8" t="str">
        <x:v>bridge 107</x:v>
      </x:c>
      <x:c r="B112" s="8" t="str">
        <x:v>Verify behavior on a cold start and after the page reloads without destroying the native view.</x:v>
      </x:c>
      <x:c r="C112" s="8"/>
      <x:c r="D112" s="8" t="str">
        <x:v>Android</x:v>
      </x:c>
      <x:c r="E112" s="8" t="str">
        <x:v>lifecycle</x:v>
      </x:c>
      <x:c r="F112" s="8" t="str">
        <x:v>https://developer.microsoft.com/en-us/microsoft-edge/webview2/</x:v>
      </x:c>
      <x:c r="G112" s="8" t="n">
        <x:v>0.7</x:v>
      </x:c>
      <x:c r="H112" s="8"/>
    </x:row>
    <x:row r="113">
      <x:c r="A113" s="8" t="str">
        <x:v>injected JavaScript 108</x:v>
      </x:c>
      <x:c r="B113" s="8" t="str">
        <x:v>Follow-up: compare the result when the network security policy is relaxed versus when it is enforced.</x:v>
      </x:c>
      <x:c r="C113" s="8"/>
      <x:c r="D113" s="8" t="str">
        <x:v>Linux</x:v>
      </x:c>
      <x:c r="E113" s="8" t="str">
        <x:v>lifecycle</x:v>
      </x:c>
      <x:c r="F113" s="8"/>
      <x:c r="G113" s="8" t="n">
        <x:v>0.98</x:v>
      </x:c>
      <x:c r="H113" s="8"/>
    </x:row>
    <x:row r="114">
      <x:c r="A114" s="8" t="str">
        <x:v>bridge 109</x:v>
      </x:c>
      <x:c r="B114" s="8" t="str">
        <x:v>Verify behavior on a cold start and after the page reloads without destroying the native view.</x:v>
      </x:c>
      <x:c r="C114" s="8"/>
      <x:c r="D114" s="8" t="str">
        <x:v>Windows</x:v>
      </x:c>
      <x:c r="E114" s="8" t="str">
        <x:v>messaging</x:v>
      </x:c>
      <x:c r="F114" s="8" t="str">
        <x:v>https://developer.android.com/reference/android/webkit/WebView</x:v>
      </x:c>
      <x:c r="G114" s="8" t="n">
        <x:v>0.89</x:v>
      </x:c>
      <x:c r="H114" s="8" t="str">
        <x:v>A blank cell here is intentional. The source workbook has notes placed away from the nearest table.</x:v>
      </x:c>
    </x:row>
    <x:row r="115">
      <x:c r="A115" s="8" t="str">
        <x:v>bridge 110</x:v>
      </x:c>
      <x:c r="B115" s="8" t="str">
        <x:v>This sentence is long enough to exercise wrapping and downstream chunk boundaries in Markdown output.</x:v>
      </x:c>
      <x:c r="C115" s="8"/>
      <x:c r="D115" s="8" t="str">
        <x:v>iOS</x:v>
      </x:c>
      <x:c r="E115" s="8" t="str">
        <x:v>rendering</x:v>
      </x:c>
      <x:c r="F115" s="8" t="str">
        <x:v>https://developer.apple.com/documentation/webkit/wkwebview</x:v>
      </x:c>
      <x:c r="G115" s="8" t="n">
        <x:v>0.66</x:v>
      </x:c>
      <x:c r="H115" s="8"/>
    </x:row>
    <x:row r="116">
      <x:c r="A116" s="8" t="str">
        <x:v>profile 111</x:v>
      </x:c>
      <x:c r="B116" s="8" t="str">
        <x:v>Follow-up: compare the result when the network security policy is relaxed versus when it is enforced.</x:v>
      </x:c>
      <x:c r="C116" s="8"/>
      <x:c r="D116" s="8" t="str">
        <x:v>iOS</x:v>
      </x:c>
      <x:c r="E116" s="8" t="str">
        <x:v>messaging</x:v>
      </x:c>
      <x:c r="F116" s="8" t="str">
        <x:v>https://developer.apple.com/documentation/webkit/wkwebview</x:v>
      </x:c>
      <x:c r="G116" s="8" t="n">
        <x:v>0.9</x:v>
      </x:c>
      <x:c r="H116" s="8" t="str">
        <x:v>A blank cell here is intentional. The source workbook has notes placed away from the nearest table.</x:v>
      </x:c>
    </x:row>
    <x:row r="117">
      <x:c r="A117" s="8" t="str">
        <x:v>user agent 112</x:v>
      </x:c>
      <x:c r="B117" s="8" t="str">
        <x:v>This sentence is long enough to exercise wrapping and downstream chunk boundaries in Markdown output.</x:v>
      </x:c>
      <x:c r="C117" s="8"/>
      <x:c r="D117" s="8" t="str">
        <x:v>Linux</x:v>
      </x:c>
      <x:c r="E117" s="8" t="str">
        <x:v>security</x:v>
      </x:c>
      <x:c r="F117" s="8"/>
      <x:c r="G117" s="8" t="n">
        <x:v>0.66</x:v>
      </x:c>
      <x:c r="H117" s="8"/>
    </x:row>
    <x:row r="118">
      <x:c r="A118" s="8" t="str">
        <x:v>mixed content 113</x:v>
      </x:c>
      <x:c r="B118" s="8" t="str">
        <x:v>The bridge callback is stable for small payloads, but large JSON messages show visible delay during navigation.</x:v>
      </x:c>
      <x:c r="C118" s="8" t="str">
        <x:v>The bridge callback is stable for small payloads, but large JSON messages show visible delay during navigation.</x:v>
      </x:c>
      <x:c r="D118" s="8" t="str">
        <x:v>macOS</x:v>
      </x:c>
      <x:c r="E118" s="8" t="str">
        <x:v>security</x:v>
      </x:c>
      <x:c r="F118" s="8" t="str">
        <x:v>https://github.com/react-native-webview/react-native-webview</x:v>
      </x:c>
      <x:c r="G118" s="8" t="n">
        <x:v>0.57</x:v>
      </x:c>
      <x:c r="H118" s="8"/>
    </x:row>
    <x:row r="119">
      <x:c r="A119" s="8" t="str">
        <x:v>navigation delegate 114</x:v>
      </x:c>
      <x:c r="B119" s="8" t="str">
        <x:v>Verify behavior on a cold start and after the page reloads without destroying the native view.</x:v>
      </x:c>
      <x:c r="C119" s="8"/>
      <x:c r="D119" s="8" t="str">
        <x:v>Android</x:v>
      </x:c>
      <x:c r="E119" s="8" t="str">
        <x:v>rendering</x:v>
      </x:c>
      <x:c r="F119" s="8" t="str">
        <x:v>https://developer.microsoft.com/en-us/microsoft-edge/webview2/</x:v>
      </x:c>
      <x:c r="G119" s="8" t="n">
        <x:v>0.68</x:v>
      </x:c>
      <x:c r="H119" s="8"/>
    </x:row>
    <x:row r="120">
      <x:c r="A120" s="8" t="str">
        <x:v>navigation delegate 115</x:v>
      </x:c>
      <x:c r="B120" s="8" t="str">
        <x:v>Follow-up: compare the result when the network security policy is relaxed versus when it is enforced.</x:v>
      </x:c>
      <x:c r="C120" s="8"/>
      <x:c r="D120" s="8" t="str">
        <x:v>macOS</x:v>
      </x:c>
      <x:c r="E120" s="8" t="str">
        <x:v>rendering</x:v>
      </x:c>
      <x:c r="F120" s="8" t="str">
        <x:v>https://learn.microsoft.com/en-us/microsoft-edge/webview2/concepts/security</x:v>
      </x:c>
      <x:c r="G120" s="8" t="n">
        <x:v>0.73</x:v>
      </x:c>
      <x:c r="H120" s="8"/>
    </x:row>
    <x:row r="121">
      <x:c r="A121" s="8" t="str">
        <x:v>mixed content 116</x:v>
      </x:c>
      <x:c r="B121" s="8" t="str">
        <x:v>The bridge callback is stable for small payloads, but large JSON messages show visible delay during navigation.</x:v>
      </x:c>
      <x:c r="C121" s="8" t="str">
        <x:v>The bridge callback is stable for small payloads, but large JSON messages show visible delay during navigation.</x:v>
      </x:c>
      <x:c r="D121" s="8" t="str">
        <x:v>Linux</x:v>
      </x:c>
      <x:c r="E121" s="8" t="str">
        <x:v>rendering</x:v>
      </x:c>
      <x:c r="F121" s="8"/>
      <x:c r="G121" s="8" t="n">
        <x:v>0.73</x:v>
      </x:c>
      <x:c r="H121" s="8"/>
    </x:row>
    <x:row r="122">
      <x:c r="A122" s="8"/>
      <x:c r="B122" s="8"/>
      <x:c r="C122" s="8"/>
      <x:c r="D122" s="8"/>
      <x:c r="E122" s="8"/>
      <x:c r="F122" s="8"/>
      <x:c r="G122" s="8"/>
      <x:c r="H122" s="8"/>
    </x:row>
    <x:row r="123">
      <x:c r="A123" s="8" t="str">
        <x:v>navigation delegate 117</x:v>
      </x:c>
      <x:c r="B123" s="8" t="str">
        <x:v>Observed in a local test run: the content rendered, but the console warning appeared twice.</x:v>
      </x:c>
      <x:c r="C123" s="8"/>
      <x:c r="D123" s="8" t="str">
        <x:v>iOS</x:v>
      </x:c>
      <x:c r="E123" s="8" t="str">
        <x:v>lifecycle</x:v>
      </x:c>
      <x:c r="F123" s="8" t="str">
        <x:v>https://developer.apple.com/documentation/webkit/wkwebview</x:v>
      </x:c>
      <x:c r="G123" s="8" t="n">
        <x:v>0.99</x:v>
      </x:c>
      <x:c r="H123" s="8"/>
    </x:row>
    <x:row r="124">
      <x:c r="A124" s="8" t="str">
        <x:v>user agent 118</x:v>
      </x:c>
      <x:c r="B124" s="8" t="str">
        <x:v>A blank cell here is intentional. The source workbook has notes placed away from the nearest table.</x:v>
      </x:c>
      <x:c r="C124" s="8"/>
      <x:c r="D124" s="8" t="str">
        <x:v>iOS</x:v>
      </x:c>
      <x:c r="E124" s="8" t="str">
        <x:v>deployment</x:v>
      </x:c>
      <x:c r="F124" s="8"/>
      <x:c r="G124" s="8" t="n">
        <x:v>0.72</x:v>
      </x:c>
      <x:c r="H124" s="8" t="str">
        <x:v>This sentence is long enough to exercise wrapping and downstream chunk boundaries in Markdown output.</x:v>
      </x:c>
    </x:row>
    <x:row r="125">
      <x:c r="A125" s="8" t="str">
        <x:v>bridge 119</x:v>
      </x:c>
      <x:c r="B125" s="8" t="str">
        <x:v>Follow-up: compare the result when the network security policy is relaxed versus when it is enforced.</x:v>
      </x:c>
      <x:c r="C125" s="8" t="str">
        <x:v>A blank cell here is intentional. The source workbook has notes placed away from the nearest table.</x:v>
      </x:c>
      <x:c r="D125" s="8" t="str">
        <x:v>Android</x:v>
      </x:c>
      <x:c r="E125" s="8" t="str">
        <x:v>messaging</x:v>
      </x:c>
      <x:c r="F125" s="8" t="str">
        <x:v>https://developer.microsoft.com/en-us/microsoft-edge/webview2/</x:v>
      </x:c>
      <x:c r="G125" s="8" t="n">
        <x:v>0.75</x:v>
      </x:c>
      <x:c r="H125" s="8" t="str">
        <x:v>Potential duplicate: this paragraph is repeated in another section to test deduplication and chunk metadata.</x:v>
      </x:c>
    </x:row>
    <x:row r="126">
      <x:c r="A126" s="8" t="str">
        <x:v>host object 120</x:v>
      </x:c>
      <x:c r="B126" s="8" t="str">
        <x:v>This sentence is long enough to exercise wrapping and downstream chunk boundaries in Markdown output.</x:v>
      </x:c>
      <x:c r="C126" s="8" t="str">
        <x:v>A blank cell here is intentional. The source workbook has notes placed away from the nearest table.</x:v>
      </x:c>
      <x:c r="D126" s="8" t="str">
        <x:v>Android</x:v>
      </x:c>
      <x:c r="E126" s="8" t="str">
        <x:v>deployment</x:v>
      </x:c>
      <x:c r="F126" s="8"/>
      <x:c r="G126" s="8" t="n">
        <x:v>0.79</x:v>
      </x:c>
      <x:c r="H126" s="8"/>
    </x:row>
    <x:row r="127">
      <x:c r="A127" s="8" t="str">
        <x:v>evergreen runtime 121</x:v>
      </x:c>
      <x:c r="B127" s="8" t="str">
        <x:v>Observed in a local test run: the content rendered, but the console warning appeared twice.</x:v>
      </x:c>
      <x:c r="C127" s="8" t="str">
        <x:v>The owner field was not captured in the original notes, so classification should remain conservative.</x:v>
      </x:c>
      <x:c r="D127" s="8" t="str">
        <x:v>Android</x:v>
      </x:c>
      <x:c r="E127" s="8" t="str">
        <x:v>messaging</x:v>
      </x:c>
      <x:c r="F127" s="8" t="str">
        <x:v>https://developer.microsoft.com/en-us/microsoft-edge/webview2/</x:v>
      </x:c>
      <x:c r="G127" s="8" t="n">
        <x:v>0.9</x:v>
      </x:c>
      <x:c r="H127" s="8"/>
    </x:row>
    <x:row r="128">
      <x:c r="A128" s="8" t="str">
        <x:v>mixed content 122</x:v>
      </x:c>
      <x:c r="B128" s="8" t="str">
        <x:v>Verify behavior on a cold start and after the page reloads without destroying the native view.</x:v>
      </x:c>
      <x:c r="C128" s="8"/>
      <x:c r="D128" s="8" t="str">
        <x:v>Android</x:v>
      </x:c>
      <x:c r="E128" s="8" t="str">
        <x:v>security</x:v>
      </x:c>
      <x:c r="F128" s="8" t="str">
        <x:v>https://learn.microsoft.com/en-us/microsoft-edge/webview2/concepts/security</x:v>
      </x:c>
      <x:c r="G128" s="8" t="n">
        <x:v>0.58</x:v>
      </x:c>
      <x:c r="H128" s="8"/>
    </x:row>
    <x:row r="129">
      <x:c r="A129" s="8" t="str">
        <x:v>bridge 123</x:v>
      </x:c>
      <x:c r="B129" s="8" t="str">
        <x:v>Potential duplicate: this paragraph is repeated in another section to test deduplication and chunk metadata.</x:v>
      </x:c>
      <x:c r="C129" s="8" t="str">
        <x:v>Verify behavior on a cold start and after the page reloads without destroying the native view.</x:v>
      </x:c>
      <x:c r="D129" s="8" t="str">
        <x:v>macOS</x:v>
      </x:c>
      <x:c r="E129" s="8" t="str">
        <x:v>lifecycle</x:v>
      </x:c>
      <x:c r="F129" s="8" t="str">
        <x:v>https://learn.microsoft.com/en-us/microsoft-edge/webview2/concepts/security</x:v>
      </x:c>
      <x:c r="G129" s="8" t="n">
        <x:v>0.57</x:v>
      </x:c>
      <x:c r="H129" s="8"/>
    </x:row>
    <x:row r="130">
      <x:c r="A130" s="8" t="str">
        <x:v>host object 124</x:v>
      </x:c>
      <x:c r="B130" s="8" t="str">
        <x:v>The owner field was not captured in the original notes, so classification should remain conservative.</x:v>
      </x:c>
      <x:c r="C130" s="8" t="str">
        <x:v>The owner field was not captured in the original notes, so classification should remain conservative.</x:v>
      </x:c>
      <x:c r="D130" s="8" t="str">
        <x:v>macOS</x:v>
      </x:c>
      <x:c r="E130" s="8" t="str">
        <x:v>messaging</x:v>
      </x:c>
      <x:c r="F130" s="8" t="str">
        <x:v>https://developer.microsoft.com/en-us/microsoft-edge/webview2/</x:v>
      </x:c>
      <x:c r="G130" s="8" t="n">
        <x:v>0.98</x:v>
      </x:c>
      <x:c r="H130" s="8" t="str">
        <x:v>Potential duplicate: this paragraph is repeated in another section to test deduplication and chunk metadata.</x:v>
      </x:c>
    </x:row>
    <x:row r="131">
      <x:c r="A131" s="8" t="str">
        <x:v>user agent 125</x:v>
      </x:c>
      <x:c r="B131" s="8" t="str">
        <x:v>Potential duplicate: this paragraph is repeated in another section to test deduplication and chunk metadata.</x:v>
      </x:c>
      <x:c r="C131" s="8"/>
      <x:c r="D131" s="8" t="str">
        <x:v>macOS</x:v>
      </x:c>
      <x:c r="E131" s="8" t="str">
        <x:v>security</x:v>
      </x:c>
      <x:c r="F131" s="8"/>
      <x:c r="G131" s="8" t="n">
        <x:v>0.63</x:v>
      </x:c>
      <x:c r="H131" s="8" t="str">
        <x:v>The owner field was not captured in the original notes, so classification should remain conservative.</x:v>
      </x:c>
    </x:row>
    <x:row r="132">
      <x:c r="A132" s="8" t="str">
        <x:v>bridge 126</x:v>
      </x:c>
      <x:c r="B132" s="8" t="str">
        <x:v>The bridge callback is stable for small payloads, but large JSON messages show visible delay during navigation.</x:v>
      </x:c>
      <x:c r="C132" s="8"/>
      <x:c r="D132" s="8" t="str">
        <x:v>iOS</x:v>
      </x:c>
      <x:c r="E132" s="8" t="str">
        <x:v>lifecycle</x:v>
      </x:c>
      <x:c r="F132" s="8" t="str">
        <x:v>https://developer.android.com/reference/android/webkit/WebView</x:v>
      </x:c>
      <x:c r="G132" s="8" t="n">
        <x:v>0.59</x:v>
      </x:c>
      <x:c r="H132" s="8"/>
    </x:row>
    <x:row r="133">
      <x:c r="A133" s="8" t="str">
        <x:v>mixed content 127</x:v>
      </x:c>
      <x:c r="B133" s="8" t="str">
        <x:v>Observed in a local test run: the content rendered, but the console warning appeared twice.</x:v>
      </x:c>
      <x:c r="C133" s="8" t="str">
        <x:v>Follow-up: compare the result when the network security policy is relaxed versus when it is enforced.</x:v>
      </x:c>
      <x:c r="D133" s="8" t="str">
        <x:v>iOS</x:v>
      </x:c>
      <x:c r="E133" s="8" t="str">
        <x:v>security</x:v>
      </x:c>
      <x:c r="F133" s="8"/>
      <x:c r="G133" s="8" t="n">
        <x:v>0.67</x:v>
      </x:c>
      <x:c r="H133" s="8" t="str">
        <x:v>Potential duplicate: this paragraph is repeated in another section to test deduplication and chunk metadata.</x:v>
      </x:c>
    </x:row>
    <x:row r="134">
      <x:c r="A134" s="8" t="str">
        <x:v>profile 128</x:v>
      </x:c>
      <x:c r="B134" s="8" t="str">
        <x:v>A blank cell here is intentional. The source workbook has notes placed away from the nearest table.</x:v>
      </x:c>
      <x:c r="C134" s="8"/>
      <x:c r="D134" s="8" t="str">
        <x:v>Android</x:v>
      </x:c>
      <x:c r="E134" s="8" t="str">
        <x:v>security</x:v>
      </x:c>
      <x:c r="F134" s="8" t="str">
        <x:v>https://developer.android.com/reference/android/webkit/WebView</x:v>
      </x:c>
      <x:c r="G134" s="8" t="n">
        <x:v>0.59</x:v>
      </x:c>
      <x:c r="H134" s="8" t="str">
        <x:v>Observed in a local test run: the content rendered, but the console warning appeared twice.</x:v>
      </x:c>
    </x:row>
    <x:row r="135">
      <x:c r="A135" s="8" t="str">
        <x:v>evergreen runtime 129</x:v>
      </x:c>
      <x:c r="B135" s="8" t="str">
        <x:v>A blank cell here is intentional. The source workbook has notes placed away from the nearest table.</x:v>
      </x:c>
      <x:c r="C135" s="8" t="str">
        <x:v>Follow-up: compare the result when the network security policy is relaxed versus when it is enforced.</x:v>
      </x:c>
      <x:c r="D135" s="8" t="str">
        <x:v>Linux</x:v>
      </x:c>
      <x:c r="E135" s="8" t="str">
        <x:v>rendering</x:v>
      </x:c>
      <x:c r="F135" s="8" t="str">
        <x:v>https://developer.microsoft.com/en-us/microsoft-edge/webview2/</x:v>
      </x:c>
      <x:c r="G135" s="8" t="n">
        <x:v>0.68</x:v>
      </x:c>
      <x:c r="H135" s="8" t="str">
        <x:v>Follow-up: compare the result when the network security policy is relaxed versus when it is enforced.</x:v>
      </x:c>
    </x:row>
    <x:row r="136">
      <x:c r="A136" s="8" t="str">
        <x:v>bridge 130</x:v>
      </x:c>
      <x:c r="B136" s="8" t="str">
        <x:v>The bridge callback is stable for small payloads, but large JSON messages show visible delay during navigation.</x:v>
      </x:c>
      <x:c r="C136" s="8"/>
      <x:c r="D136" s="8" t="str">
        <x:v>Linux</x:v>
      </x:c>
      <x:c r="E136" s="8" t="str">
        <x:v>deployment</x:v>
      </x:c>
      <x:c r="F136" s="8" t="str">
        <x:v>https://developer.microsoft.com/en-us/microsoft-edge/webview2/</x:v>
      </x:c>
      <x:c r="G136" s="8" t="n">
        <x:v>0.67</x:v>
      </x:c>
      <x:c r="H136" s="8"/>
    </x:row>
    <x:row r="137">
      <x:c r="A137" s="8" t="str">
        <x:v>bridge 131</x:v>
      </x:c>
      <x:c r="B137" s="8" t="str">
        <x:v>Verify behavior on a cold start and after the page reloads without destroying the native view.</x:v>
      </x:c>
      <x:c r="C137" s="8" t="str">
        <x:v>This sentence is long enough to exercise wrapping and downstream chunk boundaries in Markdown output.</x:v>
      </x:c>
      <x:c r="D137" s="8" t="str">
        <x:v>Linux</x:v>
      </x:c>
      <x:c r="E137" s="8" t="str">
        <x:v>messaging</x:v>
      </x:c>
      <x:c r="F137" s="8" t="str">
        <x:v>https://developer.android.com/reference/android/webkit/WebView</x:v>
      </x:c>
      <x:c r="G137" s="8" t="n">
        <x:v>0.88</x:v>
      </x:c>
      <x:c r="H137" s="8"/>
    </x:row>
    <x:row r="138">
      <x:c r="A138" s="8" t="str">
        <x:v>user agent 132</x:v>
      </x:c>
      <x:c r="B138" s="8" t="str">
        <x:v>Verify behavior on a cold start and after the page reloads without destroying the native view.</x:v>
      </x:c>
      <x:c r="C138" s="8"/>
      <x:c r="D138" s="8" t="str">
        <x:v>iOS</x:v>
      </x:c>
      <x:c r="E138" s="8" t="str">
        <x:v>rendering</x:v>
      </x:c>
      <x:c r="F138" s="8" t="str">
        <x:v>https://github.com/react-native-webview/react-native-webview</x:v>
      </x:c>
      <x:c r="G138" s="8" t="n">
        <x:v>0.95</x:v>
      </x:c>
      <x:c r="H138" s="8"/>
    </x:row>
    <x:row r="139">
      <x:c r="A139" s="8" t="str">
        <x:v>mixed content 133</x:v>
      </x:c>
      <x:c r="B139" s="8" t="str">
        <x:v>Observed in a local test run: the content rendered, but the console warning appeared twice.</x:v>
      </x:c>
      <x:c r="C139" s="8" t="str">
        <x:v>Potential duplicate: this paragraph is repeated in another section to test deduplication and chunk metadata.</x:v>
      </x:c>
      <x:c r="D139" s="8" t="str">
        <x:v>Linux</x:v>
      </x:c>
      <x:c r="E139" s="8" t="str">
        <x:v>deployment</x:v>
      </x:c>
      <x:c r="F139" s="8" t="str">
        <x:v>https://developer.apple.com/documentation/webkit/wkwebview</x:v>
      </x:c>
      <x:c r="G139" s="8" t="n">
        <x:v>0.69</x:v>
      </x:c>
      <x:c r="H139" s="8" t="str">
        <x:v>The owner field was not captured in the original notes, so classification should remain conservative.</x:v>
      </x:c>
    </x:row>
    <x:row r="140">
      <x:c r="A140" s="8" t="str">
        <x:v>navigation delegate 134</x:v>
      </x:c>
      <x:c r="B140" s="8" t="str">
        <x:v>Verify behavior on a cold start and after the page reloads without destroying the native view.</x:v>
      </x:c>
      <x:c r="C140" s="8" t="str">
        <x:v>A blank cell here is intentional. The source workbook has notes placed away from the nearest table.</x:v>
      </x:c>
      <x:c r="D140" s="8" t="str">
        <x:v>Windows</x:v>
      </x:c>
      <x:c r="E140" s="8" t="str">
        <x:v>deployment</x:v>
      </x:c>
      <x:c r="F140" s="8"/>
      <x:c r="G140" s="8" t="n">
        <x:v>0.72</x:v>
      </x:c>
      <x:c r="H140" s="8"/>
    </x:row>
    <x:row r="141">
      <x:c r="A141" s="8" t="str">
        <x:v>profile 135</x:v>
      </x:c>
      <x:c r="B141" s="8" t="str">
        <x:v>The bridge callback is stable for small payloads, but large JSON messages show visible delay during navigation.</x:v>
      </x:c>
      <x:c r="C141" s="8"/>
      <x:c r="D141" s="8" t="str">
        <x:v>Windows</x:v>
      </x:c>
      <x:c r="E141" s="8" t="str">
        <x:v>rendering</x:v>
      </x:c>
      <x:c r="F141" s="8"/>
      <x:c r="G141" s="8" t="n">
        <x:v>0.92</x:v>
      </x:c>
      <x:c r="H141" s="8" t="str">
        <x:v>The owner field was not captured in the original notes, so classification should remain conservative.</x:v>
      </x:c>
    </x:row>
    <x:row r="142">
      <x:c r="A142" s="8" t="str">
        <x:v>profile 136</x:v>
      </x:c>
      <x:c r="B142" s="8" t="str">
        <x:v>Potential duplicate: this paragraph is repeated in another section to test deduplication and chunk metadata.</x:v>
      </x:c>
      <x:c r="C142" s="8" t="str">
        <x:v>Verify behavior on a cold start and after the page reloads without destroying the native view.</x:v>
      </x:c>
      <x:c r="D142" s="8" t="str">
        <x:v>iOS</x:v>
      </x:c>
      <x:c r="E142" s="8" t="str">
        <x:v>rendering</x:v>
      </x:c>
      <x:c r="F142" s="8" t="str">
        <x:v>https://github.com/react-native-webview/react-native-webview</x:v>
      </x:c>
      <x:c r="G142" s="8" t="n">
        <x:v>0.85</x:v>
      </x:c>
      <x:c r="H142" s="8"/>
    </x:row>
    <x:row r="143">
      <x:c r="A143" s="8" t="str">
        <x:v>profile 137</x:v>
      </x:c>
      <x:c r="B143" s="8" t="str">
        <x:v>The bridge callback is stable for small payloads, but large JSON messages show visible delay during navigation.</x:v>
      </x:c>
      <x:c r="C143" s="8" t="str">
        <x:v>The owner field was not captured in the original notes, so classification should remain conservative.</x:v>
      </x:c>
      <x:c r="D143" s="8" t="str">
        <x:v>macOS</x:v>
      </x:c>
      <x:c r="E143" s="8" t="str">
        <x:v>deployment</x:v>
      </x:c>
      <x:c r="F143" s="8" t="str">
        <x:v>https://learn.microsoft.com/en-us/microsoft-edge/webview2/concepts/security</x:v>
      </x:c>
      <x:c r="G143" s="8" t="n">
        <x:v>0.76</x:v>
      </x:c>
      <x:c r="H143" s="8"/>
    </x:row>
    <x:row r="144">
      <x:c r="A144" s="8" t="str">
        <x:v>profile 138</x:v>
      </x:c>
      <x:c r="B144" s="8" t="str">
        <x:v>A blank cell here is intentional. The source workbook has notes placed away from the nearest table.</x:v>
      </x:c>
      <x:c r="C144" s="8"/>
      <x:c r="D144" s="8" t="str">
        <x:v>Windows</x:v>
      </x:c>
      <x:c r="E144" s="8" t="str">
        <x:v>deployment</x:v>
      </x:c>
      <x:c r="F144" s="8"/>
      <x:c r="G144" s="8" t="n">
        <x:v>0.74</x:v>
      </x:c>
      <x:c r="H144" s="8" t="str">
        <x:v>Follow-up: compare the result when the network security policy is relaxed versus when it is enforced.</x:v>
      </x:c>
    </x:row>
    <x:row r="145">
      <x:c r="A145" s="8" t="str">
        <x:v>profile 139</x:v>
      </x:c>
      <x:c r="B145" s="8" t="str">
        <x:v>The owner field was not captured in the original notes, so classification should remain conservative.</x:v>
      </x:c>
      <x:c r="C145" s="8"/>
      <x:c r="D145" s="8" t="str">
        <x:v>macOS</x:v>
      </x:c>
      <x:c r="E145" s="8" t="str">
        <x:v>lifecycle</x:v>
      </x:c>
      <x:c r="F145" s="8"/>
      <x:c r="G145" s="8" t="n">
        <x:v>0.78</x:v>
      </x:c>
      <x:c r="H145" s="8" t="str">
        <x:v>Verify behavior on a cold start and after the page reloads without destroying the native view.</x:v>
      </x:c>
    </x:row>
    <x:row r="146">
      <x:c r="A146" s="8" t="str">
        <x:v>injected JavaScript 140</x:v>
      </x:c>
      <x:c r="B146" s="8" t="str">
        <x:v>This sentence is long enough to exercise wrapping and downstream chunk boundaries in Markdown output.</x:v>
      </x:c>
      <x:c r="C146" s="8"/>
      <x:c r="D146" s="8" t="str">
        <x:v>iOS</x:v>
      </x:c>
      <x:c r="E146" s="8" t="str">
        <x:v>security</x:v>
      </x:c>
      <x:c r="F146" s="8"/>
      <x:c r="G146" s="8" t="n">
        <x:v>0.58</x:v>
      </x:c>
      <x:c r="H146" s="8" t="str">
        <x:v>Potential duplicate: this paragraph is repeated in another section to test deduplication and chunk metadata.</x:v>
      </x:c>
    </x:row>
    <x:row r="147">
      <x:c r="A147" s="8" t="str">
        <x:v>injected JavaScript 141</x:v>
      </x:c>
      <x:c r="B147" s="8" t="str">
        <x:v>The bridge callback is stable for small payloads, but large JSON messages show visible delay during navigation.</x:v>
      </x:c>
      <x:c r="C147" s="8" t="str">
        <x:v>Follow-up: compare the result when the network security policy is relaxed versus when it is enforced.</x:v>
      </x:c>
      <x:c r="D147" s="8" t="str">
        <x:v>Android</x:v>
      </x:c>
      <x:c r="E147" s="8" t="str">
        <x:v>deployment</x:v>
      </x:c>
      <x:c r="F147" s="8" t="str">
        <x:v>https://learn.microsoft.com/en-us/microsoft-edge/webview2/concepts/security</x:v>
      </x:c>
      <x:c r="G147" s="8" t="n">
        <x:v>0.84</x:v>
      </x:c>
      <x:c r="H147" s="8"/>
    </x:row>
    <x:row r="148">
      <x:c r="A148" s="8" t="str">
        <x:v>injected JavaScript 142</x:v>
      </x:c>
      <x:c r="B148" s="8" t="str">
        <x:v>This sentence is long enough to exercise wrapping and downstream chunk boundaries in Markdown output.</x:v>
      </x:c>
      <x:c r="C148" s="8" t="str">
        <x:v>Potential duplicate: this paragraph is repeated in another section to test deduplication and chunk metadata.</x:v>
      </x:c>
      <x:c r="D148" s="8" t="str">
        <x:v>Linux</x:v>
      </x:c>
      <x:c r="E148" s="8" t="str">
        <x:v>security</x:v>
      </x:c>
      <x:c r="F148" s="8"/>
      <x:c r="G148" s="8" t="n">
        <x:v>0.61</x:v>
      </x:c>
      <x:c r="H148" s="8" t="str">
        <x:v>Observed in a local test run: the content rendered, but the console warning appeared twice.</x:v>
      </x:c>
    </x:row>
    <x:row r="149">
      <x:c r="A149" s="8" t="str">
        <x:v>host object 143</x:v>
      </x:c>
      <x:c r="B149" s="8" t="str">
        <x:v>The bridge callback is stable for small payloads, but large JSON messages show visible delay during navigation.</x:v>
      </x:c>
      <x:c r="C149" s="8" t="str">
        <x:v>This sentence is long enough to exercise wrapping and downstream chunk boundaries in Markdown output.</x:v>
      </x:c>
      <x:c r="D149" s="8" t="str">
        <x:v>iOS</x:v>
      </x:c>
      <x:c r="E149" s="8" t="str">
        <x:v>lifecycle</x:v>
      </x:c>
      <x:c r="F149" s="8" t="str">
        <x:v>https://developer.microsoft.com/en-us/microsoft-edge/webview2/</x:v>
      </x:c>
      <x:c r="G149" s="8" t="n">
        <x:v>0.65</x:v>
      </x:c>
      <x:c r="H149" s="8" t="str">
        <x:v>The owner field was not captured in the original notes, so classification should remain conservative.</x:v>
      </x:c>
    </x:row>
    <x:row r="150">
      <x:c r="A150" s="8" t="str">
        <x:v>host object 144</x:v>
      </x:c>
      <x:c r="B150" s="8" t="str">
        <x:v>Verify behavior on a cold start and after the page reloads without destroying the native view.</x:v>
      </x:c>
      <x:c r="C150" s="8" t="str">
        <x:v>The bridge callback is stable for small payloads, but large JSON messages show visible delay during navigation.</x:v>
      </x:c>
      <x:c r="D150" s="8" t="str">
        <x:v>iOS</x:v>
      </x:c>
      <x:c r="E150" s="8" t="str">
        <x:v>security</x:v>
      </x:c>
      <x:c r="F150" s="8" t="str">
        <x:v>https://github.com/react-native-webview/react-native-webview</x:v>
      </x:c>
      <x:c r="G150" s="8" t="n">
        <x:v>0.86</x:v>
      </x:c>
      <x:c r="H150" s="8"/>
    </x:row>
    <x:row r="151">
      <x:c r="A151" s="8" t="str">
        <x:v>navigation delegate 145</x:v>
      </x:c>
      <x:c r="B151" s="8" t="str">
        <x:v>The bridge callback is stable for small payloads, but large JSON messages show visible delay during navigation.</x:v>
      </x:c>
      <x:c r="C151" s="8" t="str">
        <x:v>This sentence is long enough to exercise wrapping and downstream chunk boundaries in Markdown output.</x:v>
      </x:c>
      <x:c r="D151" s="8" t="str">
        <x:v>Linux</x:v>
      </x:c>
      <x:c r="E151" s="8" t="str">
        <x:v>lifecycle</x:v>
      </x:c>
      <x:c r="F151" s="8" t="str">
        <x:v>https://github.com/react-native-webview/react-native-webview</x:v>
      </x:c>
      <x:c r="G151" s="8" t="n">
        <x:v>0.93</x:v>
      </x:c>
      <x:c r="H151" s="8"/>
    </x:row>
    <x:row r="152">
      <x:c r="A152" s="8"/>
      <x:c r="B152" s="8"/>
      <x:c r="C152" s="8"/>
      <x:c r="D152" s="8"/>
      <x:c r="E152" s="8"/>
      <x:c r="F152" s="8"/>
      <x:c r="G152" s="8"/>
      <x:c r="H152" s="8"/>
    </x:row>
    <x:row r="153">
      <x:c r="A153" s="8" t="str">
        <x:v>profile 146</x:v>
      </x:c>
      <x:c r="B153" s="8" t="str">
        <x:v>Observed in a local test run: the content rendered, but the console warning appeared twice.</x:v>
      </x:c>
      <x:c r="C153" s="8"/>
      <x:c r="D153" s="8" t="str">
        <x:v>Windows</x:v>
      </x:c>
      <x:c r="E153" s="8" t="str">
        <x:v>deployment</x:v>
      </x:c>
      <x:c r="F153" s="8"/>
      <x:c r="G153" s="8" t="n">
        <x:v>0.91</x:v>
      </x:c>
      <x:c r="H153" s="8" t="str">
        <x:v>Potential duplicate: this paragraph is repeated in another section to test deduplication and chunk metadata.</x:v>
      </x:c>
    </x:row>
    <x:row r="154">
      <x:c r="A154" s="8" t="str">
        <x:v>host object 147</x:v>
      </x:c>
      <x:c r="B154" s="8" t="str">
        <x:v>Verify behavior on a cold start and after the page reloads without destroying the native view.</x:v>
      </x:c>
      <x:c r="C154" s="8"/>
      <x:c r="D154" s="8" t="str">
        <x:v>Linux</x:v>
      </x:c>
      <x:c r="E154" s="8" t="str">
        <x:v>messaging</x:v>
      </x:c>
      <x:c r="F154" s="8"/>
      <x:c r="G154" s="8" t="n">
        <x:v>0.76</x:v>
      </x:c>
      <x:c r="H154" s="8"/>
    </x:row>
    <x:row r="155">
      <x:c r="A155" s="8" t="str">
        <x:v>user agent 148</x:v>
      </x:c>
      <x:c r="B155" s="8" t="str">
        <x:v>Observed in a local test run: the content rendered, but the console warning appeared twice.</x:v>
      </x:c>
      <x:c r="C155" s="8" t="str">
        <x:v>Follow-up: compare the result when the network security policy is relaxed versus when it is enforced.</x:v>
      </x:c>
      <x:c r="D155" s="8" t="str">
        <x:v>iOS</x:v>
      </x:c>
      <x:c r="E155" s="8" t="str">
        <x:v>rendering</x:v>
      </x:c>
      <x:c r="F155" s="8" t="str">
        <x:v>https://github.com/react-native-webview/react-native-webview</x:v>
      </x:c>
      <x:c r="G155" s="8" t="n">
        <x:v>0.62</x:v>
      </x:c>
      <x:c r="H155" s="8"/>
    </x:row>
    <x:row r="156">
      <x:c r="A156" s="8" t="str">
        <x:v>injected JavaScript 149</x:v>
      </x:c>
      <x:c r="B156" s="8" t="str">
        <x:v>The owner field was not captured in the original notes, so classification should remain conservative.</x:v>
      </x:c>
      <x:c r="C156" s="8" t="str">
        <x:v>The owner field was not captured in the original notes, so classification should remain conservative.</x:v>
      </x:c>
      <x:c r="D156" s="8" t="str">
        <x:v>macOS</x:v>
      </x:c>
      <x:c r="E156" s="8" t="str">
        <x:v>security</x:v>
      </x:c>
      <x:c r="F156" s="8" t="str">
        <x:v>https://developer.android.com/reference/android/webkit/WebView</x:v>
      </x:c>
      <x:c r="G156" s="8" t="n">
        <x:v>0.56</x:v>
      </x:c>
      <x:c r="H156" s="8" t="str">
        <x:v>A blank cell here is intentional. The source workbook has notes placed away from the nearest table.</x:v>
      </x:c>
    </x:row>
    <x:row r="157">
      <x:c r="A157" s="8" t="str">
        <x:v>injected JavaScript 150</x:v>
      </x:c>
      <x:c r="B157" s="8" t="str">
        <x:v>A blank cell here is intentional. The source workbook has notes placed away from the nearest table.</x:v>
      </x:c>
      <x:c r="C157" s="8" t="str">
        <x:v>Verify behavior on a cold start and after the page reloads without destroying the native view.</x:v>
      </x:c>
      <x:c r="D157" s="8" t="str">
        <x:v>macOS</x:v>
      </x:c>
      <x:c r="E157" s="8" t="str">
        <x:v>security</x:v>
      </x:c>
      <x:c r="F157" s="8" t="str">
        <x:v>https://developer.apple.com/documentation/webkit/wkwebview</x:v>
      </x:c>
      <x:c r="G157" s="8" t="n">
        <x:v>0.89</x:v>
      </x:c>
      <x:c r="H157" s="8" t="str">
        <x:v>Potential duplicate: this paragraph is repeated in another section to test deduplication and chunk metadata.</x:v>
      </x:c>
    </x:row>
    <x:row r="158">
      <x:c r="A158" s="8" t="str">
        <x:v>navigation delegate 151</x:v>
      </x:c>
      <x:c r="B158" s="8" t="str">
        <x:v>Verify behavior on a cold start and after the page reloads without destroying the native view.</x:v>
      </x:c>
      <x:c r="C158" s="8"/>
      <x:c r="D158" s="8" t="str">
        <x:v>iOS</x:v>
      </x:c>
      <x:c r="E158" s="8" t="str">
        <x:v>messaging</x:v>
      </x:c>
      <x:c r="F158" s="8" t="str">
        <x:v>https://developer.apple.com/documentation/webkit/wkwebview</x:v>
      </x:c>
      <x:c r="G158" s="8" t="n">
        <x:v>0.93</x:v>
      </x:c>
      <x:c r="H158" s="8"/>
    </x:row>
    <x:row r="159">
      <x:c r="A159" s="8" t="str">
        <x:v>navigation delegate 152</x:v>
      </x:c>
      <x:c r="B159" s="8" t="str">
        <x:v>A blank cell here is intentional. The source workbook has notes placed away from the nearest table.</x:v>
      </x:c>
      <x:c r="C159" s="8"/>
      <x:c r="D159" s="8" t="str">
        <x:v>macOS</x:v>
      </x:c>
      <x:c r="E159" s="8" t="str">
        <x:v>security</x:v>
      </x:c>
      <x:c r="F159" s="8" t="str">
        <x:v>https://developer.apple.com/documentation/webkit/wkwebview</x:v>
      </x:c>
      <x:c r="G159" s="8" t="n">
        <x:v>0.74</x:v>
      </x:c>
      <x:c r="H159" s="8"/>
    </x:row>
    <x:row r="160">
      <x:c r="A160" s="8" t="str">
        <x:v>mixed content 153</x:v>
      </x:c>
      <x:c r="B160" s="8" t="str">
        <x:v>The owner field was not captured in the original notes, so classification should remain conservative.</x:v>
      </x:c>
      <x:c r="C160" s="8" t="str">
        <x:v>Follow-up: compare the result when the network security policy is relaxed versus when it is enforced.</x:v>
      </x:c>
      <x:c r="D160" s="8" t="str">
        <x:v>Windows</x:v>
      </x:c>
      <x:c r="E160" s="8" t="str">
        <x:v>messaging</x:v>
      </x:c>
      <x:c r="F160" s="8" t="str">
        <x:v>https://developer.microsoft.com/en-us/microsoft-edge/webview2/</x:v>
      </x:c>
      <x:c r="G160" s="8" t="n">
        <x:v>0.91</x:v>
      </x:c>
      <x:c r="H160" s="8"/>
    </x:row>
    <x:row r="161">
      <x:c r="A161" s="8" t="str">
        <x:v>user agent 154</x:v>
      </x:c>
      <x:c r="B161" s="8" t="str">
        <x:v>This sentence is long enough to exercise wrapping and downstream chunk boundaries in Markdown output.</x:v>
      </x:c>
      <x:c r="C161" s="8" t="str">
        <x:v>The bridge callback is stable for small payloads, but large JSON messages show visible delay during navigation.</x:v>
      </x:c>
      <x:c r="D161" s="8" t="str">
        <x:v>iOS</x:v>
      </x:c>
      <x:c r="E161" s="8" t="str">
        <x:v>security</x:v>
      </x:c>
      <x:c r="F161" s="8" t="str">
        <x:v>https://developer.android.com/reference/android/webkit/WebView</x:v>
      </x:c>
      <x:c r="G161" s="8" t="n">
        <x:v>0.66</x:v>
      </x:c>
      <x:c r="H161" s="8"/>
    </x:row>
    <x:row r="162">
      <x:c r="A162" s="8" t="str">
        <x:v>mixed content 155</x:v>
      </x:c>
      <x:c r="B162" s="8" t="str">
        <x:v>Potential duplicate: this paragraph is repeated in another section to test deduplication and chunk metadata.</x:v>
      </x:c>
      <x:c r="C162" s="8"/>
      <x:c r="D162" s="8" t="str">
        <x:v>macOS</x:v>
      </x:c>
      <x:c r="E162" s="8" t="str">
        <x:v>deployment</x:v>
      </x:c>
      <x:c r="F162" s="8"/>
      <x:c r="G162" s="8" t="n">
        <x:v>0.97</x:v>
      </x:c>
      <x:c r="H162" s="8"/>
    </x:row>
    <x:row r="163">
      <x:c r="A163" s="8" t="str">
        <x:v>profile 156</x:v>
      </x:c>
      <x:c r="B163" s="8" t="str">
        <x:v>The owner field was not captured in the original notes, so classification should remain conservative.</x:v>
      </x:c>
      <x:c r="C163" s="8" t="str">
        <x:v>This sentence is long enough to exercise wrapping and downstream chunk boundaries in Markdown output.</x:v>
      </x:c>
      <x:c r="D163" s="8" t="str">
        <x:v>Windows</x:v>
      </x:c>
      <x:c r="E163" s="8" t="str">
        <x:v>deployment</x:v>
      </x:c>
      <x:c r="F163" s="8" t="str">
        <x:v>https://developer.microsoft.com/en-us/microsoft-edge/webview2/</x:v>
      </x:c>
      <x:c r="G163" s="8" t="n">
        <x:v>0.67</x:v>
      </x:c>
      <x:c r="H163" s="8" t="str">
        <x:v>This sentence is long enough to exercise wrapping and downstream chunk boundaries in Markdown output.</x:v>
      </x:c>
    </x:row>
    <x:row r="164">
      <x:c r="A164" s="8" t="str">
        <x:v>bridge 157</x:v>
      </x:c>
      <x:c r="B164" s="8" t="str">
        <x:v>Potential duplicate: this paragraph is repeated in another section to test deduplication and chunk metadata.</x:v>
      </x:c>
      <x:c r="C164" s="8" t="str">
        <x:v>A blank cell here is intentional. The source workbook has notes placed away from the nearest table.</x:v>
      </x:c>
      <x:c r="D164" s="8" t="str">
        <x:v>Windows</x:v>
      </x:c>
      <x:c r="E164" s="8" t="str">
        <x:v>rendering</x:v>
      </x:c>
      <x:c r="F164" s="8" t="str">
        <x:v>https://learn.microsoft.com/en-us/microsoft-edge/webview2/concepts/security</x:v>
      </x:c>
      <x:c r="G164" s="8" t="n">
        <x:v>0.8</x:v>
      </x:c>
      <x:c r="H164" s="8" t="str">
        <x:v>The owner field was not captured in the original notes, so classification should remain conservative.</x:v>
      </x:c>
    </x:row>
    <x:row r="165">
      <x:c r="A165" s="8" t="str">
        <x:v>bridge 158</x:v>
      </x:c>
      <x:c r="B165" s="8" t="str">
        <x:v>Potential duplicate: this paragraph is repeated in another section to test deduplication and chunk metadata.</x:v>
      </x:c>
      <x:c r="C165" s="8" t="str">
        <x:v>The bridge callback is stable for small payloads, but large JSON messages show visible delay during navigation.</x:v>
      </x:c>
      <x:c r="D165" s="8" t="str">
        <x:v>iOS</x:v>
      </x:c>
      <x:c r="E165" s="8" t="str">
        <x:v>lifecycle</x:v>
      </x:c>
      <x:c r="F165" s="8" t="str">
        <x:v>https://learn.microsoft.com/en-us/microsoft-edge/webview2/concepts/security</x:v>
      </x:c>
      <x:c r="G165" s="8" t="n">
        <x:v>0.89</x:v>
      </x:c>
      <x:c r="H165" s="8"/>
    </x:row>
    <x:row r="166">
      <x:c r="A166" s="8" t="str">
        <x:v>bridge 159</x:v>
      </x:c>
      <x:c r="B166" s="8" t="str">
        <x:v>Verify behavior on a cold start and after the page reloads without destroying the native view.</x:v>
      </x:c>
      <x:c r="C166" s="8"/>
      <x:c r="D166" s="8" t="str">
        <x:v>Linux</x:v>
      </x:c>
      <x:c r="E166" s="8" t="str">
        <x:v>rendering</x:v>
      </x:c>
      <x:c r="F166" s="8"/>
      <x:c r="G166" s="8" t="n">
        <x:v>0.81</x:v>
      </x:c>
      <x:c r="H166" s="8" t="str">
        <x:v>Potential duplicate: this paragraph is repeated in another section to test deduplication and chunk metadata.</x:v>
      </x:c>
    </x:row>
    <x:row r="167">
      <x:c r="A167" s="8" t="str">
        <x:v>profile 160</x:v>
      </x:c>
      <x:c r="B167" s="8" t="str">
        <x:v>Follow-up: compare the result when the network security policy is relaxed versus when it is enforced.</x:v>
      </x:c>
      <x:c r="C167" s="8" t="str">
        <x:v>A blank cell here is intentional. The source workbook has notes placed away from the nearest table.</x:v>
      </x:c>
      <x:c r="D167" s="8" t="str">
        <x:v>Android</x:v>
      </x:c>
      <x:c r="E167" s="8" t="str">
        <x:v>security</x:v>
      </x:c>
      <x:c r="F167" s="8"/>
      <x:c r="G167" s="8" t="n">
        <x:v>0.86</x:v>
      </x:c>
      <x:c r="H167" s="8"/>
    </x:row>
    <x:row r="168">
      <x:c r="A168" s="8" t="str">
        <x:v>navigation delegate 161</x:v>
      </x:c>
      <x:c r="B168" s="8" t="str">
        <x:v>The owner field was not captured in the original notes, so classification should remain conservative.</x:v>
      </x:c>
      <x:c r="C168" s="8"/>
      <x:c r="D168" s="8" t="str">
        <x:v>macOS</x:v>
      </x:c>
      <x:c r="E168" s="8" t="str">
        <x:v>lifecycle</x:v>
      </x:c>
      <x:c r="F168" s="8" t="str">
        <x:v>https://developer.android.com/reference/android/webkit/WebView</x:v>
      </x:c>
      <x:c r="G168" s="8" t="n">
        <x:v>0.92</x:v>
      </x:c>
      <x:c r="H168" s="8"/>
    </x:row>
    <x:row r="169">
      <x:c r="A169" s="8" t="str">
        <x:v>evergreen runtime 162</x:v>
      </x:c>
      <x:c r="B169" s="8" t="str">
        <x:v>Verify behavior on a cold start and after the page reloads without destroying the native view.</x:v>
      </x:c>
      <x:c r="C169" s="8"/>
      <x:c r="D169" s="8" t="str">
        <x:v>Windows</x:v>
      </x:c>
      <x:c r="E169" s="8" t="str">
        <x:v>security</x:v>
      </x:c>
      <x:c r="F169" s="8"/>
      <x:c r="G169" s="8" t="n">
        <x:v>0.97</x:v>
      </x:c>
      <x:c r="H169" s="8" t="str">
        <x:v>A blank cell here is intentional. The source workbook has notes placed away from the nearest table.</x:v>
      </x:c>
    </x:row>
    <x:row r="170">
      <x:c r="A170" s="8" t="str">
        <x:v>profile 163</x:v>
      </x:c>
      <x:c r="B170" s="8" t="str">
        <x:v>Follow-up: compare the result when the network security policy is relaxed versus when it is enforced.</x:v>
      </x:c>
      <x:c r="C170" s="8"/>
      <x:c r="D170" s="8" t="str">
        <x:v>iOS</x:v>
      </x:c>
      <x:c r="E170" s="8" t="str">
        <x:v>messaging</x:v>
      </x:c>
      <x:c r="F170" s="8"/>
      <x:c r="G170" s="8" t="n">
        <x:v>0.72</x:v>
      </x:c>
      <x:c r="H170" s="8" t="str">
        <x:v>Observed in a local test run: the content rendered, but the console warning appeared twice.</x:v>
      </x:c>
    </x:row>
    <x:row r="171">
      <x:c r="A171" s="8" t="str">
        <x:v>user agent 164</x:v>
      </x:c>
      <x:c r="B171" s="8" t="str">
        <x:v>Verify behavior on a cold start and after the page reloads without destroying the native view.</x:v>
      </x:c>
      <x:c r="C171" s="8"/>
      <x:c r="D171" s="8" t="str">
        <x:v>Android</x:v>
      </x:c>
      <x:c r="E171" s="8" t="str">
        <x:v>lifecycle</x:v>
      </x:c>
      <x:c r="F171" s="8"/>
      <x:c r="G171" s="8" t="n">
        <x:v>0.72</x:v>
      </x:c>
      <x:c r="H171" s="8"/>
    </x:row>
    <x:row r="172">
      <x:c r="A172" s="8" t="str">
        <x:v>mixed content 165</x:v>
      </x:c>
      <x:c r="B172" s="8" t="str">
        <x:v>The owner field was not captured in the original notes, so classification should remain conservative.</x:v>
      </x:c>
      <x:c r="C172" s="8" t="str">
        <x:v>Potential duplicate: this paragraph is repeated in another section to test deduplication and chunk metadata.</x:v>
      </x:c>
      <x:c r="D172" s="8" t="str">
        <x:v>Android</x:v>
      </x:c>
      <x:c r="E172" s="8" t="str">
        <x:v>rendering</x:v>
      </x:c>
      <x:c r="F172" s="8" t="str">
        <x:v>https://github.com/react-native-webview/react-native-webview</x:v>
      </x:c>
      <x:c r="G172" s="8" t="n">
        <x:v>0.84</x:v>
      </x:c>
      <x:c r="H172" s="8" t="str">
        <x:v>Observed in a local test run: the content rendered, but the console warning appeared twice.</x:v>
      </x:c>
    </x:row>
    <x:row r="173">
      <x:c r="A173" s="8" t="str">
        <x:v>user agent 166</x:v>
      </x:c>
      <x:c r="B173" s="8" t="str">
        <x:v>Follow-up: compare the result when the network security policy is relaxed versus when it is enforced.</x:v>
      </x:c>
      <x:c r="C173" s="8" t="str">
        <x:v>Observed in a local test run: the content rendered, but the console warning appeared twice.</x:v>
      </x:c>
      <x:c r="D173" s="8" t="str">
        <x:v>macOS</x:v>
      </x:c>
      <x:c r="E173" s="8" t="str">
        <x:v>deployment</x:v>
      </x:c>
      <x:c r="F173" s="8" t="str">
        <x:v>https://developer.microsoft.com/en-us/microsoft-edge/webview2/</x:v>
      </x:c>
      <x:c r="G173" s="8" t="n">
        <x:v>0.93</x:v>
      </x:c>
      <x:c r="H173" s="8"/>
    </x:row>
    <x:row r="174">
      <x:c r="A174" s="8" t="str">
        <x:v>user agent 167</x:v>
      </x:c>
      <x:c r="B174" s="8" t="str">
        <x:v>The bridge callback is stable for small payloads, but large JSON messages show visible delay during navigation.</x:v>
      </x:c>
      <x:c r="C174" s="8" t="str">
        <x:v>The bridge callback is stable for small payloads, but large JSON messages show visible delay during navigation.</x:v>
      </x:c>
      <x:c r="D174" s="8" t="str">
        <x:v>macOS</x:v>
      </x:c>
      <x:c r="E174" s="8" t="str">
        <x:v>rendering</x:v>
      </x:c>
      <x:c r="F174" s="8"/>
      <x:c r="G174" s="8" t="n">
        <x:v>0.76</x:v>
      </x:c>
      <x:c r="H174" s="8" t="str">
        <x:v>The bridge callback is stable for small payloads, but large JSON messages show visible delay during navigation.</x:v>
      </x:c>
    </x:row>
    <x:row r="175">
      <x:c r="A175" s="8" t="str">
        <x:v>evergreen runtime 168</x:v>
      </x:c>
      <x:c r="B175" s="8" t="str">
        <x:v>The owner field was not captured in the original notes, so classification should remain conservative.</x:v>
      </x:c>
      <x:c r="C175" s="8" t="str">
        <x:v>The bridge callback is stable for small payloads, but large JSON messages show visible delay during navigation.</x:v>
      </x:c>
      <x:c r="D175" s="8" t="str">
        <x:v>Linux</x:v>
      </x:c>
      <x:c r="E175" s="8" t="str">
        <x:v>security</x:v>
      </x:c>
      <x:c r="F175" s="8"/>
      <x:c r="G175" s="8" t="n">
        <x:v>0.85</x:v>
      </x:c>
      <x:c r="H175" s="8"/>
    </x:row>
    <x:row r="176">
      <x:c r="A176" s="8" t="str">
        <x:v>bridge 169</x:v>
      </x:c>
      <x:c r="B176" s="8" t="str">
        <x:v>Potential duplicate: this paragraph is repeated in another section to test deduplication and chunk metadata.</x:v>
      </x:c>
      <x:c r="C176" s="8"/>
      <x:c r="D176" s="8" t="str">
        <x:v>iOS</x:v>
      </x:c>
      <x:c r="E176" s="8" t="str">
        <x:v>lifecycle</x:v>
      </x:c>
      <x:c r="F176" s="8" t="str">
        <x:v>https://learn.microsoft.com/en-us/microsoft-edge/webview2/concepts/security</x:v>
      </x:c>
      <x:c r="G176" s="8" t="n">
        <x:v>0.78</x:v>
      </x:c>
      <x:c r="H176" s="8" t="str">
        <x:v>The bridge callback is stable for small payloads, but large JSON messages show visible delay during navigation.</x:v>
      </x:c>
    </x:row>
    <x:row r="177">
      <x:c r="A177" s="8" t="str">
        <x:v>host object 170</x:v>
      </x:c>
      <x:c r="B177" s="8" t="str">
        <x:v>Follow-up: compare the result when the network security policy is relaxed versus when it is enforced.</x:v>
      </x:c>
      <x:c r="C177" s="8"/>
      <x:c r="D177" s="8" t="str">
        <x:v>iOS</x:v>
      </x:c>
      <x:c r="E177" s="8" t="str">
        <x:v>security</x:v>
      </x:c>
      <x:c r="F177" s="8" t="str">
        <x:v>https://developer.apple.com/documentation/webkit/wkwebview</x:v>
      </x:c>
      <x:c r="G177" s="8" t="n">
        <x:v>0.8</x:v>
      </x:c>
      <x:c r="H177" s="8" t="str">
        <x:v>Follow-up: compare the result when the network security policy is relaxed versus when it is enforced.</x:v>
      </x:c>
    </x:row>
    <x:row r="178">
      <x:c r="A178" s="9"/>
      <x:c r="B178" s="9"/>
      <x:c r="C178" s="9"/>
      <x:c r="D178" s="9"/>
      <x:c r="E178" s="9"/>
      <x:c r="F178" s="9"/>
      <x:c r="G178" s="9"/>
      <x:c r="H178" s="9"/>
    </x:row>
    <x:row r="179">
      <x:c r="A179" s="9"/>
      <x:c r="B179" s="9"/>
      <x:c r="C179" s="9"/>
      <x:c r="D179" s="9"/>
      <x:c r="E179" s="9"/>
      <x:c r="F179" s="9"/>
      <x:c r="G179" s="9"/>
      <x:c r="H179" s="9"/>
    </x:row>
    <x:row r="180">
      <x:c r="A180" s="9"/>
      <x:c r="B180" s="9"/>
      <x:c r="C180" s="9"/>
      <x:c r="D180" s="9"/>
      <x:c r="E180" s="9"/>
      <x:c r="F180" s="9"/>
      <x:c r="G180" s="9"/>
      <x:c r="H180" s="9"/>
    </x:row>
  </x:sheetData>
  <x:pageMargins left="0.7" right="0.7" top="0.75" bottom="0.75" header="0.3" footer="0.3"/>
</x:worksheet>
</file>

<file path=xl/worksheets/sheet1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8" hidden="0" customWidth="1"/>
    <x:col min="2" max="2" width="100" hidden="0" customWidth="1"/>
    <x:col min="3" max="3" width="18" hidden="0" customWidth="1"/>
    <x:col min="4" max="4" width="18" hidden="0" customWidth="1"/>
    <x:col min="5" max="5" width="16" hidden="0" customWidth="1"/>
    <x:col min="6" max="6" width="16" hidden="0" customWidth="1"/>
    <x:col min="7" max="7" width="20" hidden="0" customWidth="1"/>
    <x:col min="8" max="8" width="20" hidden="0" customWidth="1"/>
    <x:col min="9" max="9" width="20" hidden="0" customWidth="1"/>
    <x:col min="10" max="10" width="20" hidden="0" customWidth="1"/>
  </x:cols>
  <x:sheetData>
    <x:row r="1">
      <x:c r="A1" s="8"/>
      <x:c r="B1" s="7" t="str">
        <x:v>Long form notes</x:v>
      </x:c>
      <x:c r="C1" s="7"/>
      <x:c r="D1" s="7"/>
      <x:c r="E1" s="7"/>
      <x:c r="F1" s="7"/>
      <x:c r="G1" s="7"/>
      <x:c r="H1" s="7"/>
      <x:c r="I1" s="7"/>
      <x:c r="J1" s="7"/>
    </x:row>
    <x:row r="2">
      <x:c r="A2" s="4" t="str">
        <x:v>Section</x:v>
      </x:c>
      <x:c r="B2" s="4" t="str">
        <x:v>Note</x:v>
      </x:c>
      <x:c r="C2" s="4" t="str">
        <x:v>Tags</x:v>
      </x:c>
      <x:c r="D2" s="4" t="str">
        <x:v>Status</x:v>
      </x:c>
      <x:c r="E2" s="4" t="str">
        <x:v>Reviewer</x:v>
      </x:c>
      <x:c r="F2" s="4" t="str">
        <x:v>Last edited</x:v>
      </x:c>
      <x:c r="G2" s="4"/>
      <x:c r="H2" s="4"/>
      <x:c r="I2" s="4"/>
      <x:c r="J2" s="4"/>
    </x:row>
    <x:row r="3">
      <x:c r="A3" s="8"/>
      <x:c r="B3" s="8"/>
      <x:c r="C3" s="8"/>
      <x:c r="D3" s="8"/>
      <x:c r="E3" s="8"/>
      <x:c r="F3" s="8"/>
      <x:c r="G3" s="8"/>
      <x:c r="H3" s="8"/>
      <x:c r="I3" s="8"/>
      <x:c r="J3" s="8"/>
    </x:row>
    <x:row r="4">
      <x:c r="A4" s="8" t="str">
        <x:v>Implementation</x:v>
      </x:c>
      <x:c r="B4" s="8" t="str">
        <x:v>Follow-up: compare the result when the network security policy is relaxed versus when it is enforced. This sentence is long enough to exercise wrapping and downstream chunk boundaries in Markdown output. Verify behavior on a cold start and after the page reloads without destroying the native view. This paragraph intentionally contains repeated context and multiple clauses so that a Markdown converter and recursive splitter have meaningful boundaries to process. Ref=1.</x:v>
      </x:c>
      <x:c r="C4" s="8" t="str">
        <x:v>webview</x:v>
      </x:c>
      <x:c r="D4" s="8" t="str">
        <x:v>resolved</x:v>
      </x:c>
      <x:c r="E4" s="8" t="str">
        <x:v>Carla</x:v>
      </x:c>
      <x:c r="F4" s="8" t="str">
        <x:v>2026-01-15</x:v>
      </x:c>
      <x:c r="G4" s="8"/>
      <x:c r="H4" s="8"/>
      <x:c r="I4" s="8"/>
      <x:c r="J4" s="8"/>
    </x:row>
    <x:row r="5">
      <x:c r="A5" s="8" t="str">
        <x:v>Outlier</x:v>
      </x:c>
      <x:c r="B5" s="8" t="str">
        <x:v>A blank cell here is intentional. The source workbook has notes placed away from the nearest table. Observed in a local test run: the content rendered, but the console warning appeared twice. Follow-up: compare the result when the network security policy is relaxed versus when it is enforced. This paragraph intentionally contains repeated context and multiple clauses so that a Markdown converter and recursive splitter have meaningful boundaries to process. Ref=2.</x:v>
      </x:c>
      <x:c r="C5" s="8" t="str">
        <x:v>excel</x:v>
      </x:c>
      <x:c r="D5" s="8" t="str">
        <x:v>needs reproduction</x:v>
      </x:c>
      <x:c r="E5" s="8" t="str">
        <x:v>Mei</x:v>
      </x:c>
      <x:c r="F5" s="8" t="str">
        <x:v>2026-02-15</x:v>
      </x:c>
      <x:c r="G5" s="8"/>
      <x:c r="H5" s="8"/>
      <x:c r="I5" s="8"/>
      <x:c r="J5" s="8"/>
    </x:row>
    <x:row r="6">
      <x:c r="A6" s="8" t="str">
        <x:v>Outlier</x:v>
      </x:c>
      <x:c r="B6" s="8" t="str">
        <x:v>A blank cell here is intentional. The source workbook has notes placed away from the nearest table. Verify behavior on a cold start and after the page reloads without destroying the native view. Verify behavior on a cold start and after the page reloads without destroying the native view. This paragraph intentionally contains repeated context and multiple clauses so that a Markdown converter and recursive splitter have meaningful boundaries to process. Ref=3.</x:v>
      </x:c>
      <x:c r="C6" s="8" t="str">
        <x:v>excel</x:v>
      </x:c>
      <x:c r="D6" s="8" t="str">
        <x:v>needs reproduction</x:v>
      </x:c>
      <x:c r="E6" s="8" t="str">
        <x:v>Ben</x:v>
      </x:c>
      <x:c r="F6" s="8" t="str">
        <x:v>2026-03-15</x:v>
      </x:c>
      <x:c r="G6" s="8"/>
      <x:c r="H6" s="8"/>
      <x:c r="I6" s="8"/>
      <x:c r="J6" s="8"/>
    </x:row>
    <x:row r="7">
      <x:c r="A7" s="8" t="str">
        <x:v>Background</x:v>
      </x:c>
      <x:c r="B7" s="8" t="str">
        <x:v>A blank cell here is intentional. The source workbook has notes placed away from the nearest table. Observed in a local test run: the content rendered, but the console warning appeared twice.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Ref=4.</x:v>
      </x:c>
      <x:c r="C7" s="8" t="str">
        <x:v>webview</x:v>
      </x:c>
      <x:c r="D7" s="8" t="str">
        <x:v>needs reproduction</x:v>
      </x:c>
      <x:c r="E7" s="8" t="str">
        <x:v>Diego</x:v>
      </x:c>
      <x:c r="F7" s="8" t="str">
        <x:v>2026-04-15</x:v>
      </x:c>
      <x:c r="G7" s="8"/>
      <x:c r="H7" s="8"/>
      <x:c r="I7" s="8"/>
      <x:c r="J7" s="8"/>
    </x:row>
    <x:row r="8">
      <x:c r="A8" s="8" t="str">
        <x:v>Outlier</x:v>
      </x:c>
      <x:c r="B8" s="8" t="str">
        <x:v>Potential duplicate: this paragraph is repeated in another section to test deduplication and chunk metadata. Verify behavior on a cold start and after the page reloads without destroying the native view. This sentence is long enough to exercise wrapping and downstream chunk boundaries in Markdown output. This paragraph intentionally contains repeated context and multiple clauses so that a Markdown converter and recursive splitter have meaningful boundaries to process. Ref=5.</x:v>
      </x:c>
      <x:c r="C8" s="8" t="str">
        <x:v>excel</x:v>
      </x:c>
      <x:c r="D8" s="8" t="str">
        <x:v>open</x:v>
      </x:c>
      <x:c r="E8" s="8" t="str">
        <x:v>Carla</x:v>
      </x:c>
      <x:c r="F8" s="8" t="str">
        <x:v>2026-05-15</x:v>
      </x:c>
      <x:c r="G8" s="8"/>
      <x:c r="H8" s="8"/>
      <x:c r="I8" s="8"/>
      <x:c r="J8" s="8"/>
    </x:row>
    <x:row r="9">
      <x:c r="A9" s="8" t="str">
        <x:v>Outlier</x:v>
      </x:c>
      <x:c r="B9" s="8" t="str">
        <x:v>The owner field was not captured in the original notes, so classification should remain conservative. This sentence is long enough to exercise wrapping and downstream chunk boundaries in Markdown output. The owner field was not captured in the original notes, so classification should remain conservative. This paragraph intentionally contains repeated context and multiple clauses so that a Markdown converter and recursive splitter have meaningful boundaries to process. Ref=6.</x:v>
      </x:c>
      <x:c r="C9" s="8" t="str">
        <x:v>metadata</x:v>
      </x:c>
      <x:c r="D9" s="8" t="str">
        <x:v>investigating</x:v>
      </x:c>
      <x:c r="E9" s="8" t="str">
        <x:v>Mei</x:v>
      </x:c>
      <x:c r="F9" s="8" t="str">
        <x:v>2026-06-15</x:v>
      </x:c>
      <x:c r="G9" s="8"/>
      <x:c r="H9" s="8"/>
      <x:c r="I9" s="8"/>
      <x:c r="J9" s="8"/>
    </x:row>
    <x:row r="10">
      <x:c r="A10" s="8" t="str">
        <x:v>Decision</x:v>
      </x:c>
      <x:c r="B10" s="8" t="str">
        <x:v>The owner field was not captured in the original notes, so classification should remain conservative. The bridge callback is stable for small payloads, but large JSON messages show visible delay during navigation. Potential duplicate: this paragraph is repeated in another section to test deduplication and chunk metadata. This paragraph intentionally contains repeated context and multiple clauses so that a Markdown converter and recursive splitter have meaningful boundaries to process. Ref=7.</x:v>
      </x:c>
      <x:c r="C10" s="8" t="str">
        <x:v>webview</x:v>
      </x:c>
      <x:c r="D10" s="8" t="str">
        <x:v>investigating</x:v>
      </x:c>
      <x:c r="E10" s="8" t="str">
        <x:v>Asha</x:v>
      </x:c>
      <x:c r="F10" s="8" t="str">
        <x:v>2026-07-15</x:v>
      </x:c>
      <x:c r="G10" s="8"/>
      <x:c r="H10" s="8"/>
      <x:c r="I10" s="8"/>
      <x:c r="J10" s="8"/>
    </x:row>
    <x:row r="11">
      <x:c r="A11" s="8" t="str">
        <x:v>Background</x:v>
      </x:c>
      <x:c r="B11" s="8" t="str">
        <x:v>A blank cell here is intentional. The source workbook has notes placed away from the nearest table. This sentence is long enough to exercise wrapping and downstream chunk boundaries in Markdown output. Verify behavior on a cold start and after the page reloads without destroying the native view. This paragraph intentionally contains repeated context and multiple clauses so that a Markdown converter and recursive splitter have meaningful boundaries to process. Ref=8.</x:v>
      </x:c>
      <x:c r="C11" s="8" t="str">
        <x:v>chunking</x:v>
      </x:c>
      <x:c r="D11" s="8" t="str">
        <x:v>blocked</x:v>
      </x:c>
      <x:c r="E11" s="8" t="str">
        <x:v>Ben</x:v>
      </x:c>
      <x:c r="F11" s="8" t="str">
        <x:v>2026-08-15</x:v>
      </x:c>
      <x:c r="G11" s="8"/>
      <x:c r="H11" s="8"/>
      <x:c r="I11" s="8"/>
      <x:c r="J11" s="8"/>
    </x:row>
    <x:row r="12">
      <x:c r="A12" s="8" t="str">
        <x:v>Open question</x:v>
      </x:c>
      <x:c r="B12" s="8" t="str">
        <x:v>Verify behavior on a cold start and after the page reloads without destroying the native view. A blank cell here is intentional. The source workbook has notes placed away from the nearest table. Potential duplicate: this paragraph is repeated in another section to test deduplication and chunk metadata. This paragraph intentionally contains repeated context and multiple clauses so that a Markdown converter and recursive splitter have meaningful boundaries to process. Ref=9.</x:v>
      </x:c>
      <x:c r="C12" s="8" t="str">
        <x:v>chunking</x:v>
      </x:c>
      <x:c r="D12" s="8" t="str">
        <x:v>needs reproduction</x:v>
      </x:c>
      <x:c r="E12" s="8" t="str">
        <x:v>Diego</x:v>
      </x:c>
      <x:c r="F12" s="8" t="str">
        <x:v>2026-09-15</x:v>
      </x:c>
      <x:c r="G12" s="8"/>
      <x:c r="H12" s="8"/>
      <x:c r="I12" s="8"/>
      <x:c r="J12" s="8"/>
    </x:row>
    <x:row r="13">
      <x:c r="A13" s="8"/>
      <x:c r="B13" s="8"/>
      <x:c r="C13" s="8"/>
      <x:c r="D13" s="8"/>
      <x:c r="E13" s="8"/>
      <x:c r="F13" s="8"/>
      <x:c r="G13" s="8"/>
      <x:c r="H13" s="8"/>
      <x:c r="I13" s="8"/>
      <x:c r="J13" s="8"/>
    </x:row>
    <x:row r="14">
      <x:c r="A14" s="8" t="str">
        <x:v>Implementation</x:v>
      </x:c>
      <x:c r="B14" s="8" t="str">
        <x:v>The bridge callback is stable for small payloads, but large JSON messages show visible delay during navigation. A blank cell here is intentional. The source workbook has notes placed away from the nearest table. Potential duplicate: this paragraph is repeated in another section to test deduplication and chunk metadata. This paragraph intentionally contains repeated context and multiple clauses so that a Markdown converter and recursive splitter have meaningful boundaries to process. Ref=10.</x:v>
      </x:c>
      <x:c r="C14" s="8" t="str">
        <x:v>excel</x:v>
      </x:c>
      <x:c r="D14" s="8" t="str">
        <x:v>investigating</x:v>
      </x:c>
      <x:c r="E14" s="8" t="str">
        <x:v>No owner</x:v>
      </x:c>
      <x:c r="F14" s="8" t="str">
        <x:v>2026-01-15</x:v>
      </x:c>
      <x:c r="G14" s="8"/>
      <x:c r="H14" s="8"/>
      <x:c r="I14" s="8"/>
      <x:c r="J14" s="8"/>
    </x:row>
    <x:row r="15">
      <x:c r="A15" s="8" t="str">
        <x:v>Open question</x:v>
      </x:c>
      <x:c r="B15" s="8" t="str">
        <x:v>The bridge callback is stable for small payloads, but large JSON messages show visible delay during navigation. Observed in a local test run: the content rendered, but the console warning appeared twice. Potential duplicate: this paragraph is repeated in another section to test deduplication and chunk metadata. This paragraph intentionally contains repeated context and multiple clauses so that a Markdown converter and recursive splitter have meaningful boundaries to process. Ref=11.</x:v>
      </x:c>
      <x:c r="C15" s="8" t="str">
        <x:v>chunking</x:v>
      </x:c>
      <x:c r="D15" s="8" t="str">
        <x:v>investigating</x:v>
      </x:c>
      <x:c r="E15" s="8" t="str">
        <x:v>Diego</x:v>
      </x:c>
      <x:c r="F15" s="8" t="str">
        <x:v>2026-02-15</x:v>
      </x:c>
      <x:c r="G15" s="8"/>
      <x:c r="H15" s="8"/>
      <x:c r="I15" s="8"/>
      <x:c r="J15" s="8" t="str">
        <x:v>https://developer.android.com/reference/android/webkit/WebView</x:v>
      </x:c>
    </x:row>
    <x:row r="16">
      <x:c r="A16" s="8" t="str">
        <x:v>Follow-up</x:v>
      </x:c>
      <x:c r="B16" s="8" t="str">
        <x:v>This sentence is long enough to exercise wrapping and downstream chunk boundaries in Markdown output. This sentence is long enough to exercise wrapping and downstream chunk boundaries in Markdown output. Verify behavior on a cold start and after the page reloads without destroying the native view. This paragraph intentionally contains repeated context and multiple clauses so that a Markdown converter and recursive splitter have meaningful boundaries to process. Ref=12.</x:v>
      </x:c>
      <x:c r="C16" s="8" t="str">
        <x:v>markitdown</x:v>
      </x:c>
      <x:c r="D16" s="8" t="str">
        <x:v>open</x:v>
      </x:c>
      <x:c r="E16" s="8" t="str">
        <x:v>No owner</x:v>
      </x:c>
      <x:c r="F16" s="8" t="str">
        <x:v>2026-03-15</x:v>
      </x:c>
      <x:c r="G16" s="8"/>
      <x:c r="H16" s="8"/>
      <x:c r="I16" s="8"/>
      <x:c r="J16" s="8"/>
    </x:row>
    <x:row r="17">
      <x:c r="A17" s="8" t="str">
        <x:v>Decision</x:v>
      </x:c>
      <x:c r="B17" s="8" t="str">
        <x:v>The bridge callback is stable for small payloads, but large JSON messages show visible delay during navigation. Potential duplicate: this paragraph is repeated in another section to test deduplication and chunk metadata. Observed in a local test run: the content rendered, but the console warning appeared twice. This paragraph intentionally contains repeated context and multiple clauses so that a Markdown converter and recursive splitter have meaningful boundaries to process. Ref=13.</x:v>
      </x:c>
      <x:c r="C17" s="8" t="str">
        <x:v>chunking</x:v>
      </x:c>
      <x:c r="D17" s="8" t="str">
        <x:v>needs reproduction</x:v>
      </x:c>
      <x:c r="E17" s="8" t="str">
        <x:v>Carla</x:v>
      </x:c>
      <x:c r="F17" s="8" t="str">
        <x:v>2026-04-15</x:v>
      </x:c>
      <x:c r="G17" s="8"/>
      <x:c r="H17" s="8"/>
      <x:c r="I17" s="8"/>
      <x:c r="J17" s="8" t="str">
        <x:v>https://developer.microsoft.com/en-us/microsoft-edge/webview2/</x:v>
      </x:c>
    </x:row>
    <x:row r="18">
      <x:c r="A18" s="8" t="str">
        <x:v>Decision</x:v>
      </x:c>
      <x:c r="B18" s="8" t="str">
        <x:v>This sentence is long enough to exercise wrapping and downstream chunk boundaries in Markdown output. Verify behavior on a cold start and after the page reloads without destroying the native view. Potential duplicate: this paragraph is repeated in another section to test deduplication and chunk metadata. This paragraph intentionally contains repeated context and multiple clauses so that a Markdown converter and recursive splitter have meaningful boundaries to process. Ref=14.</x:v>
      </x:c>
      <x:c r="C18" s="8" t="str">
        <x:v>markitdown</x:v>
      </x:c>
      <x:c r="D18" s="8" t="str">
        <x:v>investigating</x:v>
      </x:c>
      <x:c r="E18" s="8" t="str">
        <x:v>No owner</x:v>
      </x:c>
      <x:c r="F18" s="8" t="str">
        <x:v>2026-05-15</x:v>
      </x:c>
      <x:c r="G18" s="8"/>
      <x:c r="H18" s="8"/>
      <x:c r="I18" s="8"/>
      <x:c r="J18" s="8" t="str">
        <x:v>https://developer.microsoft.com/en-us/microsoft-edge/webview2/</x:v>
      </x:c>
    </x:row>
    <x:row r="19">
      <x:c r="A19" s="8" t="str">
        <x:v>Follow-up</x:v>
      </x:c>
      <x:c r="B19" s="8" t="str">
        <x:v>The owner field was not captured in the original notes, so classification should remain conservative. The bridge callback is stable for small payloads, but large JSON messages show visible delay during navigation. Potential duplicate: this paragraph is repeated in another section to test deduplication and chunk metadata. This paragraph intentionally contains repeated context and multiple clauses so that a Markdown converter and recursive splitter have meaningful boundaries to process. Ref=15.</x:v>
      </x:c>
      <x:c r="C19" s="8" t="str">
        <x:v>markitdown</x:v>
      </x:c>
      <x:c r="D19" s="8" t="str">
        <x:v>resolved</x:v>
      </x:c>
      <x:c r="E19" s="8" t="str">
        <x:v>No owner</x:v>
      </x:c>
      <x:c r="F19" s="8" t="str">
        <x:v>2026-06-15</x:v>
      </x:c>
      <x:c r="G19" s="8"/>
      <x:c r="H19" s="8"/>
      <x:c r="I19" s="8"/>
      <x:c r="J19" s="8" t="str">
        <x:v>https://developer.apple.com/documentation/webkit/wkwebview</x:v>
      </x:c>
    </x:row>
    <x:row r="20">
      <x:c r="A20" s="8" t="str">
        <x:v>Follow-up</x:v>
      </x:c>
      <x:c r="B20" s="8" t="str">
        <x:v>Observed in a local test run: the content rendered, but the console warning appeared twice. Verify behavior on a cold start and after the page reloads without destroying the native view. Follow-up: compare the result when the network security policy is relaxed versus when it is enforced. This paragraph intentionally contains repeated context and multiple clauses so that a Markdown converter and recursive splitter have meaningful boundaries to process. Ref=16.</x:v>
      </x:c>
      <x:c r="C20" s="8" t="str">
        <x:v>chunking</x:v>
      </x:c>
      <x:c r="D20" s="8" t="str">
        <x:v>needs reproduction</x:v>
      </x:c>
      <x:c r="E20" s="8" t="str">
        <x:v>Ben</x:v>
      </x:c>
      <x:c r="F20" s="8" t="str">
        <x:v>2026-07-15</x:v>
      </x:c>
      <x:c r="G20" s="8"/>
      <x:c r="H20" s="8"/>
      <x:c r="I20" s="8"/>
      <x:c r="J20" s="8"/>
    </x:row>
    <x:row r="21">
      <x:c r="A21" s="8" t="str">
        <x:v>Follow-up</x:v>
      </x:c>
      <x:c r="B21" s="8" t="str">
        <x:v>Observed in a local test run: the content rendered, but the console warning appeared twice. Verify behavior on a cold start and after the page reloads without destroying the native view.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Ref=17.</x:v>
      </x:c>
      <x:c r="C21" s="8" t="str">
        <x:v>excel</x:v>
      </x:c>
      <x:c r="D21" s="8" t="str">
        <x:v>needs reproduction</x:v>
      </x:c>
      <x:c r="E21" s="8" t="str">
        <x:v>Ben</x:v>
      </x:c>
      <x:c r="F21" s="8" t="str">
        <x:v>2026-08-15</x:v>
      </x:c>
      <x:c r="G21" s="8"/>
      <x:c r="H21" s="8"/>
      <x:c r="I21" s="8"/>
      <x:c r="J21" s="8" t="str">
        <x:v>https://developer.apple.com/documentation/webkit/wkwebview</x:v>
      </x:c>
    </x:row>
    <x:row r="22">
      <x:c r="A22" s="8" t="str">
        <x:v>Follow-up</x:v>
      </x:c>
      <x:c r="B22" s="8" t="str">
        <x:v>Observed in a local test run: the content rendered, but the console warning appeared twice. Potential duplicate: this paragraph is repeated in another section to test deduplication and chunk metadata. The owner field was not captured in the original notes, so classification should remain conservative. This paragraph intentionally contains repeated context and multiple clauses so that a Markdown converter and recursive splitter have meaningful boundaries to process. Ref=18.</x:v>
      </x:c>
      <x:c r="C22" s="8" t="str">
        <x:v>webview</x:v>
      </x:c>
      <x:c r="D22" s="8" t="str">
        <x:v>needs reproduction</x:v>
      </x:c>
      <x:c r="E22" s="8" t="str">
        <x:v>Diego</x:v>
      </x:c>
      <x:c r="F22" s="8" t="str">
        <x:v>2026-09-15</x:v>
      </x:c>
      <x:c r="G22" s="8"/>
      <x:c r="H22" s="8"/>
      <x:c r="I22" s="8"/>
      <x:c r="J22" s="8"/>
    </x:row>
    <x:row r="23">
      <x:c r="A23" s="8"/>
      <x:c r="B23" s="8"/>
      <x:c r="C23" s="8"/>
      <x:c r="D23" s="8"/>
      <x:c r="E23" s="8"/>
      <x:c r="F23" s="8"/>
      <x:c r="G23" s="8"/>
      <x:c r="H23" s="8"/>
      <x:c r="I23" s="8"/>
      <x:c r="J23" s="8"/>
    </x:row>
    <x:row r="24">
      <x:c r="A24" s="8" t="str">
        <x:v>Decision</x:v>
      </x:c>
      <x:c r="B24" s="8" t="str">
        <x:v>Observed in a local test run: the content rendered, but the console warning appeared twice. Follow-up: compare the result when the network security policy is relaxed versus when it is enforced. Follow-up: compare the result when the network security policy is relaxed versus when it is enforced. This paragraph intentionally contains repeated context and multiple clauses so that a Markdown converter and recursive splitter have meaningful boundaries to process. Ref=19.</x:v>
      </x:c>
      <x:c r="C24" s="8" t="str">
        <x:v>chunking</x:v>
      </x:c>
      <x:c r="D24" s="8" t="str">
        <x:v>blocked</x:v>
      </x:c>
      <x:c r="E24" s="8" t="str">
        <x:v>Ben</x:v>
      </x:c>
      <x:c r="F24" s="8" t="str">
        <x:v>2026-01-15</x:v>
      </x:c>
      <x:c r="G24" s="8"/>
      <x:c r="H24" s="8"/>
      <x:c r="I24" s="8"/>
      <x:c r="J24" s="8"/>
    </x:row>
    <x:row r="25">
      <x:c r="A25" s="8" t="str">
        <x:v>Open question</x:v>
      </x:c>
      <x:c r="B25" s="8" t="str">
        <x:v>A blank cell here is intentional. The source workbook has notes placed away from the nearest table. The bridge callback is stable for small payloads, but large JSON messages show visible delay during navigation. A blank cell here is intentional. The source workbook has notes placed away from the nearest table. This paragraph intentionally contains repeated context and multiple clauses so that a Markdown converter and recursive splitter have meaningful boundaries to process. Ref=20.</x:v>
      </x:c>
      <x:c r="C25" s="8" t="str">
        <x:v>excel</x:v>
      </x:c>
      <x:c r="D25" s="8" t="str">
        <x:v>investigating</x:v>
      </x:c>
      <x:c r="E25" s="8" t="str">
        <x:v>Carla</x:v>
      </x:c>
      <x:c r="F25" s="8" t="str">
        <x:v>2026-02-15</x:v>
      </x:c>
      <x:c r="G25" s="8"/>
      <x:c r="H25" s="8"/>
      <x:c r="I25" s="8"/>
      <x:c r="J25" s="8" t="str">
        <x:v>https://learn.microsoft.com/en-us/microsoft-edge/webview2/concepts/security</x:v>
      </x:c>
    </x:row>
    <x:row r="26">
      <x:c r="A26" s="8" t="str">
        <x:v>Decision</x:v>
      </x:c>
      <x:c r="B26" s="8" t="str">
        <x:v>Follow-up: compare the result when the network security policy is relaxed versus when it is enforced. The owner field was not captured in the original notes, so classification should remain conservative. Observed in a local test run: the content rendered, but the console warning appeared twice. This paragraph intentionally contains repeated context and multiple clauses so that a Markdown converter and recursive splitter have meaningful boundaries to process. Ref=21.</x:v>
      </x:c>
      <x:c r="C26" s="8" t="str">
        <x:v>excel</x:v>
      </x:c>
      <x:c r="D26" s="8" t="str">
        <x:v>investigating</x:v>
      </x:c>
      <x:c r="E26" s="8" t="str">
        <x:v>Asha</x:v>
      </x:c>
      <x:c r="F26" s="8" t="str">
        <x:v>2026-03-15</x:v>
      </x:c>
      <x:c r="G26" s="8"/>
      <x:c r="H26" s="8"/>
      <x:c r="I26" s="8"/>
      <x:c r="J26" s="8" t="str">
        <x:v>https://developer.android.com/reference/android/webkit/WebView</x:v>
      </x:c>
    </x:row>
    <x:row r="27">
      <x:c r="A27" s="8" t="str">
        <x:v>Implementation</x:v>
      </x:c>
      <x:c r="B27" s="8" t="str">
        <x:v>The bridge callback is stable for small payloads, but large JSON messages show visible delay during navigation. Potential duplicate: this paragraph is repeated in another section to test deduplication and chunk metadata. This sentence is long enough to exercise wrapping and downstream chunk boundaries in Markdown output. This paragraph intentionally contains repeated context and multiple clauses so that a Markdown converter and recursive splitter have meaningful boundaries to process. Ref=22.</x:v>
      </x:c>
      <x:c r="C27" s="8" t="str">
        <x:v>markitdown</x:v>
      </x:c>
      <x:c r="D27" s="8" t="str">
        <x:v>open</x:v>
      </x:c>
      <x:c r="E27" s="8" t="str">
        <x:v>Carla</x:v>
      </x:c>
      <x:c r="F27" s="8" t="str">
        <x:v>2026-04-15</x:v>
      </x:c>
      <x:c r="G27" s="8"/>
      <x:c r="H27" s="8"/>
      <x:c r="I27" s="8"/>
      <x:c r="J27" s="8"/>
    </x:row>
    <x:row r="28">
      <x:c r="A28" s="8" t="str">
        <x:v>Outlier</x:v>
      </x:c>
      <x:c r="B28" s="8" t="str">
        <x:v>Verify behavior on a cold start and after the page reloads without destroying the native view. Verify behavior on a cold start and after the page reloads without destroying the native view.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Ref=23.</x:v>
      </x:c>
      <x:c r="C28" s="8" t="str">
        <x:v>chunking</x:v>
      </x:c>
      <x:c r="D28" s="8" t="str">
        <x:v>resolved</x:v>
      </x:c>
      <x:c r="E28" s="8" t="str">
        <x:v>Mei</x:v>
      </x:c>
      <x:c r="F28" s="8" t="str">
        <x:v>2026-05-15</x:v>
      </x:c>
      <x:c r="G28" s="8"/>
      <x:c r="H28" s="8"/>
      <x:c r="I28" s="8"/>
      <x:c r="J28" s="8"/>
    </x:row>
    <x:row r="29">
      <x:c r="A29" s="8" t="str">
        <x:v>Follow-up</x:v>
      </x:c>
      <x:c r="B29" s="8" t="str">
        <x:v>Potential duplicate: this paragraph is repeated in another section to test deduplication and chunk metadata. Verify behavior on a cold start and after the page reloads without destroying the native view. Observed in a local test run: the content rendered, but the console warning appeared twice. This paragraph intentionally contains repeated context and multiple clauses so that a Markdown converter and recursive splitter have meaningful boundaries to process. Ref=24.</x:v>
      </x:c>
      <x:c r="C29" s="8" t="str">
        <x:v>markitdown</x:v>
      </x:c>
      <x:c r="D29" s="8" t="str">
        <x:v>blocked</x:v>
      </x:c>
      <x:c r="E29" s="8" t="str">
        <x:v>Asha</x:v>
      </x:c>
      <x:c r="F29" s="8" t="str">
        <x:v>2026-06-15</x:v>
      </x:c>
      <x:c r="G29" s="8"/>
      <x:c r="H29" s="8"/>
      <x:c r="I29" s="8"/>
      <x:c r="J29" s="8"/>
    </x:row>
    <x:row r="30">
      <x:c r="A30" s="8" t="str">
        <x:v>Background</x:v>
      </x:c>
      <x:c r="B30" s="8" t="str">
        <x:v>The bridge callback is stable for small payloads, but large JSON messages show visible delay during navigation. Observed in a local test run: the content rendered, but the console warning appeared twice. Follow-up: compare the result when the network security policy is relaxed versus when it is enforced. This paragraph intentionally contains repeated context and multiple clauses so that a Markdown converter and recursive splitter have meaningful boundaries to process. Ref=25.</x:v>
      </x:c>
      <x:c r="C30" s="8" t="str">
        <x:v>markitdown</x:v>
      </x:c>
      <x:c r="D30" s="8" t="str">
        <x:v>resolved</x:v>
      </x:c>
      <x:c r="E30" s="8" t="str">
        <x:v>No owner</x:v>
      </x:c>
      <x:c r="F30" s="8" t="str">
        <x:v>2026-07-15</x:v>
      </x:c>
      <x:c r="G30" s="8"/>
      <x:c r="H30" s="8"/>
      <x:c r="I30" s="8"/>
      <x:c r="J30" s="8"/>
    </x:row>
    <x:row r="31">
      <x:c r="A31" s="8" t="str">
        <x:v>Follow-up</x:v>
      </x:c>
      <x:c r="B31" s="8" t="str">
        <x:v>The owner field was not captured in the original notes, so classification should remain conservative. This sentence is long enough to exercise wrapping and downstream chunk boundaries in Markdown output. Potential duplicate: this paragraph is repeated in another section to test deduplication and chunk metadata. This paragraph intentionally contains repeated context and multiple clauses so that a Markdown converter and recursive splitter have meaningful boundaries to process. Ref=26.</x:v>
      </x:c>
      <x:c r="C31" s="8" t="str">
        <x:v>markitdown</x:v>
      </x:c>
      <x:c r="D31" s="8" t="str">
        <x:v>needs reproduction</x:v>
      </x:c>
      <x:c r="E31" s="8" t="str">
        <x:v>Carla</x:v>
      </x:c>
      <x:c r="F31" s="8" t="str">
        <x:v>2026-08-15</x:v>
      </x:c>
      <x:c r="G31" s="8"/>
      <x:c r="H31" s="8"/>
      <x:c r="I31" s="8"/>
      <x:c r="J31" s="8"/>
    </x:row>
    <x:row r="32">
      <x:c r="A32" s="8" t="str">
        <x:v>Implementation</x:v>
      </x:c>
      <x:c r="B32" s="8" t="str">
        <x:v>The bridge callback is stable for small payloads, but large JSON messages show visible delay during navigation. The bridge callback is stable for small payloads, but large JSON messages show visible delay during navigation.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Ref=27.</x:v>
      </x:c>
      <x:c r="C32" s="8" t="str">
        <x:v>webview</x:v>
      </x:c>
      <x:c r="D32" s="8" t="str">
        <x:v>needs reproduction</x:v>
      </x:c>
      <x:c r="E32" s="8" t="str">
        <x:v>Asha</x:v>
      </x:c>
      <x:c r="F32" s="8" t="str">
        <x:v>2026-09-15</x:v>
      </x:c>
      <x:c r="G32" s="8"/>
      <x:c r="H32" s="8"/>
      <x:c r="I32" s="8"/>
      <x:c r="J32" s="8"/>
    </x:row>
    <x:row r="33">
      <x:c r="A33" s="8"/>
      <x:c r="B33" s="8"/>
      <x:c r="C33" s="8"/>
      <x:c r="D33" s="8"/>
      <x:c r="E33" s="8"/>
      <x:c r="F33" s="8"/>
      <x:c r="G33" s="8"/>
      <x:c r="H33" s="8"/>
      <x:c r="I33" s="8"/>
      <x:c r="J33" s="8"/>
    </x:row>
    <x:row r="34">
      <x:c r="A34" s="8" t="str">
        <x:v>Decision</x:v>
      </x:c>
      <x:c r="B34" s="8" t="str">
        <x:v>Observed in a local test run: the content rendered, but the console warning appeared twice. Observed in a local test run: the content rendered, but the console warning appeared twice. The owner field was not captured in the original notes, so classification should remain conservative. This paragraph intentionally contains repeated context and multiple clauses so that a Markdown converter and recursive splitter have meaningful boundaries to process. Ref=28.</x:v>
      </x:c>
      <x:c r="C34" s="8" t="str">
        <x:v>chunking</x:v>
      </x:c>
      <x:c r="D34" s="8" t="str">
        <x:v>open</x:v>
      </x:c>
      <x:c r="E34" s="8" t="str">
        <x:v>Asha</x:v>
      </x:c>
      <x:c r="F34" s="8" t="str">
        <x:v>2026-01-15</x:v>
      </x:c>
      <x:c r="G34" s="8"/>
      <x:c r="H34" s="8"/>
      <x:c r="I34" s="8"/>
      <x:c r="J34" s="8"/>
    </x:row>
    <x:row r="35">
      <x:c r="A35" s="8" t="str">
        <x:v>Follow-up</x:v>
      </x:c>
      <x:c r="B35" s="8" t="str">
        <x:v>The bridge callback is stable for small payloads, but large JSON messages show visible delay during navigation. This sentence is long enough to exercise wrapping and downstream chunk boundaries in Markdown output. Observed in a local test run: the content rendered, but the console warning appeared twice. This paragraph intentionally contains repeated context and multiple clauses so that a Markdown converter and recursive splitter have meaningful boundaries to process. Ref=29.</x:v>
      </x:c>
      <x:c r="C35" s="8" t="str">
        <x:v>chunking</x:v>
      </x:c>
      <x:c r="D35" s="8" t="str">
        <x:v>investigating</x:v>
      </x:c>
      <x:c r="E35" s="8" t="str">
        <x:v>Asha</x:v>
      </x:c>
      <x:c r="F35" s="8" t="str">
        <x:v>2026-02-15</x:v>
      </x:c>
      <x:c r="G35" s="8"/>
      <x:c r="H35" s="8"/>
      <x:c r="I35" s="8"/>
      <x:c r="J35" s="8" t="str">
        <x:v>https://github.com/react-native-webview/react-native-webview</x:v>
      </x:c>
    </x:row>
    <x:row r="36">
      <x:c r="A36" s="8" t="str">
        <x:v>Open question</x:v>
      </x:c>
      <x:c r="B36" s="8" t="str">
        <x:v>This sentence is long enough to exercise wrapping and downstream chunk boundaries in Markdown output. The owner field was not captured in the original notes, so classification should remain conservative. The owner field was not captured in the original notes, so classification should remain conservative. This paragraph intentionally contains repeated context and multiple clauses so that a Markdown converter and recursive splitter have meaningful boundaries to process. Ref=30.</x:v>
      </x:c>
      <x:c r="C36" s="8" t="str">
        <x:v>metadata</x:v>
      </x:c>
      <x:c r="D36" s="8" t="str">
        <x:v>blocked</x:v>
      </x:c>
      <x:c r="E36" s="8" t="str">
        <x:v>Diego</x:v>
      </x:c>
      <x:c r="F36" s="8" t="str">
        <x:v>2026-03-15</x:v>
      </x:c>
      <x:c r="G36" s="8"/>
      <x:c r="H36" s="8"/>
      <x:c r="I36" s="8"/>
      <x:c r="J36" s="8" t="str">
        <x:v>https://developer.android.com/reference/android/webkit/WebView</x:v>
      </x:c>
    </x:row>
    <x:row r="37">
      <x:c r="A37" s="8" t="str">
        <x:v>Outlier</x:v>
      </x:c>
      <x:c r="B37" s="8" t="str">
        <x:v>Follow-up: compare the result when the network security policy is relaxed versus when it is enforced. Verify behavior on a cold start and after the page reloads without destroying the native view. Verify behavior on a cold start and after the page reloads without destroying the native view. This paragraph intentionally contains repeated context and multiple clauses so that a Markdown converter and recursive splitter have meaningful boundaries to process. Ref=31.</x:v>
      </x:c>
      <x:c r="C37" s="8" t="str">
        <x:v>markitdown</x:v>
      </x:c>
      <x:c r="D37" s="8" t="str">
        <x:v>needs reproduction</x:v>
      </x:c>
      <x:c r="E37" s="8" t="str">
        <x:v>No owner</x:v>
      </x:c>
      <x:c r="F37" s="8" t="str">
        <x:v>2026-04-15</x:v>
      </x:c>
      <x:c r="G37" s="8"/>
      <x:c r="H37" s="8"/>
      <x:c r="I37" s="8"/>
      <x:c r="J37" s="8" t="str">
        <x:v>https://developer.android.com/reference/android/webkit/WebView</x:v>
      </x:c>
    </x:row>
    <x:row r="38">
      <x:c r="A38" s="8" t="str">
        <x:v>Follow-up</x:v>
      </x:c>
      <x:c r="B38" s="8" t="str">
        <x:v>This sentence is long enough to exercise wrapping and downstream chunk boundaries in Markdown output. Potential duplicate: this paragraph is repeated in another section to test deduplication and chunk metadata. A blank cell here is intentional. The source workbook has notes placed away from the nearest table. This paragraph intentionally contains repeated context and multiple clauses so that a Markdown converter and recursive splitter have meaningful boundaries to process. Ref=32.</x:v>
      </x:c>
      <x:c r="C38" s="8" t="str">
        <x:v>markitdown</x:v>
      </x:c>
      <x:c r="D38" s="8" t="str">
        <x:v>needs reproduction</x:v>
      </x:c>
      <x:c r="E38" s="8" t="str">
        <x:v>Ben</x:v>
      </x:c>
      <x:c r="F38" s="8" t="str">
        <x:v>2026-05-15</x:v>
      </x:c>
      <x:c r="G38" s="8"/>
      <x:c r="H38" s="8"/>
      <x:c r="I38" s="8"/>
      <x:c r="J38" s="8" t="str">
        <x:v>https://developer.android.com/reference/android/webkit/WebView</x:v>
      </x:c>
    </x:row>
    <x:row r="39">
      <x:c r="A39" s="8" t="str">
        <x:v>Open question</x:v>
      </x:c>
      <x:c r="B39" s="8" t="str">
        <x:v>Observed in a local test run: the content rendered, but the console warning appeared twice. The bridge callback is stable for small payloads, but large JSON messages show visible delay during navigation. Potential duplicate: this paragraph is repeated in another section to test deduplication and chunk metadata. This paragraph intentionally contains repeated context and multiple clauses so that a Markdown converter and recursive splitter have meaningful boundaries to process. Ref=33.</x:v>
      </x:c>
      <x:c r="C39" s="8" t="str">
        <x:v>webview</x:v>
      </x:c>
      <x:c r="D39" s="8" t="str">
        <x:v>blocked</x:v>
      </x:c>
      <x:c r="E39" s="8" t="str">
        <x:v>Diego</x:v>
      </x:c>
      <x:c r="F39" s="8" t="str">
        <x:v>2026-06-15</x:v>
      </x:c>
      <x:c r="G39" s="8"/>
      <x:c r="H39" s="8"/>
      <x:c r="I39" s="8"/>
      <x:c r="J39" s="8"/>
    </x:row>
    <x:row r="40">
      <x:c r="A40" s="8" t="str">
        <x:v>Background</x:v>
      </x:c>
      <x:c r="B40" s="8" t="str">
        <x:v>Potential duplicate: this paragraph is repeated in another section to test deduplication and chunk metadata. This sentence is long enough to exercise wrapping and downstream chunk boundaries in Markdown output. Potential duplicate: this paragraph is repeated in another section to test deduplication and chunk metadata. This paragraph intentionally contains repeated context and multiple clauses so that a Markdown converter and recursive splitter have meaningful boundaries to process. Ref=34.</x:v>
      </x:c>
      <x:c r="C40" s="8" t="str">
        <x:v>webview</x:v>
      </x:c>
      <x:c r="D40" s="8" t="str">
        <x:v>investigating</x:v>
      </x:c>
      <x:c r="E40" s="8" t="str">
        <x:v>Mei</x:v>
      </x:c>
      <x:c r="F40" s="8" t="str">
        <x:v>2026-07-15</x:v>
      </x:c>
      <x:c r="G40" s="8"/>
      <x:c r="H40" s="8"/>
      <x:c r="I40" s="8"/>
      <x:c r="J40" s="8" t="str">
        <x:v>https://learn.microsoft.com/en-us/microsoft-edge/webview2/concepts/security</x:v>
      </x:c>
    </x:row>
    <x:row r="41">
      <x:c r="A41" s="8" t="str">
        <x:v>Open question</x:v>
      </x:c>
      <x:c r="B41" s="8" t="str">
        <x:v>Follow-up: compare the result when the network security policy is relaxed versus when it is enforced. Follow-up: compare the result when the network security policy is relaxed versus when it is enforced. The owner field was not captured in the original notes, so classification should remain conservative. This paragraph intentionally contains repeated context and multiple clauses so that a Markdown converter and recursive splitter have meaningful boundaries to process. Ref=35.</x:v>
      </x:c>
      <x:c r="C41" s="8" t="str">
        <x:v>markitdown</x:v>
      </x:c>
      <x:c r="D41" s="8" t="str">
        <x:v>open</x:v>
      </x:c>
      <x:c r="E41" s="8" t="str">
        <x:v>Ben</x:v>
      </x:c>
      <x:c r="F41" s="8" t="str">
        <x:v>2026-08-15</x:v>
      </x:c>
      <x:c r="G41" s="8"/>
      <x:c r="H41" s="8"/>
      <x:c r="I41" s="8"/>
      <x:c r="J41" s="8"/>
    </x:row>
    <x:row r="42">
      <x:c r="A42" s="8" t="str">
        <x:v>Background</x:v>
      </x:c>
      <x:c r="B42" s="8" t="str">
        <x:v>This sentence is long enough to exercise wrapping and downstream chunk boundaries in Markdown output. The bridge callback is stable for small payloads, but large JSON messages show visible delay during navigation. This sentence is long enough to exercise wrapping and downstream chunk boundaries in Markdown output. This paragraph intentionally contains repeated context and multiple clauses so that a Markdown converter and recursive splitter have meaningful boundaries to process. Ref=36.</x:v>
      </x:c>
      <x:c r="C42" s="8" t="str">
        <x:v>excel</x:v>
      </x:c>
      <x:c r="D42" s="8" t="str">
        <x:v>investigating</x:v>
      </x:c>
      <x:c r="E42" s="8" t="str">
        <x:v>Diego</x:v>
      </x:c>
      <x:c r="F42" s="8" t="str">
        <x:v>2026-09-15</x:v>
      </x:c>
      <x:c r="G42" s="8"/>
      <x:c r="H42" s="8"/>
      <x:c r="I42" s="8"/>
      <x:c r="J42" s="8"/>
    </x:row>
    <x:row r="43">
      <x:c r="A43" s="8"/>
      <x:c r="B43" s="8"/>
      <x:c r="C43" s="8"/>
      <x:c r="D43" s="8"/>
      <x:c r="E43" s="8"/>
      <x:c r="F43" s="8"/>
      <x:c r="G43" s="8"/>
      <x:c r="H43" s="8"/>
      <x:c r="I43" s="8"/>
      <x:c r="J43" s="8"/>
    </x:row>
    <x:row r="44">
      <x:c r="A44" s="8" t="str">
        <x:v>Open question</x:v>
      </x:c>
      <x:c r="B44" s="8" t="str">
        <x:v>A blank cell here is intentional. The source workbook has notes placed away from the nearest table. Verify behavior on a cold start and after the page reloads without destroying the native view. A blank cell here is intentional. The source workbook has notes placed away from the nearest table. This paragraph intentionally contains repeated context and multiple clauses so that a Markdown converter and recursive splitter have meaningful boundaries to process. Ref=37.</x:v>
      </x:c>
      <x:c r="C44" s="8" t="str">
        <x:v>webview</x:v>
      </x:c>
      <x:c r="D44" s="8" t="str">
        <x:v>blocked</x:v>
      </x:c>
      <x:c r="E44" s="8" t="str">
        <x:v>Carla</x:v>
      </x:c>
      <x:c r="F44" s="8" t="str">
        <x:v>2026-01-15</x:v>
      </x:c>
      <x:c r="G44" s="8"/>
      <x:c r="H44" s="8"/>
      <x:c r="I44" s="8"/>
      <x:c r="J44" s="8"/>
    </x:row>
    <x:row r="45">
      <x:c r="A45" s="8" t="str">
        <x:v>Open question</x:v>
      </x:c>
      <x:c r="B45" s="8" t="str">
        <x:v>This sentence is long enough to exercise wrapping and downstream chunk boundaries in Markdown output. The owner field was not captured in the original notes, so classification should remain conservative. The owner field was not captured in the original notes, so classification should remain conservative. This paragraph intentionally contains repeated context and multiple clauses so that a Markdown converter and recursive splitter have meaningful boundaries to process. Ref=38.</x:v>
      </x:c>
      <x:c r="C45" s="8" t="str">
        <x:v>webview</x:v>
      </x:c>
      <x:c r="D45" s="8" t="str">
        <x:v>resolved</x:v>
      </x:c>
      <x:c r="E45" s="8" t="str">
        <x:v>Mei</x:v>
      </x:c>
      <x:c r="F45" s="8" t="str">
        <x:v>2026-02-15</x:v>
      </x:c>
      <x:c r="G45" s="8"/>
      <x:c r="H45" s="8"/>
      <x:c r="I45" s="8"/>
      <x:c r="J45" s="8"/>
    </x:row>
    <x:row r="46">
      <x:c r="A46" s="8" t="str">
        <x:v>Background</x:v>
      </x:c>
      <x:c r="B46" s="8" t="str">
        <x:v>Observed in a local test run: the content rendered, but the console warning appeared twice. Potential duplicate: this paragraph is repeated in another section to test deduplication and chunk metadata. Verify behavior on a cold start and after the page reloads without destroying the native view. This paragraph intentionally contains repeated context and multiple clauses so that a Markdown converter and recursive splitter have meaningful boundaries to process. Ref=39.</x:v>
      </x:c>
      <x:c r="C46" s="8" t="str">
        <x:v>metadata</x:v>
      </x:c>
      <x:c r="D46" s="8" t="str">
        <x:v>investigating</x:v>
      </x:c>
      <x:c r="E46" s="8" t="str">
        <x:v>Diego</x:v>
      </x:c>
      <x:c r="F46" s="8" t="str">
        <x:v>2026-03-15</x:v>
      </x:c>
      <x:c r="G46" s="8"/>
      <x:c r="H46" s="8"/>
      <x:c r="I46" s="8"/>
      <x:c r="J46" s="8"/>
    </x:row>
    <x:row r="47">
      <x:c r="A47" s="8" t="str">
        <x:v>Background</x:v>
      </x:c>
      <x:c r="B47" s="8" t="str">
        <x:v>Potential duplicate: this paragraph is repeated in another section to test deduplication and chunk metadata. Verify behavior on a cold start and after the page reloads without destroying the native view. Follow-up: compare the result when the network security policy is relaxed versus when it is enforced. This paragraph intentionally contains repeated context and multiple clauses so that a Markdown converter and recursive splitter have meaningful boundaries to process. Ref=40.</x:v>
      </x:c>
      <x:c r="C47" s="8" t="str">
        <x:v>metadata</x:v>
      </x:c>
      <x:c r="D47" s="8" t="str">
        <x:v>investigating</x:v>
      </x:c>
      <x:c r="E47" s="8" t="str">
        <x:v>Diego</x:v>
      </x:c>
      <x:c r="F47" s="8" t="str">
        <x:v>2026-04-15</x:v>
      </x:c>
      <x:c r="G47" s="8"/>
      <x:c r="H47" s="8"/>
      <x:c r="I47" s="8"/>
      <x:c r="J47" s="8"/>
    </x:row>
    <x:row r="48">
      <x:c r="A48" s="8" t="str">
        <x:v>Implementation</x:v>
      </x:c>
      <x:c r="B48" s="8" t="str">
        <x:v>Verify behavior on a cold start and after the page reloads without destroying the native view. Follow-up: compare the result when the network security policy is relaxed versus when it is enforced. The owner field was not captured in the original notes, so classification should remain conservative. This paragraph intentionally contains repeated context and multiple clauses so that a Markdown converter and recursive splitter have meaningful boundaries to process. Ref=41.</x:v>
      </x:c>
      <x:c r="C48" s="8" t="str">
        <x:v>webview</x:v>
      </x:c>
      <x:c r="D48" s="8" t="str">
        <x:v>investigating</x:v>
      </x:c>
      <x:c r="E48" s="8" t="str">
        <x:v>No owner</x:v>
      </x:c>
      <x:c r="F48" s="8" t="str">
        <x:v>2026-05-15</x:v>
      </x:c>
      <x:c r="G48" s="8"/>
      <x:c r="H48" s="8"/>
      <x:c r="I48" s="8"/>
      <x:c r="J48" s="8" t="str">
        <x:v>https://developer.android.com/reference/android/webkit/WebView</x:v>
      </x:c>
    </x:row>
    <x:row r="49">
      <x:c r="A49" s="8" t="str">
        <x:v>Implementation</x:v>
      </x:c>
      <x:c r="B49" s="8" t="str">
        <x:v>This sentence is long enough to exercise wrapping and downstream chunk boundaries in Markdown output. Potential duplicate: this paragraph is repeated in another section to test deduplication and chunk metadata. This sentence is long enough to exercise wrapping and downstream chunk boundaries in Markdown output. This paragraph intentionally contains repeated context and multiple clauses so that a Markdown converter and recursive splitter have meaningful boundaries to process. Ref=42.</x:v>
      </x:c>
      <x:c r="C49" s="8" t="str">
        <x:v>markitdown</x:v>
      </x:c>
      <x:c r="D49" s="8" t="str">
        <x:v>resolved</x:v>
      </x:c>
      <x:c r="E49" s="8" t="str">
        <x:v>Asha</x:v>
      </x:c>
      <x:c r="F49" s="8" t="str">
        <x:v>2026-06-15</x:v>
      </x:c>
      <x:c r="G49" s="8"/>
      <x:c r="H49" s="8"/>
      <x:c r="I49" s="8"/>
      <x:c r="J49" s="8"/>
    </x:row>
    <x:row r="50">
      <x:c r="A50" s="8" t="str">
        <x:v>Outlier</x:v>
      </x:c>
      <x:c r="B50" s="8" t="str">
        <x:v>Observed in a local test run: the content rendered, but the console warning appeared twice. This sentence is long enough to exercise wrapping and downstream chunk boundaries in Markdown output. This sentence is long enough to exercise wrapping and downstream chunk boundaries in Markdown output. This paragraph intentionally contains repeated context and multiple clauses so that a Markdown converter and recursive splitter have meaningful boundaries to process. Ref=43.</x:v>
      </x:c>
      <x:c r="C50" s="8" t="str">
        <x:v>webview</x:v>
      </x:c>
      <x:c r="D50" s="8" t="str">
        <x:v>open</x:v>
      </x:c>
      <x:c r="E50" s="8" t="str">
        <x:v>Diego</x:v>
      </x:c>
      <x:c r="F50" s="8" t="str">
        <x:v>2026-07-15</x:v>
      </x:c>
      <x:c r="G50" s="8"/>
      <x:c r="H50" s="8"/>
      <x:c r="I50" s="8"/>
      <x:c r="J50" s="8" t="str">
        <x:v>https://github.com/react-native-webview/react-native-webview</x:v>
      </x:c>
    </x:row>
    <x:row r="51">
      <x:c r="A51" s="8" t="str">
        <x:v>Decision</x:v>
      </x:c>
      <x:c r="B51" s="8" t="str">
        <x:v>The bridge callback is stable for small payloads, but large JSON messages show visible delay during navigation. A blank cell here is intentional. The source workbook has notes placed away from the nearest table. A blank cell here is intentional. The source workbook has notes placed away from the nearest table. This paragraph intentionally contains repeated context and multiple clauses so that a Markdown converter and recursive splitter have meaningful boundaries to process. Ref=44.</x:v>
      </x:c>
      <x:c r="C51" s="8" t="str">
        <x:v>metadata</x:v>
      </x:c>
      <x:c r="D51" s="8" t="str">
        <x:v>needs reproduction</x:v>
      </x:c>
      <x:c r="E51" s="8" t="str">
        <x:v>Ben</x:v>
      </x:c>
      <x:c r="F51" s="8" t="str">
        <x:v>2026-08-15</x:v>
      </x:c>
      <x:c r="G51" s="8"/>
      <x:c r="H51" s="8"/>
      <x:c r="I51" s="8"/>
      <x:c r="J51" s="8" t="str">
        <x:v>https://github.com/react-native-webview/react-native-webview</x:v>
      </x:c>
    </x:row>
    <x:row r="52">
      <x:c r="A52" s="8" t="str">
        <x:v>Outlier</x:v>
      </x:c>
      <x:c r="B52" s="8" t="str">
        <x:v>The owner field was not captured in the original notes, so classification should remain conservative. Observed in a local test run: the content rendered, but the console warning appeared twice. The owner field was not captured in the original notes, so classification should remain conservative. This paragraph intentionally contains repeated context and multiple clauses so that a Markdown converter and recursive splitter have meaningful boundaries to process. Ref=45.</x:v>
      </x:c>
      <x:c r="C52" s="8" t="str">
        <x:v>chunking</x:v>
      </x:c>
      <x:c r="D52" s="8" t="str">
        <x:v>open</x:v>
      </x:c>
      <x:c r="E52" s="8" t="str">
        <x:v>Asha</x:v>
      </x:c>
      <x:c r="F52" s="8" t="str">
        <x:v>2026-09-15</x:v>
      </x:c>
      <x:c r="G52" s="8"/>
      <x:c r="H52" s="8"/>
      <x:c r="I52" s="8"/>
      <x:c r="J52" s="8" t="str">
        <x:v>https://github.com/react-native-webview/react-native-webview</x:v>
      </x:c>
    </x:row>
    <x:row r="53">
      <x:c r="A53" s="8"/>
      <x:c r="B53" s="8"/>
      <x:c r="C53" s="8"/>
      <x:c r="D53" s="8"/>
      <x:c r="E53" s="8"/>
      <x:c r="F53" s="8"/>
      <x:c r="G53" s="8"/>
      <x:c r="H53" s="8"/>
      <x:c r="I53" s="8"/>
      <x:c r="J53" s="8"/>
    </x:row>
    <x:row r="54">
      <x:c r="A54" s="8" t="str">
        <x:v>Follow-up</x:v>
      </x:c>
      <x:c r="B54" s="8" t="str">
        <x:v>Observed in a local test run: the content rendered, but the console warning appeared twice. The owner field was not captured in the original notes, so classification should remain conservative. Follow-up: compare the result when the network security policy is relaxed versus when it is enforced. This paragraph intentionally contains repeated context and multiple clauses so that a Markdown converter and recursive splitter have meaningful boundaries to process. Ref=46.</x:v>
      </x:c>
      <x:c r="C54" s="8" t="str">
        <x:v>markitdown</x:v>
      </x:c>
      <x:c r="D54" s="8" t="str">
        <x:v>open</x:v>
      </x:c>
      <x:c r="E54" s="8" t="str">
        <x:v>Mei</x:v>
      </x:c>
      <x:c r="F54" s="8" t="str">
        <x:v>2026-01-15</x:v>
      </x:c>
      <x:c r="G54" s="8"/>
      <x:c r="H54" s="8"/>
      <x:c r="I54" s="8"/>
      <x:c r="J54" s="8" t="str">
        <x:v>https://developer.apple.com/documentation/webkit/wkwebview</x:v>
      </x:c>
    </x:row>
    <x:row r="55">
      <x:c r="A55" s="8" t="str">
        <x:v>Decision</x:v>
      </x:c>
      <x:c r="B55" s="8" t="str">
        <x:v>Verify behavior on a cold start and after the page reloads without destroying the native view. Follow-up: compare the result when the network security policy is relaxed versus when it is enforced. Verify behavior on a cold start and after the page reloads without destroying the native view. This paragraph intentionally contains repeated context and multiple clauses so that a Markdown converter and recursive splitter have meaningful boundaries to process. Ref=47.</x:v>
      </x:c>
      <x:c r="C55" s="8" t="str">
        <x:v>metadata</x:v>
      </x:c>
      <x:c r="D55" s="8" t="str">
        <x:v>blocked</x:v>
      </x:c>
      <x:c r="E55" s="8" t="str">
        <x:v>Diego</x:v>
      </x:c>
      <x:c r="F55" s="8" t="str">
        <x:v>2026-02-15</x:v>
      </x:c>
      <x:c r="G55" s="8"/>
      <x:c r="H55" s="8"/>
      <x:c r="I55" s="8"/>
      <x:c r="J55" s="8"/>
    </x:row>
    <x:row r="56">
      <x:c r="A56" s="8" t="str">
        <x:v>Background</x:v>
      </x:c>
      <x:c r="B56" s="8" t="str">
        <x:v>Follow-up: compare the result when the network security policy is relaxed versus when it is enforced. Observed in a local test run: the content rendered, but the console warning appeared twice.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Ref=48.</x:v>
      </x:c>
      <x:c r="C56" s="8" t="str">
        <x:v>metadata</x:v>
      </x:c>
      <x:c r="D56" s="8" t="str">
        <x:v>blocked</x:v>
      </x:c>
      <x:c r="E56" s="8" t="str">
        <x:v>Carla</x:v>
      </x:c>
      <x:c r="F56" s="8" t="str">
        <x:v>2026-03-15</x:v>
      </x:c>
      <x:c r="G56" s="8"/>
      <x:c r="H56" s="8"/>
      <x:c r="I56" s="8"/>
      <x:c r="J56" s="8" t="str">
        <x:v>https://developer.microsoft.com/en-us/microsoft-edge/webview2/</x:v>
      </x:c>
    </x:row>
    <x:row r="57">
      <x:c r="A57" s="8" t="str">
        <x:v>Decision</x:v>
      </x:c>
      <x:c r="B57" s="8" t="str">
        <x:v>The bridge callback is stable for small payloads, but large JSON messages show visible delay during navigation. The owner field was not captured in the original notes, so classification should remain conservative. This sentence is long enough to exercise wrapping and downstream chunk boundaries in Markdown output. This paragraph intentionally contains repeated context and multiple clauses so that a Markdown converter and recursive splitter have meaningful boundaries to process. Ref=49.</x:v>
      </x:c>
      <x:c r="C57" s="8" t="str">
        <x:v>webview</x:v>
      </x:c>
      <x:c r="D57" s="8" t="str">
        <x:v>needs reproduction</x:v>
      </x:c>
      <x:c r="E57" s="8" t="str">
        <x:v>Mei</x:v>
      </x:c>
      <x:c r="F57" s="8" t="str">
        <x:v>2026-04-15</x:v>
      </x:c>
      <x:c r="G57" s="8"/>
      <x:c r="H57" s="8"/>
      <x:c r="I57" s="8"/>
      <x:c r="J57" s="8" t="str">
        <x:v>https://learn.microsoft.com/en-us/microsoft-edge/webview2/concepts/security</x:v>
      </x:c>
    </x:row>
    <x:row r="58">
      <x:c r="A58" s="8" t="str">
        <x:v>Implementation</x:v>
      </x:c>
      <x:c r="B58" s="8" t="str">
        <x:v>Verify behavior on a cold start and after the page reloads without destroying the native view. The bridge callback is stable for small payloads, but large JSON messages show visible delay during navigation. Observed in a local test run: the content rendered, but the console warning appeared twice. This paragraph intentionally contains repeated context and multiple clauses so that a Markdown converter and recursive splitter have meaningful boundaries to process. Ref=50.</x:v>
      </x:c>
      <x:c r="C58" s="8" t="str">
        <x:v>metadata</x:v>
      </x:c>
      <x:c r="D58" s="8" t="str">
        <x:v>open</x:v>
      </x:c>
      <x:c r="E58" s="8" t="str">
        <x:v>Asha</x:v>
      </x:c>
      <x:c r="F58" s="8" t="str">
        <x:v>2026-05-15</x:v>
      </x:c>
      <x:c r="G58" s="8"/>
      <x:c r="H58" s="8"/>
      <x:c r="I58" s="8"/>
      <x:c r="J58" s="8"/>
    </x:row>
    <x:row r="59">
      <x:c r="A59" s="8" t="str">
        <x:v>Background</x:v>
      </x:c>
      <x:c r="B59" s="8" t="str">
        <x:v>Verify behavior on a cold start and after the page reloads without destroying the native view. This sentence is long enough to exercise wrapping and downstream chunk boundaries in Markdown output. Follow-up: compare the result when the network security policy is relaxed versus when it is enforced. This paragraph intentionally contains repeated context and multiple clauses so that a Markdown converter and recursive splitter have meaningful boundaries to process. Ref=51.</x:v>
      </x:c>
      <x:c r="C59" s="8" t="str">
        <x:v>metadata</x:v>
      </x:c>
      <x:c r="D59" s="8" t="str">
        <x:v>resolved</x:v>
      </x:c>
      <x:c r="E59" s="8" t="str">
        <x:v>Diego</x:v>
      </x:c>
      <x:c r="F59" s="8" t="str">
        <x:v>2026-06-15</x:v>
      </x:c>
      <x:c r="G59" s="8"/>
      <x:c r="H59" s="8"/>
      <x:c r="I59" s="8"/>
      <x:c r="J59" s="8"/>
    </x:row>
    <x:row r="60">
      <x:c r="A60" s="8" t="str">
        <x:v>Decision</x:v>
      </x:c>
      <x:c r="B60" s="8" t="str">
        <x:v>Verify behavior on a cold start and after the page reloads without destroying the native view. The bridge callback is stable for small payloads, but large JSON messages show visible delay during navigation. Observed in a local test run: the content rendered, but the console warning appeared twice. This paragraph intentionally contains repeated context and multiple clauses so that a Markdown converter and recursive splitter have meaningful boundaries to process. Ref=52.</x:v>
      </x:c>
      <x:c r="C60" s="8" t="str">
        <x:v>excel</x:v>
      </x:c>
      <x:c r="D60" s="8" t="str">
        <x:v>resolved</x:v>
      </x:c>
      <x:c r="E60" s="8" t="str">
        <x:v>Carla</x:v>
      </x:c>
      <x:c r="F60" s="8" t="str">
        <x:v>2026-07-15</x:v>
      </x:c>
      <x:c r="G60" s="8"/>
      <x:c r="H60" s="8"/>
      <x:c r="I60" s="8"/>
      <x:c r="J60" s="8"/>
    </x:row>
    <x:row r="61">
      <x:c r="A61" s="8" t="str">
        <x:v>Follow-up</x:v>
      </x:c>
      <x:c r="B61" s="8" t="str">
        <x:v>The owner field was not captured in the original notes, so classification should remain conservative. The owner field was not captured in the original notes, so classification should remain conservative. A blank cell here is intentional. The source workbook has notes placed away from the nearest table. This paragraph intentionally contains repeated context and multiple clauses so that a Markdown converter and recursive splitter have meaningful boundaries to process. Ref=53.</x:v>
      </x:c>
      <x:c r="C61" s="8" t="str">
        <x:v>metadata</x:v>
      </x:c>
      <x:c r="D61" s="8" t="str">
        <x:v>blocked</x:v>
      </x:c>
      <x:c r="E61" s="8" t="str">
        <x:v>Asha</x:v>
      </x:c>
      <x:c r="F61" s="8" t="str">
        <x:v>2026-08-15</x:v>
      </x:c>
      <x:c r="G61" s="8"/>
      <x:c r="H61" s="8"/>
      <x:c r="I61" s="8"/>
      <x:c r="J61" s="8" t="str">
        <x:v>https://developer.android.com/reference/android/webkit/WebView</x:v>
      </x:c>
    </x:row>
    <x:row r="62">
      <x:c r="A62" s="8" t="str">
        <x:v>Implementation</x:v>
      </x:c>
      <x:c r="B62" s="8" t="str">
        <x:v>Potential duplicate: this paragraph is repeated in another section to test deduplication and chunk metadata. This sentence is long enough to exercise wrapping and downstream chunk boundaries in Markdown output. Observed in a local test run: the content rendered, but the console warning appeared twice. This paragraph intentionally contains repeated context and multiple clauses so that a Markdown converter and recursive splitter have meaningful boundaries to process. Ref=54.</x:v>
      </x:c>
      <x:c r="C62" s="8" t="str">
        <x:v>markitdown</x:v>
      </x:c>
      <x:c r="D62" s="8" t="str">
        <x:v>open</x:v>
      </x:c>
      <x:c r="E62" s="8" t="str">
        <x:v>Ben</x:v>
      </x:c>
      <x:c r="F62" s="8" t="str">
        <x:v>2026-09-15</x:v>
      </x:c>
      <x:c r="G62" s="8"/>
      <x:c r="H62" s="8"/>
      <x:c r="I62" s="8"/>
      <x:c r="J62" s="8"/>
    </x:row>
    <x:row r="63">
      <x:c r="A63" s="8"/>
      <x:c r="B63" s="8"/>
      <x:c r="C63" s="8"/>
      <x:c r="D63" s="8"/>
      <x:c r="E63" s="8"/>
      <x:c r="F63" s="8"/>
      <x:c r="G63" s="8"/>
      <x:c r="H63" s="8"/>
      <x:c r="I63" s="8"/>
      <x:c r="J63" s="8"/>
    </x:row>
    <x:row r="64">
      <x:c r="A64" s="8" t="str">
        <x:v>Open question</x:v>
      </x:c>
      <x:c r="B64" s="8" t="str">
        <x:v>Verify behavior on a cold start and after the page reloads without destroying the native view. The bridge callback is stable for small payloads, but large JSON messages show visible delay during navigation. Observed in a local test run: the content rendered, but the console warning appeared twice. This paragraph intentionally contains repeated context and multiple clauses so that a Markdown converter and recursive splitter have meaningful boundaries to process. Ref=55.</x:v>
      </x:c>
      <x:c r="C64" s="8" t="str">
        <x:v>excel</x:v>
      </x:c>
      <x:c r="D64" s="8" t="str">
        <x:v>blocked</x:v>
      </x:c>
      <x:c r="E64" s="8" t="str">
        <x:v>Carla</x:v>
      </x:c>
      <x:c r="F64" s="8" t="str">
        <x:v>2026-01-15</x:v>
      </x:c>
      <x:c r="G64" s="8"/>
      <x:c r="H64" s="8"/>
      <x:c r="I64" s="8"/>
      <x:c r="J64" s="8"/>
    </x:row>
    <x:row r="65">
      <x:c r="A65" s="8" t="str">
        <x:v>Follow-up</x:v>
      </x:c>
      <x:c r="B65" s="8" t="str">
        <x:v>This sentence is long enough to exercise wrapping and downstream chunk boundaries in Markdown output. The bridge callback is stable for small payloads, but large JSON messages show visible delay during navigation. Follow-up: compare the result when the network security policy is relaxed versus when it is enforced. This paragraph intentionally contains repeated context and multiple clauses so that a Markdown converter and recursive splitter have meaningful boundaries to process. Ref=56.</x:v>
      </x:c>
      <x:c r="C65" s="8" t="str">
        <x:v>markitdown</x:v>
      </x:c>
      <x:c r="D65" s="8" t="str">
        <x:v>needs reproduction</x:v>
      </x:c>
      <x:c r="E65" s="8" t="str">
        <x:v>Mei</x:v>
      </x:c>
      <x:c r="F65" s="8" t="str">
        <x:v>2026-02-15</x:v>
      </x:c>
      <x:c r="G65" s="8"/>
      <x:c r="H65" s="8"/>
      <x:c r="I65" s="8"/>
      <x:c r="J65" s="8"/>
    </x:row>
    <x:row r="66">
      <x:c r="A66" s="8" t="str">
        <x:v>Open question</x:v>
      </x:c>
      <x:c r="B66" s="8" t="str">
        <x:v>Follow-up: compare the result when the network security policy is relaxed versus when it is enforced. Verify behavior on a cold start and after the page reloads without destroying the native view. Potential duplicate: this paragraph is repeated in another section to test deduplication and chunk metadata. This paragraph intentionally contains repeated context and multiple clauses so that a Markdown converter and recursive splitter have meaningful boundaries to process. Ref=57.</x:v>
      </x:c>
      <x:c r="C66" s="8" t="str">
        <x:v>metadata</x:v>
      </x:c>
      <x:c r="D66" s="8" t="str">
        <x:v>investigating</x:v>
      </x:c>
      <x:c r="E66" s="8" t="str">
        <x:v>No owner</x:v>
      </x:c>
      <x:c r="F66" s="8" t="str">
        <x:v>2026-03-15</x:v>
      </x:c>
      <x:c r="G66" s="8"/>
      <x:c r="H66" s="8"/>
      <x:c r="I66" s="8"/>
      <x:c r="J66" s="8"/>
    </x:row>
    <x:row r="67">
      <x:c r="A67" s="8" t="str">
        <x:v>Decision</x:v>
      </x:c>
      <x:c r="B67" s="8" t="str">
        <x:v>A blank cell here is intentional. The source workbook has notes placed away from the nearest table. This sentence is long enough to exercise wrapping and downstream chunk boundaries in Markdown output. Potential duplicate: this paragraph is repeated in another section to test deduplication and chunk metadata. This paragraph intentionally contains repeated context and multiple clauses so that a Markdown converter and recursive splitter have meaningful boundaries to process. Ref=58.</x:v>
      </x:c>
      <x:c r="C67" s="8" t="str">
        <x:v>markitdown</x:v>
      </x:c>
      <x:c r="D67" s="8" t="str">
        <x:v>resolved</x:v>
      </x:c>
      <x:c r="E67" s="8" t="str">
        <x:v>Asha</x:v>
      </x:c>
      <x:c r="F67" s="8" t="str">
        <x:v>2026-04-15</x:v>
      </x:c>
      <x:c r="G67" s="8"/>
      <x:c r="H67" s="8"/>
      <x:c r="I67" s="8"/>
      <x:c r="J67" s="8" t="str">
        <x:v>https://developer.android.com/reference/android/webkit/WebView</x:v>
      </x:c>
    </x:row>
    <x:row r="68">
      <x:c r="A68" s="8" t="str">
        <x:v>Follow-up</x:v>
      </x:c>
      <x:c r="B68" s="8" t="str">
        <x:v>The bridge callback is stable for small payloads, but large JSON messages show visible delay during navigation. This sentence is long enough to exercise wrapping and downstream chunk boundaries in Markdown output. A blank cell here is intentional. The source workbook has notes placed away from the nearest table. This paragraph intentionally contains repeated context and multiple clauses so that a Markdown converter and recursive splitter have meaningful boundaries to process. Ref=59.</x:v>
      </x:c>
      <x:c r="C68" s="8" t="str">
        <x:v>markitdown</x:v>
      </x:c>
      <x:c r="D68" s="8" t="str">
        <x:v>resolved</x:v>
      </x:c>
      <x:c r="E68" s="8" t="str">
        <x:v>Diego</x:v>
      </x:c>
      <x:c r="F68" s="8" t="str">
        <x:v>2026-05-15</x:v>
      </x:c>
      <x:c r="G68" s="8"/>
      <x:c r="H68" s="8"/>
      <x:c r="I68" s="8"/>
      <x:c r="J68" s="8" t="str">
        <x:v>https://learn.microsoft.com/en-us/microsoft-edge/webview2/concepts/security</x:v>
      </x:c>
    </x:row>
    <x:row r="69">
      <x:c r="A69" s="8" t="str">
        <x:v>Follow-up</x:v>
      </x:c>
      <x:c r="B69" s="8" t="str">
        <x:v>Follow-up: compare the result when the network security policy is relaxed versus when it is enforced. A blank cell here is intentional. The source workbook has notes placed away from the nearest table. This sentence is long enough to exercise wrapping and downstream chunk boundaries in Markdown output. This paragraph intentionally contains repeated context and multiple clauses so that a Markdown converter and recursive splitter have meaningful boundaries to process. Ref=60.</x:v>
      </x:c>
      <x:c r="C69" s="8" t="str">
        <x:v>excel</x:v>
      </x:c>
      <x:c r="D69" s="8" t="str">
        <x:v>resolved</x:v>
      </x:c>
      <x:c r="E69" s="8" t="str">
        <x:v>Carla</x:v>
      </x:c>
      <x:c r="F69" s="8" t="str">
        <x:v>2026-06-15</x:v>
      </x:c>
      <x:c r="G69" s="8"/>
      <x:c r="H69" s="8"/>
      <x:c r="I69" s="8"/>
      <x:c r="J69" s="8"/>
    </x:row>
    <x:row r="70">
      <x:c r="A70" s="8" t="str">
        <x:v>Outlier</x:v>
      </x:c>
      <x:c r="B70" s="8" t="str">
        <x:v>Potential duplicate: this paragraph is repeated in another section to test deduplication and chunk metadata. Potential duplicate: this paragraph is repeated in another section to test deduplication and chunk metadata. Potential duplicate: this paragraph is repeated in another section to test deduplication and chunk metadata. This paragraph intentionally contains repeated context and multiple clauses so that a Markdown converter and recursive splitter have meaningful boundaries to process. Ref=61.</x:v>
      </x:c>
      <x:c r="C70" s="8" t="str">
        <x:v>chunking</x:v>
      </x:c>
      <x:c r="D70" s="8" t="str">
        <x:v>open</x:v>
      </x:c>
      <x:c r="E70" s="8" t="str">
        <x:v>Ben</x:v>
      </x:c>
      <x:c r="F70" s="8" t="str">
        <x:v>2026-07-15</x:v>
      </x:c>
      <x:c r="G70" s="8"/>
      <x:c r="H70" s="8"/>
      <x:c r="I70" s="8"/>
      <x:c r="J70" s="8" t="str">
        <x:v>https://developer.android.com/reference/android/webkit/WebView</x:v>
      </x:c>
    </x:row>
    <x:row r="71">
      <x:c r="A71" s="8" t="str">
        <x:v>Follow-up</x:v>
      </x:c>
      <x:c r="B71" s="8" t="str">
        <x:v>The bridge callback is stable for small payloads, but large JSON messages show visible delay during navigation. Follow-up: compare the result when the network security policy is relaxed versus when it is enforced. Follow-up: compare the result when the network security policy is relaxed versus when it is enforced. This paragraph intentionally contains repeated context and multiple clauses so that a Markdown converter and recursive splitter have meaningful boundaries to process. Ref=62.</x:v>
      </x:c>
      <x:c r="C71" s="8" t="str">
        <x:v>webview</x:v>
      </x:c>
      <x:c r="D71" s="8" t="str">
        <x:v>needs reproduction</x:v>
      </x:c>
      <x:c r="E71" s="8" t="str">
        <x:v>Ben</x:v>
      </x:c>
      <x:c r="F71" s="8" t="str">
        <x:v>2026-08-15</x:v>
      </x:c>
      <x:c r="G71" s="8"/>
      <x:c r="H71" s="8"/>
      <x:c r="I71" s="8"/>
      <x:c r="J71" s="8"/>
    </x:row>
    <x:row r="72">
      <x:c r="A72" s="8" t="str">
        <x:v>Background</x:v>
      </x:c>
      <x:c r="B72" s="8" t="str">
        <x:v>Potential duplicate: this paragraph is repeated in another section to test deduplication and chunk metadata. This sentence is long enough to exercise wrapping and downstream chunk boundaries in Markdown output. The owner field was not captured in the original notes, so classification should remain conservative. This paragraph intentionally contains repeated context and multiple clauses so that a Markdown converter and recursive splitter have meaningful boundaries to process. Ref=63.</x:v>
      </x:c>
      <x:c r="C72" s="8" t="str">
        <x:v>webview</x:v>
      </x:c>
      <x:c r="D72" s="8" t="str">
        <x:v>blocked</x:v>
      </x:c>
      <x:c r="E72" s="8" t="str">
        <x:v>Mei</x:v>
      </x:c>
      <x:c r="F72" s="8" t="str">
        <x:v>2026-09-15</x:v>
      </x:c>
      <x:c r="G72" s="8"/>
      <x:c r="H72" s="8"/>
      <x:c r="I72" s="8"/>
      <x:c r="J72" s="8"/>
    </x:row>
    <x:row r="73">
      <x:c r="A73" s="8"/>
      <x:c r="B73" s="8"/>
      <x:c r="C73" s="8"/>
      <x:c r="D73" s="8"/>
      <x:c r="E73" s="8"/>
      <x:c r="F73" s="8"/>
      <x:c r="G73" s="8"/>
      <x:c r="H73" s="8"/>
      <x:c r="I73" s="8"/>
      <x:c r="J73" s="8"/>
    </x:row>
    <x:row r="74">
      <x:c r="A74" s="8" t="str">
        <x:v>Open question</x:v>
      </x:c>
      <x:c r="B74" s="8" t="str">
        <x:v>Verify behavior on a cold start and after the page reloads without destroying the native view. A blank cell here is intentional. The source workbook has notes placed away from the nearest table. A blank cell here is intentional. The source workbook has notes placed away from the nearest table. This paragraph intentionally contains repeated context and multiple clauses so that a Markdown converter and recursive splitter have meaningful boundaries to process. Ref=64.</x:v>
      </x:c>
      <x:c r="C74" s="8" t="str">
        <x:v>markitdown</x:v>
      </x:c>
      <x:c r="D74" s="8" t="str">
        <x:v>open</x:v>
      </x:c>
      <x:c r="E74" s="8" t="str">
        <x:v>Asha</x:v>
      </x:c>
      <x:c r="F74" s="8" t="str">
        <x:v>2026-01-15</x:v>
      </x:c>
      <x:c r="G74" s="8"/>
      <x:c r="H74" s="8"/>
      <x:c r="I74" s="8"/>
      <x:c r="J74" s="8"/>
    </x:row>
    <x:row r="75">
      <x:c r="A75" s="8" t="str">
        <x:v>Open question</x:v>
      </x:c>
      <x:c r="B75" s="8" t="str">
        <x:v>The owner field was not captured in the original notes, so classification should remain conservative. The owner field was not captured in the original notes, so classification should remain conservative. The owner field was not captured in the original notes, so classification should remain conservative. This paragraph intentionally contains repeated context and multiple clauses so that a Markdown converter and recursive splitter have meaningful boundaries to process. Ref=65.</x:v>
      </x:c>
      <x:c r="C75" s="8" t="str">
        <x:v>webview</x:v>
      </x:c>
      <x:c r="D75" s="8" t="str">
        <x:v>blocked</x:v>
      </x:c>
      <x:c r="E75" s="8" t="str">
        <x:v>Carla</x:v>
      </x:c>
      <x:c r="F75" s="8" t="str">
        <x:v>2026-02-15</x:v>
      </x:c>
      <x:c r="G75" s="8"/>
      <x:c r="H75" s="8"/>
      <x:c r="I75" s="8"/>
      <x:c r="J75" s="8" t="str">
        <x:v>https://developer.microsoft.com/en-us/microsoft-edge/webview2/</x:v>
      </x:c>
    </x:row>
    <x:row r="76">
      <x:c r="A76" s="8" t="str">
        <x:v>Outlier</x:v>
      </x:c>
      <x:c r="B76" s="8" t="str">
        <x:v>Verify behavior on a cold start and after the page reloads without destroying the native view. Potential duplicate: this paragraph is repeated in another section to test deduplication and chunk metadata. A blank cell here is intentional. The source workbook has notes placed away from the nearest table. This paragraph intentionally contains repeated context and multiple clauses so that a Markdown converter and recursive splitter have meaningful boundaries to process. Ref=66.</x:v>
      </x:c>
      <x:c r="C76" s="8" t="str">
        <x:v>chunking</x:v>
      </x:c>
      <x:c r="D76" s="8" t="str">
        <x:v>open</x:v>
      </x:c>
      <x:c r="E76" s="8" t="str">
        <x:v>Carla</x:v>
      </x:c>
      <x:c r="F76" s="8" t="str">
        <x:v>2026-03-15</x:v>
      </x:c>
      <x:c r="G76" s="8"/>
      <x:c r="H76" s="8"/>
      <x:c r="I76" s="8"/>
      <x:c r="J76" s="8"/>
    </x:row>
    <x:row r="77">
      <x:c r="A77" s="8" t="str">
        <x:v>Follow-up</x:v>
      </x:c>
      <x:c r="B77" s="8" t="str">
        <x:v>Verify behavior on a cold start and after the page reloads without destroying the native view. The bridge callback is stable for small payloads, but large JSON messages show visible delay during navigation. A blank cell here is intentional. The source workbook has notes placed away from the nearest table. This paragraph intentionally contains repeated context and multiple clauses so that a Markdown converter and recursive splitter have meaningful boundaries to process. Ref=67.</x:v>
      </x:c>
      <x:c r="C77" s="8" t="str">
        <x:v>chunking</x:v>
      </x:c>
      <x:c r="D77" s="8" t="str">
        <x:v>needs reproduction</x:v>
      </x:c>
      <x:c r="E77" s="8" t="str">
        <x:v>Mei</x:v>
      </x:c>
      <x:c r="F77" s="8" t="str">
        <x:v>2026-04-15</x:v>
      </x:c>
      <x:c r="G77" s="8"/>
      <x:c r="H77" s="8"/>
      <x:c r="I77" s="8"/>
      <x:c r="J77" s="8" t="str">
        <x:v>https://learn.microsoft.com/en-us/microsoft-edge/webview2/concepts/security</x:v>
      </x:c>
    </x:row>
    <x:row r="78">
      <x:c r="A78" s="8" t="str">
        <x:v>Follow-up</x:v>
      </x:c>
      <x:c r="B78" s="8" t="str">
        <x:v>A blank cell here is intentional. The source workbook has notes placed away from the nearest table. Verify behavior on a cold start and after the page reloads without destroying the native view. Verify behavior on a cold start and after the page reloads without destroying the native view. This paragraph intentionally contains repeated context and multiple clauses so that a Markdown converter and recursive splitter have meaningful boundaries to process. Ref=68.</x:v>
      </x:c>
      <x:c r="C78" s="8" t="str">
        <x:v>markitdown</x:v>
      </x:c>
      <x:c r="D78" s="8" t="str">
        <x:v>resolved</x:v>
      </x:c>
      <x:c r="E78" s="8" t="str">
        <x:v>Ben</x:v>
      </x:c>
      <x:c r="F78" s="8" t="str">
        <x:v>2026-05-15</x:v>
      </x:c>
      <x:c r="G78" s="8"/>
      <x:c r="H78" s="8"/>
      <x:c r="I78" s="8"/>
      <x:c r="J78" s="8"/>
    </x:row>
    <x:row r="79">
      <x:c r="A79" s="8" t="str">
        <x:v>Open question</x:v>
      </x:c>
      <x:c r="B79" s="8" t="str">
        <x:v>The bridge callback is stable for small payloads, but large JSON messages show visible delay during navigation. A blank cell here is intentional. The source workbook has notes placed away from the nearest table. This sentence is long enough to exercise wrapping and downstream chunk boundaries in Markdown output. This paragraph intentionally contains repeated context and multiple clauses so that a Markdown converter and recursive splitter have meaningful boundaries to process. Ref=69.</x:v>
      </x:c>
      <x:c r="C79" s="8" t="str">
        <x:v>markitdown</x:v>
      </x:c>
      <x:c r="D79" s="8" t="str">
        <x:v>blocked</x:v>
      </x:c>
      <x:c r="E79" s="8" t="str">
        <x:v>Ben</x:v>
      </x:c>
      <x:c r="F79" s="8" t="str">
        <x:v>2026-06-15</x:v>
      </x:c>
      <x:c r="G79" s="8"/>
      <x:c r="H79" s="8"/>
      <x:c r="I79" s="8"/>
      <x:c r="J79" s="8"/>
    </x:row>
    <x:row r="80">
      <x:c r="A80" s="8" t="str">
        <x:v>Decision</x:v>
      </x:c>
      <x:c r="B80" s="8" t="str">
        <x:v>Observed in a local test run: the content rendered, but the console warning appeared twice. The owner field was not captured in the original notes, so classification should remain conservative. Verify behavior on a cold start and after the page reloads without destroying the native view. This paragraph intentionally contains repeated context and multiple clauses so that a Markdown converter and recursive splitter have meaningful boundaries to process. Ref=70.</x:v>
      </x:c>
      <x:c r="C80" s="8" t="str">
        <x:v>excel</x:v>
      </x:c>
      <x:c r="D80" s="8" t="str">
        <x:v>open</x:v>
      </x:c>
      <x:c r="E80" s="8" t="str">
        <x:v>No owner</x:v>
      </x:c>
      <x:c r="F80" s="8" t="str">
        <x:v>2026-07-15</x:v>
      </x:c>
      <x:c r="G80" s="8"/>
      <x:c r="H80" s="8"/>
      <x:c r="I80" s="8"/>
      <x:c r="J80" s="8"/>
    </x:row>
    <x:row r="81">
      <x:c r="A81" s="8" t="str">
        <x:v>Outlier</x:v>
      </x:c>
      <x:c r="B81" s="8" t="str">
        <x:v>Follow-up: compare the result when the network security policy is relaxed versus when it is enforced. Follow-up: compare the result when the network security policy is relaxed versus when it is enforced. Follow-up: compare the result when the network security policy is relaxed versus when it is enforced. This paragraph intentionally contains repeated context and multiple clauses so that a Markdown converter and recursive splitter have meaningful boundaries to process. Ref=71.</x:v>
      </x:c>
      <x:c r="C81" s="8" t="str">
        <x:v>chunking</x:v>
      </x:c>
      <x:c r="D81" s="8" t="str">
        <x:v>resolved</x:v>
      </x:c>
      <x:c r="E81" s="8" t="str">
        <x:v>Mei</x:v>
      </x:c>
      <x:c r="F81" s="8" t="str">
        <x:v>2026-08-15</x:v>
      </x:c>
      <x:c r="G81" s="8"/>
      <x:c r="H81" s="8"/>
      <x:c r="I81" s="8"/>
      <x:c r="J81" s="8" t="str">
        <x:v>https://github.com/react-native-webview/react-native-webview</x:v>
      </x:c>
    </x:row>
    <x:row r="82">
      <x:c r="A82" s="8" t="str">
        <x:v>Decision</x:v>
      </x:c>
      <x:c r="B82" s="8" t="str">
        <x:v>The owner field was not captured in the original notes, so classification should remain conservative. The bridge callback is stable for small payloads, but large JSON messages show visible delay during navigation. Follow-up: compare the result when the network security policy is relaxed versus when it is enforced. This paragraph intentionally contains repeated context and multiple clauses so that a Markdown converter and recursive splitter have meaningful boundaries to process. Ref=72.</x:v>
      </x:c>
      <x:c r="C82" s="8" t="str">
        <x:v>metadata</x:v>
      </x:c>
      <x:c r="D82" s="8" t="str">
        <x:v>open</x:v>
      </x:c>
      <x:c r="E82" s="8" t="str">
        <x:v>Carla</x:v>
      </x:c>
      <x:c r="F82" s="8" t="str">
        <x:v>2026-09-15</x:v>
      </x:c>
      <x:c r="G82" s="8"/>
      <x:c r="H82" s="8"/>
      <x:c r="I82" s="8"/>
      <x:c r="J82" s="8"/>
    </x:row>
    <x:row r="83">
      <x:c r="A83" s="8"/>
      <x:c r="B83" s="8"/>
      <x:c r="C83" s="8"/>
      <x:c r="D83" s="8"/>
      <x:c r="E83" s="8"/>
      <x:c r="F83" s="8"/>
      <x:c r="G83" s="8"/>
      <x:c r="H83" s="8"/>
      <x:c r="I83" s="8"/>
      <x:c r="J83" s="8"/>
    </x:row>
    <x:row r="84">
      <x:c r="A84" s="8" t="str">
        <x:v>Open question</x:v>
      </x:c>
      <x:c r="B84" s="8" t="str">
        <x:v>Observed in a local test run: the content rendered, but the console warning appeared twice. Observed in a local test run: the content rendered, but the console warning appeared twice. A blank cell here is intentional. The source workbook has notes placed away from the nearest table. This paragraph intentionally contains repeated context and multiple clauses so that a Markdown converter and recursive splitter have meaningful boundaries to process. Ref=73.</x:v>
      </x:c>
      <x:c r="C84" s="8" t="str">
        <x:v>markitdown</x:v>
      </x:c>
      <x:c r="D84" s="8" t="str">
        <x:v>blocked</x:v>
      </x:c>
      <x:c r="E84" s="8" t="str">
        <x:v>Mei</x:v>
      </x:c>
      <x:c r="F84" s="8" t="str">
        <x:v>2026-01-15</x:v>
      </x:c>
      <x:c r="G84" s="8"/>
      <x:c r="H84" s="8"/>
      <x:c r="I84" s="8"/>
      <x:c r="J84" s="8"/>
    </x:row>
    <x:row r="85">
      <x:c r="A85" s="8" t="str">
        <x:v>Decision</x:v>
      </x:c>
      <x:c r="B85" s="8" t="str">
        <x:v>A blank cell here is intentional. The source workbook has notes placed away from the nearest table. The owner field was not captured in the original notes, so classification should remain conservative. Verify behavior on a cold start and after the page reloads without destroying the native view. This paragraph intentionally contains repeated context and multiple clauses so that a Markdown converter and recursive splitter have meaningful boundaries to process. Ref=74.</x:v>
      </x:c>
      <x:c r="C85" s="8" t="str">
        <x:v>webview</x:v>
      </x:c>
      <x:c r="D85" s="8" t="str">
        <x:v>open</x:v>
      </x:c>
      <x:c r="E85" s="8" t="str">
        <x:v>Ben</x:v>
      </x:c>
      <x:c r="F85" s="8" t="str">
        <x:v>2026-02-15</x:v>
      </x:c>
      <x:c r="G85" s="8"/>
      <x:c r="H85" s="8"/>
      <x:c r="I85" s="8"/>
      <x:c r="J85" s="8"/>
    </x:row>
    <x:row r="86">
      <x:c r="A86" s="8" t="str">
        <x:v>Follow-up</x:v>
      </x:c>
      <x:c r="B86" s="8" t="str">
        <x:v>Observed in a local test run: the content rendered, but the console warning appeared twice. The owner field was not captured in the original notes, so classification should remain conservative. Verify behavior on a cold start and after the page reloads without destroying the native view. This paragraph intentionally contains repeated context and multiple clauses so that a Markdown converter and recursive splitter have meaningful boundaries to process. Ref=75.</x:v>
      </x:c>
      <x:c r="C86" s="8" t="str">
        <x:v>markitdown</x:v>
      </x:c>
      <x:c r="D86" s="8" t="str">
        <x:v>investigating</x:v>
      </x:c>
      <x:c r="E86" s="8" t="str">
        <x:v>Mei</x:v>
      </x:c>
      <x:c r="F86" s="8" t="str">
        <x:v>2026-03-15</x:v>
      </x:c>
      <x:c r="G86" s="8"/>
      <x:c r="H86" s="8"/>
      <x:c r="I86" s="8"/>
      <x:c r="J86" s="8"/>
    </x:row>
    <x:row r="87">
      <x:c r="A87" s="8" t="str">
        <x:v>Outlier</x:v>
      </x:c>
      <x:c r="B87" s="8" t="str">
        <x:v>A blank cell here is intentional. The source workbook has notes placed away from the nearest table. A blank cell here is intentional. The source workbook has notes placed away from the nearest table.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Ref=76.</x:v>
      </x:c>
      <x:c r="C87" s="8" t="str">
        <x:v>excel</x:v>
      </x:c>
      <x:c r="D87" s="8" t="str">
        <x:v>resolved</x:v>
      </x:c>
      <x:c r="E87" s="8" t="str">
        <x:v>Mei</x:v>
      </x:c>
      <x:c r="F87" s="8" t="str">
        <x:v>2026-04-15</x:v>
      </x:c>
      <x:c r="G87" s="8"/>
      <x:c r="H87" s="8"/>
      <x:c r="I87" s="8"/>
      <x:c r="J87" s="8" t="str">
        <x:v>https://github.com/react-native-webview/react-native-webview</x:v>
      </x:c>
    </x:row>
    <x:row r="88">
      <x:c r="A88" s="8" t="str">
        <x:v>Follow-up</x:v>
      </x:c>
      <x:c r="B88" s="8" t="str">
        <x:v>The owner field was not captured in the original notes, so classification should remain conservative. This sentence is long enough to exercise wrapping and downstream chunk boundaries in Markdown output. Verify behavior on a cold start and after the page reloads without destroying the native view. This paragraph intentionally contains repeated context and multiple clauses so that a Markdown converter and recursive splitter have meaningful boundaries to process. Ref=77.</x:v>
      </x:c>
      <x:c r="C88" s="8" t="str">
        <x:v>webview</x:v>
      </x:c>
      <x:c r="D88" s="8" t="str">
        <x:v>needs reproduction</x:v>
      </x:c>
      <x:c r="E88" s="8" t="str">
        <x:v>No owner</x:v>
      </x:c>
      <x:c r="F88" s="8" t="str">
        <x:v>2026-05-15</x:v>
      </x:c>
      <x:c r="G88" s="8"/>
      <x:c r="H88" s="8"/>
      <x:c r="I88" s="8"/>
      <x:c r="J88" s="8" t="str">
        <x:v>https://developer.apple.com/documentation/webkit/wkwebview</x:v>
      </x:c>
    </x:row>
    <x:row r="89">
      <x:c r="A89" s="8" t="str">
        <x:v>Open question</x:v>
      </x:c>
      <x:c r="B89" s="8" t="str">
        <x:v>A blank cell here is intentional. The source workbook has notes placed away from the nearest table. Follow-up: compare the result when the network security policy is relaxed versus when it is enforced. This sentence is long enough to exercise wrapping and downstream chunk boundaries in Markdown output. This paragraph intentionally contains repeated context and multiple clauses so that a Markdown converter and recursive splitter have meaningful boundaries to process. Ref=78.</x:v>
      </x:c>
      <x:c r="C89" s="8" t="str">
        <x:v>excel</x:v>
      </x:c>
      <x:c r="D89" s="8" t="str">
        <x:v>resolved</x:v>
      </x:c>
      <x:c r="E89" s="8" t="str">
        <x:v>Ben</x:v>
      </x:c>
      <x:c r="F89" s="8" t="str">
        <x:v>2026-06-15</x:v>
      </x:c>
      <x:c r="G89" s="8"/>
      <x:c r="H89" s="8"/>
      <x:c r="I89" s="8"/>
      <x:c r="J89" s="8"/>
    </x:row>
    <x:row r="90">
      <x:c r="A90" s="8" t="str">
        <x:v>Decision</x:v>
      </x:c>
      <x:c r="B90" s="8" t="str">
        <x:v>Verify behavior on a cold start and after the page reloads without destroying the native view. Potential duplicate: this paragraph is repeated in another section to test deduplication and chunk metadata. Observed in a local test run: the content rendered, but the console warning appeared twice. This paragraph intentionally contains repeated context and multiple clauses so that a Markdown converter and recursive splitter have meaningful boundaries to process. Ref=79.</x:v>
      </x:c>
      <x:c r="C90" s="8" t="str">
        <x:v>chunking</x:v>
      </x:c>
      <x:c r="D90" s="8" t="str">
        <x:v>blocked</x:v>
      </x:c>
      <x:c r="E90" s="8" t="str">
        <x:v>No owner</x:v>
      </x:c>
      <x:c r="F90" s="8" t="str">
        <x:v>2026-07-15</x:v>
      </x:c>
      <x:c r="G90" s="8"/>
      <x:c r="H90" s="8"/>
      <x:c r="I90" s="8"/>
      <x:c r="J90" s="8" t="str">
        <x:v>https://developer.android.com/reference/android/webkit/WebView</x:v>
      </x:c>
    </x:row>
    <x:row r="91">
      <x:c r="A91" s="8" t="str">
        <x:v>Implementation</x:v>
      </x:c>
      <x:c r="B91" s="8" t="str">
        <x:v>The bridge callback is stable for small payloads, but large JSON messages show visible delay during navigation. A blank cell here is intentional. The source workbook has notes placed away from the nearest table. Follow-up: compare the result when the network security policy is relaxed versus when it is enforced. This paragraph intentionally contains repeated context and multiple clauses so that a Markdown converter and recursive splitter have meaningful boundaries to process. Ref=80.</x:v>
      </x:c>
      <x:c r="C91" s="8" t="str">
        <x:v>markitdown</x:v>
      </x:c>
      <x:c r="D91" s="8" t="str">
        <x:v>resolved</x:v>
      </x:c>
      <x:c r="E91" s="8" t="str">
        <x:v>Mei</x:v>
      </x:c>
      <x:c r="F91" s="8" t="str">
        <x:v>2026-08-15</x:v>
      </x:c>
      <x:c r="G91" s="8"/>
      <x:c r="H91" s="8"/>
      <x:c r="I91" s="8"/>
      <x:c r="J91" s="8"/>
    </x:row>
    <x:row r="92">
      <x:c r="A92" s="8" t="str">
        <x:v>Outlier</x:v>
      </x:c>
      <x:c r="B92" s="8" t="str">
        <x:v>This sentence is long enough to exercise wrapping and downstream chunk boundaries in Markdown output. Potential duplicate: this paragraph is repeated in another section to test deduplication and chunk metadata. Verify behavior on a cold start and after the page reloads without destroying the native view. This paragraph intentionally contains repeated context and multiple clauses so that a Markdown converter and recursive splitter have meaningful boundaries to process. Ref=81.</x:v>
      </x:c>
      <x:c r="C92" s="8" t="str">
        <x:v>excel</x:v>
      </x:c>
      <x:c r="D92" s="8" t="str">
        <x:v>needs reproduction</x:v>
      </x:c>
      <x:c r="E92" s="8" t="str">
        <x:v>Mei</x:v>
      </x:c>
      <x:c r="F92" s="8" t="str">
        <x:v>2026-09-15</x:v>
      </x:c>
      <x:c r="G92" s="8"/>
      <x:c r="H92" s="8"/>
      <x:c r="I92" s="8"/>
      <x:c r="J92" s="8"/>
    </x:row>
    <x:row r="93">
      <x:c r="A93" s="8"/>
      <x:c r="B93" s="8"/>
      <x:c r="C93" s="8"/>
      <x:c r="D93" s="8"/>
      <x:c r="E93" s="8"/>
      <x:c r="F93" s="8"/>
      <x:c r="G93" s="8"/>
      <x:c r="H93" s="8"/>
      <x:c r="I93" s="8"/>
      <x:c r="J93" s="8"/>
    </x:row>
    <x:row r="94">
      <x:c r="A94" s="8" t="str">
        <x:v>Follow-up</x:v>
      </x:c>
      <x:c r="B94" s="8" t="str">
        <x:v>Verify behavior on a cold start and after the page reloads without destroying the native view. A blank cell here is intentional. The source workbook has notes placed away from the nearest table. The owner field was not captured in the original notes, so classification should remain conservative. This paragraph intentionally contains repeated context and multiple clauses so that a Markdown converter and recursive splitter have meaningful boundaries to process. Ref=82.</x:v>
      </x:c>
      <x:c r="C94" s="8" t="str">
        <x:v>markitdown</x:v>
      </x:c>
      <x:c r="D94" s="8" t="str">
        <x:v>needs reproduction</x:v>
      </x:c>
      <x:c r="E94" s="8" t="str">
        <x:v>Diego</x:v>
      </x:c>
      <x:c r="F94" s="8" t="str">
        <x:v>2026-01-15</x:v>
      </x:c>
      <x:c r="G94" s="8"/>
      <x:c r="H94" s="8"/>
      <x:c r="I94" s="8"/>
      <x:c r="J94" s="8"/>
    </x:row>
    <x:row r="95">
      <x:c r="A95" s="8" t="str">
        <x:v>Implementation</x:v>
      </x:c>
      <x:c r="B95" s="8" t="str">
        <x:v>Verify behavior on a cold start and after the page reloads without destroying the native view. Observed in a local test run: the content rendered, but the console warning appeared twice. Potential duplicate: this paragraph is repeated in another section to test deduplication and chunk metadata. This paragraph intentionally contains repeated context and multiple clauses so that a Markdown converter and recursive splitter have meaningful boundaries to process. Ref=83.</x:v>
      </x:c>
      <x:c r="C95" s="8" t="str">
        <x:v>chunking</x:v>
      </x:c>
      <x:c r="D95" s="8" t="str">
        <x:v>needs reproduction</x:v>
      </x:c>
      <x:c r="E95" s="8" t="str">
        <x:v>Ben</x:v>
      </x:c>
      <x:c r="F95" s="8" t="str">
        <x:v>2026-02-15</x:v>
      </x:c>
      <x:c r="G95" s="8"/>
      <x:c r="H95" s="8"/>
      <x:c r="I95" s="8"/>
      <x:c r="J95" s="8"/>
    </x:row>
    <x:row r="96">
      <x:c r="A96" s="8" t="str">
        <x:v>Decision</x:v>
      </x:c>
      <x:c r="B96" s="8" t="str">
        <x:v>A blank cell here is intentional. The source workbook has notes placed away from the nearest table. Follow-up: compare the result when the network security policy is relaxed versus when it is enforced. This sentence is long enough to exercise wrapping and downstream chunk boundaries in Markdown output. This paragraph intentionally contains repeated context and multiple clauses so that a Markdown converter and recursive splitter have meaningful boundaries to process. Ref=84.</x:v>
      </x:c>
      <x:c r="C96" s="8" t="str">
        <x:v>webview</x:v>
      </x:c>
      <x:c r="D96" s="8" t="str">
        <x:v>open</x:v>
      </x:c>
      <x:c r="E96" s="8" t="str">
        <x:v>Diego</x:v>
      </x:c>
      <x:c r="F96" s="8" t="str">
        <x:v>2026-03-15</x:v>
      </x:c>
      <x:c r="G96" s="8"/>
      <x:c r="H96" s="8"/>
      <x:c r="I96" s="8"/>
      <x:c r="J96" s="8" t="str">
        <x:v>https://learn.microsoft.com/en-us/microsoft-edge/webview2/concepts/security</x:v>
      </x:c>
    </x:row>
    <x:row r="97">
      <x:c r="A97" s="8" t="str">
        <x:v>Background</x:v>
      </x:c>
      <x:c r="B97" s="8" t="str">
        <x:v>The bridge callback is stable for small payloads, but large JSON messages show visible delay during navigation. Verify behavior on a cold start and after the page reloads without destroying the native view. Potential duplicate: this paragraph is repeated in another section to test deduplication and chunk metadata. This paragraph intentionally contains repeated context and multiple clauses so that a Markdown converter and recursive splitter have meaningful boundaries to process. Ref=85.</x:v>
      </x:c>
      <x:c r="C97" s="8" t="str">
        <x:v>chunking</x:v>
      </x:c>
      <x:c r="D97" s="8" t="str">
        <x:v>needs reproduction</x:v>
      </x:c>
      <x:c r="E97" s="8" t="str">
        <x:v>Ben</x:v>
      </x:c>
      <x:c r="F97" s="8" t="str">
        <x:v>2026-04-15</x:v>
      </x:c>
      <x:c r="G97" s="8"/>
      <x:c r="H97" s="8"/>
      <x:c r="I97" s="8"/>
      <x:c r="J97" s="8"/>
    </x:row>
    <x:row r="98">
      <x:c r="A98" s="8" t="str">
        <x:v>Open question</x:v>
      </x:c>
      <x:c r="B98" s="8" t="str">
        <x:v>Verify behavior on a cold start and after the page reloads without destroying the native view. Verify behavior on a cold start and after the page reloads without destroying the native view. Potential duplicate: this paragraph is repeated in another section to test deduplication and chunk metadata. This paragraph intentionally contains repeated context and multiple clauses so that a Markdown converter and recursive splitter have meaningful boundaries to process. Ref=86.</x:v>
      </x:c>
      <x:c r="C98" s="8" t="str">
        <x:v>markitdown</x:v>
      </x:c>
      <x:c r="D98" s="8" t="str">
        <x:v>resolved</x:v>
      </x:c>
      <x:c r="E98" s="8" t="str">
        <x:v>Diego</x:v>
      </x:c>
      <x:c r="F98" s="8" t="str">
        <x:v>2026-05-15</x:v>
      </x:c>
      <x:c r="G98" s="8"/>
      <x:c r="H98" s="8"/>
      <x:c r="I98" s="8"/>
      <x:c r="J98" s="8"/>
    </x:row>
    <x:row r="99">
      <x:c r="A99" s="8" t="str">
        <x:v>Follow-up</x:v>
      </x:c>
      <x:c r="B99" s="8" t="str">
        <x:v>Verify behavior on a cold start and after the page reloads without destroying the native view. A blank cell here is intentional. The source workbook has notes placed away from the nearest table. Follow-up: compare the result when the network security policy is relaxed versus when it is enforced. This paragraph intentionally contains repeated context and multiple clauses so that a Markdown converter and recursive splitter have meaningful boundaries to process. Ref=87.</x:v>
      </x:c>
      <x:c r="C99" s="8" t="str">
        <x:v>excel</x:v>
      </x:c>
      <x:c r="D99" s="8" t="str">
        <x:v>resolved</x:v>
      </x:c>
      <x:c r="E99" s="8" t="str">
        <x:v>Carla</x:v>
      </x:c>
      <x:c r="F99" s="8" t="str">
        <x:v>2026-06-15</x:v>
      </x:c>
      <x:c r="G99" s="8"/>
      <x:c r="H99" s="8"/>
      <x:c r="I99" s="8"/>
      <x:c r="J99" s="8" t="str">
        <x:v>https://github.com/react-native-webview/react-native-webview</x:v>
      </x:c>
    </x:row>
    <x:row r="100">
      <x:c r="A100" s="8" t="str">
        <x:v>Follow-up</x:v>
      </x:c>
      <x:c r="B100" s="8" t="str">
        <x:v>Potential duplicate: this paragraph is repeated in another section to test deduplication and chunk metadata. Observed in a local test run: the content rendered, but the console warning appeared twice. This sentence is long enough to exercise wrapping and downstream chunk boundaries in Markdown output. This paragraph intentionally contains repeated context and multiple clauses so that a Markdown converter and recursive splitter have meaningful boundaries to process. Ref=88.</x:v>
      </x:c>
      <x:c r="C100" s="8" t="str">
        <x:v>chunking</x:v>
      </x:c>
      <x:c r="D100" s="8" t="str">
        <x:v>investigating</x:v>
      </x:c>
      <x:c r="E100" s="8" t="str">
        <x:v>No owner</x:v>
      </x:c>
      <x:c r="F100" s="8" t="str">
        <x:v>2026-07-15</x:v>
      </x:c>
      <x:c r="G100" s="8"/>
      <x:c r="H100" s="8"/>
      <x:c r="I100" s="8"/>
      <x:c r="J100" s="8"/>
    </x:row>
    <x:row r="101">
      <x:c r="A101" s="8" t="str">
        <x:v>Background</x:v>
      </x:c>
      <x:c r="B101" s="8" t="str">
        <x:v>The owner field was not captured in the original notes, so classification should remain conservative. Potential duplicate: this paragraph is repeated in another section to test deduplication and chunk metadata. Follow-up: compare the result when the network security policy is relaxed versus when it is enforced. This paragraph intentionally contains repeated context and multiple clauses so that a Markdown converter and recursive splitter have meaningful boundaries to process. Ref=89.</x:v>
      </x:c>
      <x:c r="C101" s="8" t="str">
        <x:v>metadata</x:v>
      </x:c>
      <x:c r="D101" s="8" t="str">
        <x:v>blocked</x:v>
      </x:c>
      <x:c r="E101" s="8" t="str">
        <x:v>Carla</x:v>
      </x:c>
      <x:c r="F101" s="8" t="str">
        <x:v>2026-08-15</x:v>
      </x:c>
      <x:c r="G101" s="8"/>
      <x:c r="H101" s="8"/>
      <x:c r="I101" s="8"/>
      <x:c r="J101" s="8"/>
    </x:row>
    <x:row r="102">
      <x:c r="A102" s="8" t="str">
        <x:v>Follow-up</x:v>
      </x:c>
      <x:c r="B102" s="8" t="str">
        <x:v>This sentence is long enough to exercise wrapping and downstream chunk boundaries in Markdown output. The bridge callback is stable for small payloads, but large JSON messages show visible delay during navigation. The owner field was not captured in the original notes, so classification should remain conservative. This paragraph intentionally contains repeated context and multiple clauses so that a Markdown converter and recursive splitter have meaningful boundaries to process. Ref=90.</x:v>
      </x:c>
      <x:c r="C102" s="8" t="str">
        <x:v>markitdown</x:v>
      </x:c>
      <x:c r="D102" s="8" t="str">
        <x:v>resolved</x:v>
      </x:c>
      <x:c r="E102" s="8" t="str">
        <x:v>Ben</x:v>
      </x:c>
      <x:c r="F102" s="8" t="str">
        <x:v>2026-09-15</x:v>
      </x:c>
      <x:c r="G102" s="8"/>
      <x:c r="H102" s="8"/>
      <x:c r="I102" s="8"/>
      <x:c r="J102" s="8" t="str">
        <x:v>https://learn.microsoft.com/en-us/microsoft-edge/webview2/concepts/security</x:v>
      </x:c>
    </x:row>
    <x:row r="103">
      <x:c r="A103" s="8"/>
      <x:c r="B103" s="8"/>
      <x:c r="C103" s="8"/>
      <x:c r="D103" s="8"/>
      <x:c r="E103" s="8"/>
      <x:c r="F103" s="8"/>
      <x:c r="G103" s="8"/>
      <x:c r="H103" s="8"/>
      <x:c r="I103" s="8"/>
      <x:c r="J103" s="8"/>
    </x:row>
    <x:row r="104">
      <x:c r="A104" s="8" t="str">
        <x:v>Outlier</x:v>
      </x:c>
      <x:c r="B104" s="8" t="str">
        <x:v>The bridge callback is stable for small payloads, but large JSON messages show visible delay during navigation. A blank cell here is intentional. The source workbook has notes placed away from the nearest table.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Ref=91.</x:v>
      </x:c>
      <x:c r="C104" s="8" t="str">
        <x:v>excel</x:v>
      </x:c>
      <x:c r="D104" s="8" t="str">
        <x:v>needs reproduction</x:v>
      </x:c>
      <x:c r="E104" s="8" t="str">
        <x:v>No owner</x:v>
      </x:c>
      <x:c r="F104" s="8" t="str">
        <x:v>2026-01-15</x:v>
      </x:c>
      <x:c r="G104" s="8"/>
      <x:c r="H104" s="8"/>
      <x:c r="I104" s="8"/>
      <x:c r="J104" s="8" t="str">
        <x:v>https://developer.android.com/reference/android/webkit/WebView</x:v>
      </x:c>
    </x:row>
    <x:row r="105">
      <x:c r="A105" s="8" t="str">
        <x:v>Outlier</x:v>
      </x:c>
      <x:c r="B105" s="8" t="str">
        <x:v>Follow-up: compare the result when the network security policy is relaxed versus when it is enforced. Observed in a local test run: the content rendered, but the console warning appeared twice.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Ref=92.</x:v>
      </x:c>
      <x:c r="C105" s="8" t="str">
        <x:v>metadata</x:v>
      </x:c>
      <x:c r="D105" s="8" t="str">
        <x:v>needs reproduction</x:v>
      </x:c>
      <x:c r="E105" s="8" t="str">
        <x:v>Carla</x:v>
      </x:c>
      <x:c r="F105" s="8" t="str">
        <x:v>2026-02-15</x:v>
      </x:c>
      <x:c r="G105" s="8"/>
      <x:c r="H105" s="8"/>
      <x:c r="I105" s="8"/>
      <x:c r="J105" s="8"/>
    </x:row>
    <x:row r="106">
      <x:c r="A106" s="8" t="str">
        <x:v>Open question</x:v>
      </x:c>
      <x:c r="B106" s="8" t="str">
        <x:v>The owner field was not captured in the original notes, so classification should remain conservative. Observed in a local test run: the content rendered, but the console warning appeared twice. This sentence is long enough to exercise wrapping and downstream chunk boundaries in Markdown output. This paragraph intentionally contains repeated context and multiple clauses so that a Markdown converter and recursive splitter have meaningful boundaries to process. Ref=93.</x:v>
      </x:c>
      <x:c r="C106" s="8" t="str">
        <x:v>chunking</x:v>
      </x:c>
      <x:c r="D106" s="8" t="str">
        <x:v>open</x:v>
      </x:c>
      <x:c r="E106" s="8" t="str">
        <x:v>Asha</x:v>
      </x:c>
      <x:c r="F106" s="8" t="str">
        <x:v>2026-03-15</x:v>
      </x:c>
      <x:c r="G106" s="8"/>
      <x:c r="H106" s="8"/>
      <x:c r="I106" s="8"/>
      <x:c r="J106" s="8"/>
    </x:row>
    <x:row r="107">
      <x:c r="A107" s="8" t="str">
        <x:v>Background</x:v>
      </x:c>
      <x:c r="B107" s="8" t="str">
        <x:v>The owner field was not captured in the original notes, so classification should remain conservative. The bridge callback is stable for small payloads, but large JSON messages show visible delay during navigation. A blank cell here is intentional. The source workbook has notes placed away from the nearest table. This paragraph intentionally contains repeated context and multiple clauses so that a Markdown converter and recursive splitter have meaningful boundaries to process. Ref=94.</x:v>
      </x:c>
      <x:c r="C107" s="8" t="str">
        <x:v>metadata</x:v>
      </x:c>
      <x:c r="D107" s="8" t="str">
        <x:v>resolved</x:v>
      </x:c>
      <x:c r="E107" s="8" t="str">
        <x:v>No owner</x:v>
      </x:c>
      <x:c r="F107" s="8" t="str">
        <x:v>2026-04-15</x:v>
      </x:c>
      <x:c r="G107" s="8"/>
      <x:c r="H107" s="8"/>
      <x:c r="I107" s="8"/>
      <x:c r="J107" s="8"/>
    </x:row>
    <x:row r="108">
      <x:c r="A108" s="8" t="str">
        <x:v>Follow-up</x:v>
      </x:c>
      <x:c r="B108" s="8" t="str">
        <x:v>Potential duplicate: this paragraph is repeated in another section to test deduplication and chunk metadata. The bridge callback is stable for small payloads, but large JSON messages show visible delay during navigation. Verify behavior on a cold start and after the page reloads without destroying the native view. This paragraph intentionally contains repeated context and multiple clauses so that a Markdown converter and recursive splitter have meaningful boundaries to process. Ref=95.</x:v>
      </x:c>
      <x:c r="C108" s="8" t="str">
        <x:v>metadata</x:v>
      </x:c>
      <x:c r="D108" s="8" t="str">
        <x:v>investigating</x:v>
      </x:c>
      <x:c r="E108" s="8" t="str">
        <x:v>Carla</x:v>
      </x:c>
      <x:c r="F108" s="8" t="str">
        <x:v>2026-05-15</x:v>
      </x:c>
      <x:c r="G108" s="8"/>
      <x:c r="H108" s="8"/>
      <x:c r="I108" s="8"/>
      <x:c r="J108" s="8" t="str">
        <x:v>https://developer.microsoft.com/en-us/microsoft-edge/webview2/</x:v>
      </x:c>
    </x:row>
    <x:row r="109">
      <x:c r="A109" s="8" t="str">
        <x:v>Outlier</x:v>
      </x:c>
      <x:c r="B109" s="8" t="str">
        <x:v>Observed in a local test run: the content rendered, but the console warning appeared twice. Follow-up: compare the result when the network security policy is relaxed versus when it is enforced. Verify behavior on a cold start and after the page reloads without destroying the native view. This paragraph intentionally contains repeated context and multiple clauses so that a Markdown converter and recursive splitter have meaningful boundaries to process. Ref=96.</x:v>
      </x:c>
      <x:c r="C109" s="8" t="str">
        <x:v>metadata</x:v>
      </x:c>
      <x:c r="D109" s="8" t="str">
        <x:v>investigating</x:v>
      </x:c>
      <x:c r="E109" s="8" t="str">
        <x:v>Carla</x:v>
      </x:c>
      <x:c r="F109" s="8" t="str">
        <x:v>2026-06-15</x:v>
      </x:c>
      <x:c r="G109" s="8"/>
      <x:c r="H109" s="8"/>
      <x:c r="I109" s="8"/>
      <x:c r="J109" s="8"/>
    </x:row>
    <x:row r="110">
      <x:c r="A110" s="8" t="str">
        <x:v>Follow-up</x:v>
      </x:c>
      <x:c r="B110" s="8" t="str">
        <x:v>Potential duplicate: this paragraph is repeated in another section to test deduplication and chunk metadata. Verify behavior on a cold start and after the page reloads without destroying the native view. Follow-up: compare the result when the network security policy is relaxed versus when it is enforced. This paragraph intentionally contains repeated context and multiple clauses so that a Markdown converter and recursive splitter have meaningful boundaries to process. Ref=97.</x:v>
      </x:c>
      <x:c r="C110" s="8" t="str">
        <x:v>chunking</x:v>
      </x:c>
      <x:c r="D110" s="8" t="str">
        <x:v>resolved</x:v>
      </x:c>
      <x:c r="E110" s="8" t="str">
        <x:v>Mei</x:v>
      </x:c>
      <x:c r="F110" s="8" t="str">
        <x:v>2026-07-15</x:v>
      </x:c>
      <x:c r="G110" s="8"/>
      <x:c r="H110" s="8"/>
      <x:c r="I110" s="8"/>
      <x:c r="J110" s="8"/>
    </x:row>
    <x:row r="111">
      <x:c r="A111" s="8" t="str">
        <x:v>Background</x:v>
      </x:c>
      <x:c r="B111" s="8" t="str">
        <x:v>Observed in a local test run: the content rendered, but the console warning appeared twice. The owner field was not captured in the original notes, so classification should remain conservative. This sentence is long enough to exercise wrapping and downstream chunk boundaries in Markdown output. This paragraph intentionally contains repeated context and multiple clauses so that a Markdown converter and recursive splitter have meaningful boundaries to process. Ref=98.</x:v>
      </x:c>
      <x:c r="C111" s="8" t="str">
        <x:v>chunking</x:v>
      </x:c>
      <x:c r="D111" s="8" t="str">
        <x:v>resolved</x:v>
      </x:c>
      <x:c r="E111" s="8" t="str">
        <x:v>Carla</x:v>
      </x:c>
      <x:c r="F111" s="8" t="str">
        <x:v>2026-08-15</x:v>
      </x:c>
      <x:c r="G111" s="8"/>
      <x:c r="H111" s="8"/>
      <x:c r="I111" s="8"/>
      <x:c r="J111" s="8"/>
    </x:row>
    <x:row r="112">
      <x:c r="A112" s="8" t="str">
        <x:v>Background</x:v>
      </x:c>
      <x:c r="B112" s="8" t="str">
        <x:v>Potential duplicate: this paragraph is repeated in another section to test deduplication and chunk metadata. The owner field was not captured in the original notes, so classification should remain conservative. The owner field was not captured in the original notes, so classification should remain conservative. This paragraph intentionally contains repeated context and multiple clauses so that a Markdown converter and recursive splitter have meaningful boundaries to process. Ref=99.</x:v>
      </x:c>
      <x:c r="C112" s="8" t="str">
        <x:v>chunking</x:v>
      </x:c>
      <x:c r="D112" s="8" t="str">
        <x:v>investigating</x:v>
      </x:c>
      <x:c r="E112" s="8" t="str">
        <x:v>Carla</x:v>
      </x:c>
      <x:c r="F112" s="8" t="str">
        <x:v>2026-09-15</x:v>
      </x:c>
      <x:c r="G112" s="8"/>
      <x:c r="H112" s="8"/>
      <x:c r="I112" s="8"/>
      <x:c r="J112" s="8" t="str">
        <x:v>https://developer.apple.com/documentation/webkit/wkwebview</x:v>
      </x:c>
    </x:row>
    <x:row r="113">
      <x:c r="A113" s="8"/>
      <x:c r="B113" s="8"/>
      <x:c r="C113" s="8"/>
      <x:c r="D113" s="8"/>
      <x:c r="E113" s="8"/>
      <x:c r="F113" s="8"/>
      <x:c r="G113" s="8"/>
      <x:c r="H113" s="8"/>
      <x:c r="I113" s="8"/>
      <x:c r="J113" s="8"/>
    </x:row>
    <x:row r="114">
      <x:c r="A114" s="8" t="str">
        <x:v>Outlier</x:v>
      </x:c>
      <x:c r="B114" s="8" t="str">
        <x:v>This sentence is long enough to exercise wrapping and downstream chunk boundaries in Markdown output. Potential duplicate: this paragraph is repeated in another section to test deduplication and chunk metadata. This sentence is long enough to exercise wrapping and downstream chunk boundaries in Markdown output. This paragraph intentionally contains repeated context and multiple clauses so that a Markdown converter and recursive splitter have meaningful boundaries to process. Ref=100.</x:v>
      </x:c>
      <x:c r="C114" s="8" t="str">
        <x:v>chunking</x:v>
      </x:c>
      <x:c r="D114" s="8" t="str">
        <x:v>needs reproduction</x:v>
      </x:c>
      <x:c r="E114" s="8" t="str">
        <x:v>Diego</x:v>
      </x:c>
      <x:c r="F114" s="8" t="str">
        <x:v>2026-01-15</x:v>
      </x:c>
      <x:c r="G114" s="8"/>
      <x:c r="H114" s="8"/>
      <x:c r="I114" s="8"/>
      <x:c r="J114" s="8" t="str">
        <x:v>https://developer.apple.com/documentation/webkit/wkwebview</x:v>
      </x:c>
    </x:row>
    <x:row r="115">
      <x:c r="A115" s="8" t="str">
        <x:v>Implementation</x:v>
      </x:c>
      <x:c r="B115" s="8" t="str">
        <x:v>Verify behavior on a cold start and after the page reloads without destroying the native view. The owner field was not captured in the original notes, so classification should remain conservative. A blank cell here is intentional. The source workbook has notes placed away from the nearest table. This paragraph intentionally contains repeated context and multiple clauses so that a Markdown converter and recursive splitter have meaningful boundaries to process. Ref=101.</x:v>
      </x:c>
      <x:c r="C115" s="8" t="str">
        <x:v>markitdown</x:v>
      </x:c>
      <x:c r="D115" s="8" t="str">
        <x:v>resolved</x:v>
      </x:c>
      <x:c r="E115" s="8" t="str">
        <x:v>No owner</x:v>
      </x:c>
      <x:c r="F115" s="8" t="str">
        <x:v>2026-02-15</x:v>
      </x:c>
      <x:c r="G115" s="8"/>
      <x:c r="H115" s="8"/>
      <x:c r="I115" s="8"/>
      <x:c r="J115" s="8" t="str">
        <x:v>https://developer.apple.com/documentation/webkit/wkwebview</x:v>
      </x:c>
    </x:row>
    <x:row r="116">
      <x:c r="A116" s="8" t="str">
        <x:v>Decision</x:v>
      </x:c>
      <x:c r="B116" s="8" t="str">
        <x:v>A blank cell here is intentional. The source workbook has notes placed away from the nearest table. Observed in a local test run: the content rendered, but the console warning appeared twice. Observed in a local test run: the content rendered, but the console warning appeared twice. This paragraph intentionally contains repeated context and multiple clauses so that a Markdown converter and recursive splitter have meaningful boundaries to process. Ref=102.</x:v>
      </x:c>
      <x:c r="C116" s="8" t="str">
        <x:v>excel</x:v>
      </x:c>
      <x:c r="D116" s="8" t="str">
        <x:v>resolved</x:v>
      </x:c>
      <x:c r="E116" s="8" t="str">
        <x:v>Ben</x:v>
      </x:c>
      <x:c r="F116" s="8" t="str">
        <x:v>2026-03-15</x:v>
      </x:c>
      <x:c r="G116" s="8"/>
      <x:c r="H116" s="8"/>
      <x:c r="I116" s="8"/>
      <x:c r="J116" s="8"/>
    </x:row>
    <x:row r="117">
      <x:c r="A117" s="8" t="str">
        <x:v>Background</x:v>
      </x:c>
      <x:c r="B117" s="8" t="str">
        <x:v>A blank cell here is intentional. The source workbook has notes placed away from the nearest table. Observed in a local test run: the content rendered, but the console warning appeared twice. Verify behavior on a cold start and after the page reloads without destroying the native view. This paragraph intentionally contains repeated context and multiple clauses so that a Markdown converter and recursive splitter have meaningful boundaries to process. Ref=103.</x:v>
      </x:c>
      <x:c r="C117" s="8" t="str">
        <x:v>chunking</x:v>
      </x:c>
      <x:c r="D117" s="8" t="str">
        <x:v>investigating</x:v>
      </x:c>
      <x:c r="E117" s="8" t="str">
        <x:v>Mei</x:v>
      </x:c>
      <x:c r="F117" s="8" t="str">
        <x:v>2026-04-15</x:v>
      </x:c>
      <x:c r="G117" s="8"/>
      <x:c r="H117" s="8"/>
      <x:c r="I117" s="8"/>
      <x:c r="J117" s="8"/>
    </x:row>
    <x:row r="118">
      <x:c r="A118" s="8" t="str">
        <x:v>Follow-up</x:v>
      </x:c>
      <x:c r="B118" s="8" t="str">
        <x:v>A blank cell here is intentional. The source workbook has notes placed away from the nearest table. Observed in a local test run: the content rendered, but the console warning appeared twice. Follow-up: compare the result when the network security policy is relaxed versus when it is enforced. This paragraph intentionally contains repeated context and multiple clauses so that a Markdown converter and recursive splitter have meaningful boundaries to process. Ref=104.</x:v>
      </x:c>
      <x:c r="C118" s="8" t="str">
        <x:v>chunking</x:v>
      </x:c>
      <x:c r="D118" s="8" t="str">
        <x:v>blocked</x:v>
      </x:c>
      <x:c r="E118" s="8" t="str">
        <x:v>Mei</x:v>
      </x:c>
      <x:c r="F118" s="8" t="str">
        <x:v>2026-05-15</x:v>
      </x:c>
      <x:c r="G118" s="8"/>
      <x:c r="H118" s="8"/>
      <x:c r="I118" s="8"/>
      <x:c r="J118" s="8"/>
    </x:row>
    <x:row r="119">
      <x:c r="A119" s="8" t="str">
        <x:v>Background</x:v>
      </x:c>
      <x:c r="B119" s="8" t="str">
        <x:v>The owner field was not captured in the original notes, so classification should remain conservative. Verify behavior on a cold start and after the page reloads without destroying the native view. Follow-up: compare the result when the network security policy is relaxed versus when it is enforced. This paragraph intentionally contains repeated context and multiple clauses so that a Markdown converter and recursive splitter have meaningful boundaries to process. Ref=105.</x:v>
      </x:c>
      <x:c r="C119" s="8" t="str">
        <x:v>markitdown</x:v>
      </x:c>
      <x:c r="D119" s="8" t="str">
        <x:v>blocked</x:v>
      </x:c>
      <x:c r="E119" s="8" t="str">
        <x:v>Diego</x:v>
      </x:c>
      <x:c r="F119" s="8" t="str">
        <x:v>2026-06-15</x:v>
      </x:c>
      <x:c r="G119" s="8"/>
      <x:c r="H119" s="8"/>
      <x:c r="I119" s="8"/>
      <x:c r="J119" s="8"/>
    </x:row>
    <x:row r="120">
      <x:c r="A120" s="8" t="str">
        <x:v>Follow-up</x:v>
      </x:c>
      <x:c r="B120" s="8" t="str">
        <x:v>The owner field was not captured in the original notes, so classification should remain conservative. A blank cell here is intentional. The source workbook has notes placed away from the nearest table. Observed in a local test run: the content rendered, but the console warning appeared twice. This paragraph intentionally contains repeated context and multiple clauses so that a Markdown converter and recursive splitter have meaningful boundaries to process. Ref=106.</x:v>
      </x:c>
      <x:c r="C120" s="8" t="str">
        <x:v>webview</x:v>
      </x:c>
      <x:c r="D120" s="8" t="str">
        <x:v>open</x:v>
      </x:c>
      <x:c r="E120" s="8" t="str">
        <x:v>No owner</x:v>
      </x:c>
      <x:c r="F120" s="8" t="str">
        <x:v>2026-07-15</x:v>
      </x:c>
      <x:c r="G120" s="8"/>
      <x:c r="H120" s="8"/>
      <x:c r="I120" s="8"/>
      <x:c r="J120" s="8" t="str">
        <x:v>https://developer.apple.com/documentation/webkit/wkwebview</x:v>
      </x:c>
    </x:row>
    <x:row r="121">
      <x:c r="A121" s="8" t="str">
        <x:v>Decision</x:v>
      </x:c>
      <x:c r="B121" s="8" t="str">
        <x:v>Potential duplicate: this paragraph is repeated in another section to test deduplication and chunk metadata. The bridge callback is stable for small payloads, but large JSON messages show visible delay during navigation. Observed in a local test run: the content rendered, but the console warning appeared twice. This paragraph intentionally contains repeated context and multiple clauses so that a Markdown converter and recursive splitter have meaningful boundaries to process. Ref=107.</x:v>
      </x:c>
      <x:c r="C121" s="8" t="str">
        <x:v>markitdown</x:v>
      </x:c>
      <x:c r="D121" s="8" t="str">
        <x:v>resolved</x:v>
      </x:c>
      <x:c r="E121" s="8" t="str">
        <x:v>Mei</x:v>
      </x:c>
      <x:c r="F121" s="8" t="str">
        <x:v>2026-08-15</x:v>
      </x:c>
      <x:c r="G121" s="8"/>
      <x:c r="H121" s="8"/>
      <x:c r="I121" s="8"/>
      <x:c r="J121" s="8"/>
    </x:row>
    <x:row r="122">
      <x:c r="A122" s="8" t="str">
        <x:v>Outlier</x:v>
      </x:c>
      <x:c r="B122" s="8" t="str">
        <x:v>The owner field was not captured in the original notes, so classification should remain conservative. The bridge callback is stable for small payloads, but large JSON messages show visible delay during navigation.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Ref=108.</x:v>
      </x:c>
      <x:c r="C122" s="8" t="str">
        <x:v>chunking</x:v>
      </x:c>
      <x:c r="D122" s="8" t="str">
        <x:v>investigating</x:v>
      </x:c>
      <x:c r="E122" s="8" t="str">
        <x:v>Carla</x:v>
      </x:c>
      <x:c r="F122" s="8" t="str">
        <x:v>2026-09-15</x:v>
      </x:c>
      <x:c r="G122" s="8"/>
      <x:c r="H122" s="8"/>
      <x:c r="I122" s="8"/>
      <x:c r="J122" s="8" t="str">
        <x:v>https://developer.android.com/reference/android/webkit/WebView</x:v>
      </x:c>
    </x:row>
    <x:row r="123">
      <x:c r="A123" s="8"/>
      <x:c r="B123" s="8"/>
      <x:c r="C123" s="8"/>
      <x:c r="D123" s="8"/>
      <x:c r="E123" s="8"/>
      <x:c r="F123" s="8"/>
      <x:c r="G123" s="8"/>
      <x:c r="H123" s="8"/>
      <x:c r="I123" s="8"/>
      <x:c r="J123" s="8"/>
    </x:row>
    <x:row r="124">
      <x:c r="A124" s="8" t="str">
        <x:v>Open question</x:v>
      </x:c>
      <x:c r="B124" s="8" t="str">
        <x:v>Observed in a local test run: the content rendered, but the console warning appeared twice. A blank cell here is intentional. The source workbook has notes placed away from the nearest table. Observed in a local test run: the content rendered, but the console warning appeared twice. This paragraph intentionally contains repeated context and multiple clauses so that a Markdown converter and recursive splitter have meaningful boundaries to process. Ref=109.</x:v>
      </x:c>
      <x:c r="C124" s="8" t="str">
        <x:v>webview</x:v>
      </x:c>
      <x:c r="D124" s="8" t="str">
        <x:v>needs reproduction</x:v>
      </x:c>
      <x:c r="E124" s="8" t="str">
        <x:v>Carla</x:v>
      </x:c>
      <x:c r="F124" s="8" t="str">
        <x:v>2026-01-15</x:v>
      </x:c>
      <x:c r="G124" s="8"/>
      <x:c r="H124" s="8"/>
      <x:c r="I124" s="8"/>
      <x:c r="J124" s="8" t="str">
        <x:v>https://github.com/react-native-webview/react-native-webview</x:v>
      </x:c>
    </x:row>
    <x:row r="125">
      <x:c r="A125" s="8" t="str">
        <x:v>Follow-up</x:v>
      </x:c>
      <x:c r="B125" s="8" t="str">
        <x:v>Observed in a local test run: the content rendered, but the console warning appeared twice. A blank cell here is intentional. The source workbook has notes placed away from the nearest table. A blank cell here is intentional. The source workbook has notes placed away from the nearest table. This paragraph intentionally contains repeated context and multiple clauses so that a Markdown converter and recursive splitter have meaningful boundaries to process. Ref=110.</x:v>
      </x:c>
      <x:c r="C125" s="8" t="str">
        <x:v>webview</x:v>
      </x:c>
      <x:c r="D125" s="8" t="str">
        <x:v>investigating</x:v>
      </x:c>
      <x:c r="E125" s="8" t="str">
        <x:v>Diego</x:v>
      </x:c>
      <x:c r="F125" s="8" t="str">
        <x:v>2026-02-15</x:v>
      </x:c>
      <x:c r="G125" s="8"/>
      <x:c r="H125" s="8"/>
      <x:c r="I125" s="8"/>
      <x:c r="J125" s="8"/>
    </x:row>
    <x:row r="126">
      <x:c r="A126" s="1" t="str">
        <x:v>Background</x:v>
      </x:c>
      <x:c r="B126" s="1" t="str">
        <x:v>Observed in a local test run: the content rendered, but the console warning appeared twice. Potential duplicate: this paragraph is repeated in another section to test deduplication and chunk metadata. Potential duplicate: this paragraph is repeated in another section to test deduplication and chunk metadata. This paragraph intentionally contains repeated context and multiple clauses so that a Markdown converter and recursive splitter have meaningful boundaries to process. Ref=111.</x:v>
      </x:c>
      <x:c r="C126" s="1" t="str">
        <x:v>metadata</x:v>
      </x:c>
      <x:c r="D126" s="1" t="str">
        <x:v>resolved</x:v>
      </x:c>
      <x:c r="E126" s="1" t="str">
        <x:v>Mei</x:v>
      </x:c>
      <x:c r="F126" s="1" t="str">
        <x:v>2026-03-15</x:v>
      </x:c>
      <x:c r="G126" s="1"/>
      <x:c r="H126" s="1"/>
      <x:c r="I126" s="1"/>
      <x:c r="J126" s="1"/>
    </x:row>
    <x:row r="127">
      <x:c r="A127" s="1" t="str">
        <x:v>Decision</x:v>
      </x:c>
      <x:c r="B127" s="1" t="str">
        <x:v>Verify behavior on a cold start and after the page reloads without destroying the native view. This sentence is long enough to exercise wrapping and downstream chunk boundaries in Markdown output. The bridge callback is stable for small payloads, but large JSON messages show visible delay during navigation. This paragraph intentionally contains repeated context and multiple clauses so that a Markdown converter and recursive splitter have meaningful boundaries to process. Ref=112.</x:v>
      </x:c>
      <x:c r="C127" s="1" t="str">
        <x:v>chunking</x:v>
      </x:c>
      <x:c r="D127" s="1" t="str">
        <x:v>resolved</x:v>
      </x:c>
      <x:c r="E127" s="1" t="str">
        <x:v>Carla</x:v>
      </x:c>
      <x:c r="F127" s="1" t="str">
        <x:v>2026-04-15</x:v>
      </x:c>
      <x:c r="G127" s="1"/>
      <x:c r="H127" s="1"/>
      <x:c r="I127" s="1"/>
      <x:c r="J127" s="1"/>
    </x:row>
    <x:row r="128">
      <x:c r="A128" s="1" t="str">
        <x:v>Decision</x:v>
      </x:c>
      <x:c r="B128" s="1" t="str">
        <x:v>Follow-up: compare the result when the network security policy is relaxed versus when it is enforced. This sentence is long enough to exercise wrapping and downstream chunk boundaries in Markdown output. Potential duplicate: this paragraph is repeated in another section to test deduplication and chunk metadata. This paragraph intentionally contains repeated context and multiple clauses so that a Markdown converter and recursive splitter have meaningful boundaries to process. Ref=113.</x:v>
      </x:c>
      <x:c r="C128" s="1" t="str">
        <x:v>markitdown</x:v>
      </x:c>
      <x:c r="D128" s="1" t="str">
        <x:v>resolved</x:v>
      </x:c>
      <x:c r="E128" s="1" t="str">
        <x:v>No owner</x:v>
      </x:c>
      <x:c r="F128" s="1" t="str">
        <x:v>2026-05-15</x:v>
      </x:c>
      <x:c r="G128" s="1"/>
      <x:c r="H128" s="1"/>
      <x:c r="I128" s="1"/>
      <x:c r="J128" s="1"/>
    </x:row>
    <x:row r="129">
      <x:c r="A129" s="1" t="str">
        <x:v>Background</x:v>
      </x:c>
      <x:c r="B129" s="1" t="str">
        <x:v>Observed in a local test run: the content rendered, but the console warning appeared twice. A blank cell here is intentional. The source workbook has notes placed away from the nearest table. Potential duplicate: this paragraph is repeated in another section to test deduplication and chunk metadata. This paragraph intentionally contains repeated context and multiple clauses so that a Markdown converter and recursive splitter have meaningful boundaries to process. Ref=114.</x:v>
      </x:c>
      <x:c r="C129" s="1" t="str">
        <x:v>metadata</x:v>
      </x:c>
      <x:c r="D129" s="1" t="str">
        <x:v>needs reproduction</x:v>
      </x:c>
      <x:c r="E129" s="1" t="str">
        <x:v>Mei</x:v>
      </x:c>
      <x:c r="F129" s="1" t="str">
        <x:v>2026-06-15</x:v>
      </x:c>
      <x:c r="G129" s="1"/>
      <x:c r="H129" s="1"/>
      <x:c r="I129" s="1"/>
      <x:c r="J129" s="1"/>
    </x:row>
    <x:row r="130">
      <x:c r="A130" s="1" t="str">
        <x:v>Follow-up</x:v>
      </x:c>
      <x:c r="B130" s="1" t="str">
        <x:v>Follow-up: compare the result when the network security policy is relaxed versus when it is enforced. The owner field was not captured in the original notes, so classification should remain conservative. The owner field was not captured in the original notes, so classification should remain conservative. This paragraph intentionally contains repeated context and multiple clauses so that a Markdown converter and recursive splitter have meaningful boundaries to process. Ref=115.</x:v>
      </x:c>
      <x:c r="C130" s="1" t="str">
        <x:v>markitdown</x:v>
      </x:c>
      <x:c r="D130" s="1" t="str">
        <x:v>resolved</x:v>
      </x:c>
      <x:c r="E130" s="1" t="str">
        <x:v>Ben</x:v>
      </x:c>
      <x:c r="F130" s="1" t="str">
        <x:v>2026-07-15</x:v>
      </x:c>
      <x:c r="G130" s="1"/>
      <x:c r="H130" s="1"/>
      <x:c r="I130" s="1"/>
      <x:c r="J130" s="1"/>
    </x:row>
  </x:sheetData>
  <x:mergeCells>
    <x:mergeCell ref="B1:J1"/>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6" max="6" width="48" hidden="0" customWidth="1"/>
    <x:col min="9" max="9" width="34" hidden="0" customWidth="1"/>
    <x:col min="15" max="15" width="42" hidden="0" customWidth="1"/>
    <x:col min="18" max="18" width="14" hidden="0" customWidth="1"/>
  </x:cols>
  <x:sheetData>
    <x:row r="1">
      <x:c r="A1" s="8" t="str">
        <x:v>anchor-0</x:v>
      </x:c>
      <x:c r="B1" s="8"/>
      <x:c r="C1" s="8"/>
      <x:c r="D1" s="8"/>
      <x:c r="E1" s="8"/>
      <x:c r="F1" s="8" t="str">
        <x:v>The owner field was not captured in the original notes, so classification should remain conservative.</x:v>
      </x:c>
      <x:c r="G1" s="8"/>
      <x:c r="H1" s="8"/>
      <x:c r="I1" s="8" t="str">
        <x:v>Sparse sheet with far-apart cells</x:v>
      </x:c>
      <x:c r="J1" s="8"/>
      <x:c r="K1" s="8"/>
      <x:c r="L1" s="8"/>
      <x:c r="M1" s="8"/>
      <x:c r="N1" s="8"/>
      <x:c r="O1" s="8" t="str">
        <x:v>https://developer.microsoft.com/en-us/microsoft-edge/webview2/</x:v>
      </x:c>
      <x:c r="P1" s="8"/>
      <x:c r="Q1" s="8"/>
      <x:c r="R1" s="8" t="n">
        <x:v>0</x:v>
      </x:c>
    </x:row>
    <x:row r="2">
      <x:c r="A2" s="8"/>
      <x:c r="B2" s="8"/>
      <x:c r="C2" s="8"/>
      <x:c r="D2" s="8"/>
      <x:c r="E2" s="8"/>
      <x:c r="F2" s="8"/>
      <x:c r="G2" s="8"/>
      <x:c r="H2" s="8"/>
      <x:c r="I2" s="8"/>
      <x:c r="J2" s="8"/>
      <x:c r="K2" s="8"/>
      <x:c r="L2" s="8"/>
      <x:c r="M2" s="8"/>
      <x:c r="N2" s="8"/>
      <x:c r="O2" s="8"/>
      <x:c r="P2" s="8"/>
      <x:c r="Q2" s="8"/>
      <x:c r="R2" s="8"/>
    </x:row>
    <x:row r="3">
      <x:c r="A3" s="8"/>
      <x:c r="B3" s="8"/>
      <x:c r="C3" s="8"/>
      <x:c r="D3" s="8"/>
      <x:c r="E3" s="8"/>
      <x:c r="F3" s="8"/>
      <x:c r="G3" s="8"/>
      <x:c r="H3" s="8"/>
      <x:c r="I3" s="8"/>
      <x:c r="J3" s="8"/>
      <x:c r="K3" s="8"/>
      <x:c r="L3" s="8"/>
      <x:c r="M3" s="8"/>
      <x:c r="N3" s="8"/>
      <x:c r="O3" s="8"/>
      <x:c r="P3" s="8"/>
      <x:c r="Q3" s="8"/>
      <x:c r="R3" s="8"/>
    </x:row>
    <x:row r="4">
      <x:c r="A4" s="8"/>
      <x:c r="B4" s="8"/>
      <x:c r="C4" s="8"/>
      <x:c r="D4" s="8"/>
      <x:c r="E4" s="8"/>
      <x:c r="F4" s="8"/>
      <x:c r="G4" s="8"/>
      <x:c r="H4" s="8"/>
      <x:c r="I4" s="8"/>
      <x:c r="J4" s="8"/>
      <x:c r="K4" s="8"/>
      <x:c r="L4" s="8"/>
      <x:c r="M4" s="8"/>
      <x:c r="N4" s="8"/>
      <x:c r="O4" s="8"/>
      <x:c r="P4" s="8"/>
      <x:c r="Q4" s="8"/>
      <x:c r="R4" s="8"/>
    </x:row>
    <x:row r="5">
      <x:c r="A5" s="8"/>
      <x:c r="B5" s="8"/>
      <x:c r="C5" s="8"/>
      <x:c r="D5" s="8"/>
      <x:c r="E5" s="8"/>
      <x:c r="F5" s="8"/>
      <x:c r="G5" s="8"/>
      <x:c r="H5" s="8"/>
      <x:c r="I5" s="8"/>
      <x:c r="J5" s="8"/>
      <x:c r="K5" s="8"/>
      <x:c r="L5" s="8"/>
      <x:c r="M5" s="8"/>
      <x:c r="N5" s="8"/>
      <x:c r="O5" s="8"/>
      <x:c r="P5" s="8"/>
      <x:c r="Q5" s="8"/>
      <x:c r="R5" s="8"/>
    </x:row>
    <x:row r="6">
      <x:c r="A6" s="8"/>
      <x:c r="B6" s="8"/>
      <x:c r="C6" s="8"/>
      <x:c r="D6" s="8"/>
      <x:c r="E6" s="8"/>
      <x:c r="F6" s="8"/>
      <x:c r="G6" s="8"/>
      <x:c r="H6" s="8"/>
      <x:c r="I6" s="8"/>
      <x:c r="J6" s="8"/>
      <x:c r="K6" s="8"/>
      <x:c r="L6" s="8"/>
      <x:c r="M6" s="8"/>
      <x:c r="N6" s="8"/>
      <x:c r="O6" s="8"/>
      <x:c r="P6" s="8"/>
      <x:c r="Q6" s="8"/>
      <x:c r="R6" s="8"/>
    </x:row>
    <x:row r="7">
      <x:c r="A7" s="8"/>
      <x:c r="B7" s="8"/>
      <x:c r="C7" s="8"/>
      <x:c r="D7" s="8"/>
      <x:c r="E7" s="8"/>
      <x:c r="F7" s="8"/>
      <x:c r="G7" s="8"/>
      <x:c r="H7" s="8"/>
      <x:c r="I7" s="8"/>
      <x:c r="J7" s="8"/>
      <x:c r="K7" s="8"/>
      <x:c r="L7" s="8"/>
      <x:c r="M7" s="8"/>
      <x:c r="N7" s="8"/>
      <x:c r="O7" s="8"/>
      <x:c r="P7" s="8"/>
      <x:c r="Q7" s="8"/>
      <x:c r="R7" s="8"/>
    </x:row>
    <x:row r="8">
      <x:c r="A8" s="8" t="str">
        <x:v>anchor-7</x:v>
      </x:c>
      <x:c r="B8" s="8"/>
      <x:c r="C8" s="8"/>
      <x:c r="D8" s="8"/>
      <x:c r="E8" s="8"/>
      <x:c r="F8" s="8"/>
      <x:c r="G8" s="8"/>
      <x:c r="H8" s="8"/>
      <x:c r="I8" s="8"/>
      <x:c r="J8" s="8"/>
      <x:c r="K8" s="8"/>
      <x:c r="L8" s="8"/>
      <x:c r="M8" s="8"/>
      <x:c r="N8" s="8"/>
      <x:c r="O8" s="8"/>
      <x:c r="P8" s="8"/>
      <x:c r="Q8" s="8"/>
      <x:c r="R8" s="8"/>
    </x:row>
    <x:row r="9">
      <x:c r="A9" s="8"/>
      <x:c r="B9" s="8"/>
      <x:c r="C9" s="8"/>
      <x:c r="D9" s="8"/>
      <x:c r="E9" s="8"/>
      <x:c r="F9" s="8"/>
      <x:c r="G9" s="8"/>
      <x:c r="H9" s="8"/>
      <x:c r="I9" s="8"/>
      <x:c r="J9" s="8"/>
      <x:c r="K9" s="8"/>
      <x:c r="L9" s="8"/>
      <x:c r="M9" s="8"/>
      <x:c r="N9" s="8"/>
      <x:c r="O9" s="8"/>
      <x:c r="P9" s="8"/>
      <x:c r="Q9" s="8"/>
      <x:c r="R9" s="8"/>
    </x:row>
    <x:row r="10">
      <x:c r="A10" s="8"/>
      <x:c r="B10" s="8"/>
      <x:c r="C10" s="8"/>
      <x:c r="D10" s="8"/>
      <x:c r="E10" s="8"/>
      <x:c r="F10" s="8"/>
      <x:c r="G10" s="8"/>
      <x:c r="H10" s="8"/>
      <x:c r="I10" s="8"/>
      <x:c r="J10" s="8"/>
      <x:c r="K10" s="8"/>
      <x:c r="L10" s="8"/>
      <x:c r="M10" s="8"/>
      <x:c r="N10" s="8"/>
      <x:c r="O10" s="8"/>
      <x:c r="P10" s="8"/>
      <x:c r="Q10" s="8"/>
      <x:c r="R10" s="8"/>
    </x:row>
    <x:row r="11">
      <x:c r="A11" s="8"/>
      <x:c r="B11" s="8"/>
      <x:c r="C11" s="8"/>
      <x:c r="D11" s="8"/>
      <x:c r="E11" s="8"/>
      <x:c r="F11" s="8"/>
      <x:c r="G11" s="8"/>
      <x:c r="H11" s="8"/>
      <x:c r="I11" s="8"/>
      <x:c r="J11" s="8"/>
      <x:c r="K11" s="8"/>
      <x:c r="L11" s="8"/>
      <x:c r="M11" s="8"/>
      <x:c r="N11" s="8"/>
      <x:c r="O11" s="8"/>
      <x:c r="P11" s="8"/>
      <x:c r="Q11" s="8"/>
      <x:c r="R11" s="8"/>
    </x:row>
    <x:row r="12">
      <x:c r="A12" s="8"/>
      <x:c r="B12" s="8"/>
      <x:c r="C12" s="8"/>
      <x:c r="D12" s="8"/>
      <x:c r="E12" s="8"/>
      <x:c r="F12" s="8" t="str">
        <x:v>This sentence is long enough to exercise wrapping and downstream chunk boundaries in Markdown output.</x:v>
      </x:c>
      <x:c r="G12" s="8"/>
      <x:c r="H12" s="8"/>
      <x:c r="I12" s="8"/>
      <x:c r="J12" s="8"/>
      <x:c r="K12" s="8"/>
      <x:c r="L12" s="8"/>
      <x:c r="M12" s="8"/>
      <x:c r="N12" s="8"/>
      <x:c r="O12" s="8"/>
      <x:c r="P12" s="8"/>
      <x:c r="Q12" s="8"/>
      <x:c r="R12" s="8"/>
    </x:row>
    <x:row r="13">
      <x:c r="A13" s="8"/>
      <x:c r="B13" s="8"/>
      <x:c r="C13" s="8"/>
      <x:c r="D13" s="8"/>
      <x:c r="E13" s="8"/>
      <x:c r="F13" s="8"/>
      <x:c r="G13" s="8"/>
      <x:c r="H13" s="8"/>
      <x:c r="I13" s="8"/>
      <x:c r="J13" s="8"/>
      <x:c r="K13" s="8"/>
      <x:c r="L13" s="8"/>
      <x:c r="M13" s="8"/>
      <x:c r="N13" s="8"/>
      <x:c r="O13" s="8"/>
      <x:c r="P13" s="8"/>
      <x:c r="Q13" s="8"/>
      <x:c r="R13" s="8"/>
    </x:row>
    <x:row r="14">
      <x:c r="A14" s="8"/>
      <x:c r="B14" s="8"/>
      <x:c r="C14" s="8"/>
      <x:c r="D14" s="8"/>
      <x:c r="E14" s="8"/>
      <x:c r="F14" s="8"/>
      <x:c r="G14" s="8"/>
      <x:c r="H14" s="8"/>
      <x:c r="I14" s="8"/>
      <x:c r="J14" s="8"/>
      <x:c r="K14" s="8"/>
      <x:c r="L14" s="8"/>
      <x:c r="M14" s="8"/>
      <x:c r="N14" s="8"/>
      <x:c r="O14" s="8"/>
      <x:c r="P14" s="8"/>
      <x:c r="Q14" s="8"/>
      <x:c r="R14" s="8"/>
    </x:row>
    <x:row r="15">
      <x:c r="A15" s="8" t="str">
        <x:v>anchor-14</x:v>
      </x:c>
      <x:c r="B15" s="8"/>
      <x:c r="C15" s="8"/>
      <x:c r="D15" s="8"/>
      <x:c r="E15" s="8"/>
      <x:c r="F15" s="8"/>
      <x:c r="G15" s="8"/>
      <x:c r="H15" s="8"/>
      <x:c r="I15" s="8"/>
      <x:c r="J15" s="8"/>
      <x:c r="K15" s="8"/>
      <x:c r="L15" s="8"/>
      <x:c r="M15" s="8"/>
      <x:c r="N15" s="8"/>
      <x:c r="O15" s="8"/>
      <x:c r="P15" s="8"/>
      <x:c r="Q15" s="8"/>
      <x:c r="R15" s="8"/>
    </x:row>
    <x:row r="16">
      <x:c r="A16" s="8"/>
      <x:c r="B16" s="8"/>
      <x:c r="C16" s="8"/>
      <x:c r="D16" s="8"/>
      <x:c r="E16" s="8"/>
      <x:c r="F16" s="8"/>
      <x:c r="G16" s="8"/>
      <x:c r="H16" s="8"/>
      <x:c r="I16" s="8"/>
      <x:c r="J16" s="8"/>
      <x:c r="K16" s="8"/>
      <x:c r="L16" s="8"/>
      <x:c r="M16" s="8"/>
      <x:c r="N16" s="8"/>
      <x:c r="O16" s="8"/>
      <x:c r="P16" s="8"/>
      <x:c r="Q16" s="8"/>
      <x:c r="R16" s="8"/>
    </x:row>
    <x:row r="17">
      <x:c r="A17" s="8"/>
      <x:c r="B17" s="8"/>
      <x:c r="C17" s="8"/>
      <x:c r="D17" s="8"/>
      <x:c r="E17" s="8"/>
      <x:c r="F17" s="8"/>
      <x:c r="G17" s="8"/>
      <x:c r="H17" s="8"/>
      <x:c r="I17" s="8"/>
      <x:c r="J17" s="8"/>
      <x:c r="K17" s="8"/>
      <x:c r="L17" s="8"/>
      <x:c r="M17" s="8"/>
      <x:c r="N17" s="8"/>
      <x:c r="O17" s="8"/>
      <x:c r="P17" s="8"/>
      <x:c r="Q17" s="8"/>
      <x:c r="R17" s="8"/>
    </x:row>
    <x:row r="18">
      <x:c r="A18" s="8"/>
      <x:c r="B18" s="8"/>
      <x:c r="C18" s="8"/>
      <x:c r="D18" s="8"/>
      <x:c r="E18" s="8"/>
      <x:c r="F18" s="8"/>
      <x:c r="G18" s="8"/>
      <x:c r="H18" s="8"/>
      <x:c r="I18" s="8"/>
      <x:c r="J18" s="8"/>
      <x:c r="K18" s="8"/>
      <x:c r="L18" s="8"/>
      <x:c r="M18" s="8"/>
      <x:c r="N18" s="8"/>
      <x:c r="O18" s="8" t="str">
        <x:v>https://developer.android.com/reference/android/webkit/WebView</x:v>
      </x:c>
      <x:c r="P18" s="8"/>
      <x:c r="Q18" s="8"/>
      <x:c r="R18" s="8"/>
    </x:row>
    <x:row r="19">
      <x:c r="A19" s="8"/>
      <x:c r="B19" s="8"/>
      <x:c r="C19" s="8"/>
      <x:c r="D19" s="8"/>
      <x:c r="E19" s="8"/>
      <x:c r="F19" s="8"/>
      <x:c r="G19" s="8"/>
      <x:c r="H19" s="8"/>
      <x:c r="I19" s="8"/>
      <x:c r="J19" s="8"/>
      <x:c r="K19" s="8"/>
      <x:c r="L19" s="8"/>
      <x:c r="M19" s="8"/>
      <x:c r="N19" s="8"/>
      <x:c r="O19" s="8"/>
      <x:c r="P19" s="8"/>
      <x:c r="Q19" s="8"/>
      <x:c r="R19" s="8"/>
    </x:row>
    <x:row r="20">
      <x:c r="A20" s="8"/>
      <x:c r="B20" s="8"/>
      <x:c r="C20" s="8"/>
      <x:c r="D20" s="8"/>
      <x:c r="E20" s="8"/>
      <x:c r="F20" s="8"/>
      <x:c r="G20" s="8"/>
      <x:c r="H20" s="8"/>
      <x:c r="I20" s="8"/>
      <x:c r="J20" s="8"/>
      <x:c r="K20" s="8"/>
      <x:c r="L20" s="8"/>
      <x:c r="M20" s="8"/>
      <x:c r="N20" s="8"/>
      <x:c r="O20" s="8"/>
      <x:c r="P20" s="8"/>
      <x:c r="Q20" s="8"/>
      <x:c r="R20" s="8" t="n">
        <x:v>323</x:v>
      </x:c>
    </x:row>
    <x:row r="21">
      <x:c r="A21" s="8"/>
      <x:c r="B21" s="8"/>
      <x:c r="C21" s="8"/>
      <x:c r="D21" s="8"/>
      <x:c r="E21" s="8"/>
      <x:c r="F21" s="8"/>
      <x:c r="G21" s="8"/>
      <x:c r="H21" s="8"/>
      <x:c r="I21" s="8"/>
      <x:c r="J21" s="8"/>
      <x:c r="K21" s="8"/>
      <x:c r="L21" s="8"/>
      <x:c r="M21" s="8"/>
      <x:c r="N21" s="8"/>
      <x:c r="O21" s="8"/>
      <x:c r="P21" s="8"/>
      <x:c r="Q21" s="8"/>
      <x:c r="R21" s="8"/>
    </x:row>
    <x:row r="22">
      <x:c r="A22" s="8" t="str">
        <x:v>anchor-21</x:v>
      </x:c>
      <x:c r="B22" s="8"/>
      <x:c r="C22" s="8"/>
      <x:c r="D22" s="8"/>
      <x:c r="E22" s="8"/>
      <x:c r="F22" s="8"/>
      <x:c r="G22" s="8"/>
      <x:c r="H22" s="8"/>
      <x:c r="I22" s="8"/>
      <x:c r="J22" s="8"/>
      <x:c r="K22" s="8"/>
      <x:c r="L22" s="8"/>
      <x:c r="M22" s="8"/>
      <x:c r="N22" s="8"/>
      <x:c r="O22" s="8"/>
      <x:c r="P22" s="8"/>
      <x:c r="Q22" s="8"/>
      <x:c r="R22" s="8"/>
    </x:row>
    <x:row r="23">
      <x:c r="A23" s="8"/>
      <x:c r="B23" s="8"/>
      <x:c r="C23" s="8"/>
      <x:c r="D23" s="8"/>
      <x:c r="E23" s="8"/>
      <x:c r="F23" s="8" t="str">
        <x:v>Potential duplicate: this paragraph is repeated in another section to test deduplication and chunk metadata.</x:v>
      </x:c>
      <x:c r="G23" s="8"/>
      <x:c r="H23" s="8"/>
      <x:c r="I23" s="8"/>
      <x:c r="J23" s="8"/>
      <x:c r="K23" s="8"/>
      <x:c r="L23" s="8"/>
      <x:c r="M23" s="8"/>
      <x:c r="N23" s="8"/>
      <x:c r="O23" s="8"/>
      <x:c r="P23" s="8"/>
      <x:c r="Q23" s="8"/>
      <x:c r="R23" s="8"/>
    </x:row>
    <x:row r="24">
      <x:c r="A24" s="8"/>
      <x:c r="B24" s="8"/>
      <x:c r="C24" s="8"/>
      <x:c r="D24" s="8"/>
      <x:c r="E24" s="8"/>
      <x:c r="F24" s="8"/>
      <x:c r="G24" s="8"/>
      <x:c r="H24" s="8"/>
      <x:c r="I24" s="8"/>
      <x:c r="J24" s="8"/>
      <x:c r="K24" s="8"/>
      <x:c r="L24" s="8"/>
      <x:c r="M24" s="8"/>
      <x:c r="N24" s="8"/>
      <x:c r="O24" s="8"/>
      <x:c r="P24" s="8"/>
      <x:c r="Q24" s="8"/>
      <x:c r="R24" s="8"/>
    </x:row>
    <x:row r="25">
      <x:c r="A25" s="8"/>
      <x:c r="B25" s="8"/>
      <x:c r="C25" s="8"/>
      <x:c r="D25" s="8"/>
      <x:c r="E25" s="8"/>
      <x:c r="F25" s="8"/>
      <x:c r="G25" s="8"/>
      <x:c r="H25" s="8"/>
      <x:c r="I25" s="8"/>
      <x:c r="J25" s="8"/>
      <x:c r="K25" s="8"/>
      <x:c r="L25" s="8"/>
      <x:c r="M25" s="8"/>
      <x:c r="N25" s="8"/>
      <x:c r="O25" s="8"/>
      <x:c r="P25" s="8"/>
      <x:c r="Q25" s="8"/>
      <x:c r="R25" s="8"/>
    </x:row>
    <x:row r="26">
      <x:c r="A26" s="8"/>
      <x:c r="B26" s="8"/>
      <x:c r="C26" s="8"/>
      <x:c r="D26" s="8"/>
      <x:c r="E26" s="8"/>
      <x:c r="F26" s="8"/>
      <x:c r="G26" s="8"/>
      <x:c r="H26" s="8"/>
      <x:c r="I26" s="8"/>
      <x:c r="J26" s="8"/>
      <x:c r="K26" s="8"/>
      <x:c r="L26" s="8"/>
      <x:c r="M26" s="8"/>
      <x:c r="N26" s="8"/>
      <x:c r="O26" s="8"/>
      <x:c r="P26" s="8"/>
      <x:c r="Q26" s="8"/>
      <x:c r="R26" s="8"/>
    </x:row>
    <x:row r="27">
      <x:c r="A27" s="8"/>
      <x:c r="B27" s="8"/>
      <x:c r="C27" s="8"/>
      <x:c r="D27" s="8"/>
      <x:c r="E27" s="8"/>
      <x:c r="F27" s="8"/>
      <x:c r="G27" s="8"/>
      <x:c r="H27" s="8"/>
      <x:c r="I27" s="8"/>
      <x:c r="J27" s="8"/>
      <x:c r="K27" s="8"/>
      <x:c r="L27" s="8"/>
      <x:c r="M27" s="8"/>
      <x:c r="N27" s="8"/>
      <x:c r="O27" s="8"/>
      <x:c r="P27" s="8"/>
      <x:c r="Q27" s="8"/>
      <x:c r="R27" s="8"/>
    </x:row>
    <x:row r="28">
      <x:c r="A28" s="8"/>
      <x:c r="B28" s="8"/>
      <x:c r="C28" s="8"/>
      <x:c r="D28" s="8"/>
      <x:c r="E28" s="8"/>
      <x:c r="F28" s="8"/>
      <x:c r="G28" s="8"/>
      <x:c r="H28" s="8"/>
      <x:c r="I28" s="8"/>
      <x:c r="J28" s="8"/>
      <x:c r="K28" s="8"/>
      <x:c r="L28" s="8"/>
      <x:c r="M28" s="8"/>
      <x:c r="N28" s="8"/>
      <x:c r="O28" s="8"/>
      <x:c r="P28" s="8"/>
      <x:c r="Q28" s="8"/>
      <x:c r="R28" s="8"/>
    </x:row>
    <x:row r="29">
      <x:c r="A29" s="8" t="str">
        <x:v>anchor-28</x:v>
      </x:c>
      <x:c r="B29" s="8"/>
      <x:c r="C29" s="8"/>
      <x:c r="D29" s="8"/>
      <x:c r="E29" s="8"/>
      <x:c r="F29" s="8"/>
      <x:c r="G29" s="8"/>
      <x:c r="H29" s="8"/>
      <x:c r="I29" s="8"/>
      <x:c r="J29" s="8"/>
      <x:c r="K29" s="8"/>
      <x:c r="L29" s="8"/>
      <x:c r="M29" s="8"/>
      <x:c r="N29" s="8"/>
      <x:c r="O29" s="8"/>
      <x:c r="P29" s="8"/>
      <x:c r="Q29" s="8"/>
      <x:c r="R29" s="8"/>
    </x:row>
    <x:row r="30">
      <x:c r="A30" s="8"/>
      <x:c r="B30" s="8"/>
      <x:c r="C30" s="8"/>
      <x:c r="D30" s="8"/>
      <x:c r="E30" s="8"/>
      <x:c r="F30" s="8"/>
      <x:c r="G30" s="8"/>
      <x:c r="H30" s="8"/>
      <x:c r="I30" s="8"/>
      <x:c r="J30" s="8"/>
      <x:c r="K30" s="8"/>
      <x:c r="L30" s="8"/>
      <x:c r="M30" s="8"/>
      <x:c r="N30" s="8"/>
      <x:c r="O30" s="8"/>
      <x:c r="P30" s="8"/>
      <x:c r="Q30" s="8"/>
      <x:c r="R30" s="8"/>
    </x:row>
    <x:row r="31">
      <x:c r="A31" s="8"/>
      <x:c r="B31" s="8"/>
      <x:c r="C31" s="8"/>
      <x:c r="D31" s="8"/>
      <x:c r="E31" s="8"/>
      <x:c r="F31" s="8"/>
      <x:c r="G31" s="8"/>
      <x:c r="H31" s="8"/>
      <x:c r="I31" s="8"/>
      <x:c r="J31" s="8"/>
      <x:c r="K31" s="8"/>
      <x:c r="L31" s="8"/>
      <x:c r="M31" s="8"/>
      <x:c r="N31" s="8"/>
      <x:c r="O31" s="8"/>
      <x:c r="P31" s="8"/>
      <x:c r="Q31" s="8"/>
      <x:c r="R31" s="8"/>
    </x:row>
    <x:row r="32">
      <x:c r="A32" s="8"/>
      <x:c r="B32" s="8"/>
      <x:c r="C32" s="8"/>
      <x:c r="D32" s="8"/>
      <x:c r="E32" s="8"/>
      <x:c r="F32" s="8"/>
      <x:c r="G32" s="8"/>
      <x:c r="H32" s="8"/>
      <x:c r="I32" s="8"/>
      <x:c r="J32" s="8"/>
      <x:c r="K32" s="8"/>
      <x:c r="L32" s="8"/>
      <x:c r="M32" s="8"/>
      <x:c r="N32" s="8"/>
      <x:c r="O32" s="8"/>
      <x:c r="P32" s="8"/>
      <x:c r="Q32" s="8"/>
      <x:c r="R32" s="8"/>
    </x:row>
    <x:row r="33">
      <x:c r="A33" s="8"/>
      <x:c r="B33" s="8"/>
      <x:c r="C33" s="8"/>
      <x:c r="D33" s="8"/>
      <x:c r="E33" s="8"/>
      <x:c r="F33" s="8"/>
      <x:c r="G33" s="8"/>
      <x:c r="H33" s="8"/>
      <x:c r="I33" s="8"/>
      <x:c r="J33" s="8"/>
      <x:c r="K33" s="8"/>
      <x:c r="L33" s="8"/>
      <x:c r="M33" s="8"/>
      <x:c r="N33" s="8"/>
      <x:c r="O33" s="8"/>
      <x:c r="P33" s="8"/>
      <x:c r="Q33" s="8"/>
      <x:c r="R33" s="8"/>
    </x:row>
    <x:row r="34">
      <x:c r="A34" s="8"/>
      <x:c r="B34" s="8"/>
      <x:c r="C34" s="8"/>
      <x:c r="D34" s="8"/>
      <x:c r="E34" s="8"/>
      <x:c r="F34" s="8" t="str">
        <x:v>Observed in a local test run: the content rendered, but the console warning appeared twice.</x:v>
      </x:c>
      <x:c r="G34" s="8"/>
      <x:c r="H34" s="8"/>
      <x:c r="I34" s="8"/>
      <x:c r="J34" s="8"/>
      <x:c r="K34" s="8"/>
      <x:c r="L34" s="8"/>
      <x:c r="M34" s="8"/>
      <x:c r="N34" s="8"/>
      <x:c r="O34" s="8"/>
      <x:c r="P34" s="8"/>
      <x:c r="Q34" s="8"/>
      <x:c r="R34" s="8"/>
    </x:row>
    <x:row r="35">
      <x:c r="A35" s="8"/>
      <x:c r="B35" s="8"/>
      <x:c r="C35" s="8"/>
      <x:c r="D35" s="8"/>
      <x:c r="E35" s="8"/>
      <x:c r="F35" s="8"/>
      <x:c r="G35" s="8"/>
      <x:c r="H35" s="8"/>
      <x:c r="I35" s="8"/>
      <x:c r="J35" s="8"/>
      <x:c r="K35" s="8"/>
      <x:c r="L35" s="8"/>
      <x:c r="M35" s="8"/>
      <x:c r="N35" s="8"/>
      <x:c r="O35" s="8" t="str">
        <x:v>https://github.com/react-native-webview/react-native-webview</x:v>
      </x:c>
      <x:c r="P35" s="8"/>
      <x:c r="Q35" s="8"/>
      <x:c r="R35" s="8"/>
    </x:row>
    <x:row r="36">
      <x:c r="A36" s="8" t="str">
        <x:v>anchor-35</x:v>
      </x:c>
      <x:c r="B36" s="8"/>
      <x:c r="C36" s="8"/>
      <x:c r="D36" s="8"/>
      <x:c r="E36" s="8"/>
      <x:c r="F36" s="8"/>
      <x:c r="G36" s="8"/>
      <x:c r="H36" s="8"/>
      <x:c r="I36" s="8"/>
      <x:c r="J36" s="8"/>
      <x:c r="K36" s="8"/>
      <x:c r="L36" s="8"/>
      <x:c r="M36" s="8"/>
      <x:c r="N36" s="8"/>
      <x:c r="O36" s="8"/>
      <x:c r="P36" s="8"/>
      <x:c r="Q36" s="8"/>
      <x:c r="R36" s="8"/>
    </x:row>
    <x:row r="37">
      <x:c r="A37" s="8"/>
      <x:c r="B37" s="8"/>
      <x:c r="C37" s="8"/>
      <x:c r="D37" s="8"/>
      <x:c r="E37" s="8"/>
      <x:c r="F37" s="8"/>
      <x:c r="G37" s="8"/>
      <x:c r="H37" s="8"/>
      <x:c r="I37" s="8"/>
      <x:c r="J37" s="8"/>
      <x:c r="K37" s="8"/>
      <x:c r="L37" s="8"/>
      <x:c r="M37" s="8"/>
      <x:c r="N37" s="8"/>
      <x:c r="O37" s="8"/>
      <x:c r="P37" s="8"/>
      <x:c r="Q37" s="8"/>
      <x:c r="R37" s="8"/>
    </x:row>
    <x:row r="38">
      <x:c r="A38" s="8"/>
      <x:c r="B38" s="8"/>
      <x:c r="C38" s="8"/>
      <x:c r="D38" s="8"/>
      <x:c r="E38" s="8"/>
      <x:c r="F38" s="8"/>
      <x:c r="G38" s="8"/>
      <x:c r="H38" s="8"/>
      <x:c r="I38" s="8"/>
      <x:c r="J38" s="8"/>
      <x:c r="K38" s="8"/>
      <x:c r="L38" s="8"/>
      <x:c r="M38" s="8"/>
      <x:c r="N38" s="8"/>
      <x:c r="O38" s="8"/>
      <x:c r="P38" s="8"/>
      <x:c r="Q38" s="8"/>
      <x:c r="R38" s="8"/>
    </x:row>
    <x:row r="39">
      <x:c r="A39" s="8"/>
      <x:c r="B39" s="8"/>
      <x:c r="C39" s="8"/>
      <x:c r="D39" s="8"/>
      <x:c r="E39" s="8"/>
      <x:c r="F39" s="8"/>
      <x:c r="G39" s="8"/>
      <x:c r="H39" s="8"/>
      <x:c r="I39" s="8"/>
      <x:c r="J39" s="8"/>
      <x:c r="K39" s="8"/>
      <x:c r="L39" s="8"/>
      <x:c r="M39" s="8"/>
      <x:c r="N39" s="8"/>
      <x:c r="O39" s="8"/>
      <x:c r="P39" s="8"/>
      <x:c r="Q39" s="8"/>
      <x:c r="R39" s="8" t="n">
        <x:v>646</x:v>
      </x:c>
    </x:row>
    <x:row r="40">
      <x:c r="A40" s="8"/>
      <x:c r="B40" s="8"/>
      <x:c r="C40" s="8"/>
      <x:c r="D40" s="8"/>
      <x:c r="E40" s="8"/>
      <x:c r="F40" s="8"/>
      <x:c r="G40" s="8"/>
      <x:c r="H40" s="8"/>
      <x:c r="I40" s="8"/>
      <x:c r="J40" s="8"/>
      <x:c r="K40" s="8"/>
      <x:c r="L40" s="8"/>
      <x:c r="M40" s="8"/>
      <x:c r="N40" s="8"/>
      <x:c r="O40" s="8"/>
      <x:c r="P40" s="8"/>
      <x:c r="Q40" s="8"/>
      <x:c r="R40" s="8"/>
    </x:row>
    <x:row r="41">
      <x:c r="A41" s="8"/>
      <x:c r="B41" s="8"/>
      <x:c r="C41" s="8"/>
      <x:c r="D41" s="8"/>
      <x:c r="E41" s="8"/>
      <x:c r="F41" s="8"/>
      <x:c r="G41" s="8"/>
      <x:c r="H41" s="8"/>
      <x:c r="I41" s="8"/>
      <x:c r="J41" s="8"/>
      <x:c r="K41" s="8"/>
      <x:c r="L41" s="8"/>
      <x:c r="M41" s="8"/>
      <x:c r="N41" s="8"/>
      <x:c r="O41" s="8"/>
      <x:c r="P41" s="8"/>
      <x:c r="Q41" s="8"/>
      <x:c r="R41" s="8"/>
    </x:row>
    <x:row r="42">
      <x:c r="A42" s="8"/>
      <x:c r="B42" s="8"/>
      <x:c r="C42" s="8"/>
      <x:c r="D42" s="8"/>
      <x:c r="E42" s="8"/>
      <x:c r="F42" s="8"/>
      <x:c r="G42" s="8"/>
      <x:c r="H42" s="8"/>
      <x:c r="I42" s="8"/>
      <x:c r="J42" s="8"/>
      <x:c r="K42" s="8"/>
      <x:c r="L42" s="8"/>
      <x:c r="M42" s="8"/>
      <x:c r="N42" s="8"/>
      <x:c r="O42" s="8"/>
      <x:c r="P42" s="8"/>
      <x:c r="Q42" s="8"/>
      <x:c r="R42" s="8"/>
    </x:row>
    <x:row r="43">
      <x:c r="A43" s="8" t="str">
        <x:v>anchor-42</x:v>
      </x:c>
      <x:c r="B43" s="8"/>
      <x:c r="C43" s="8"/>
      <x:c r="D43" s="8"/>
      <x:c r="E43" s="8"/>
      <x:c r="F43" s="8"/>
      <x:c r="G43" s="8"/>
      <x:c r="H43" s="8"/>
      <x:c r="I43" s="8"/>
      <x:c r="J43" s="8"/>
      <x:c r="K43" s="8"/>
      <x:c r="L43" s="8"/>
      <x:c r="M43" s="8"/>
      <x:c r="N43" s="8"/>
      <x:c r="O43" s="8"/>
      <x:c r="P43" s="8"/>
      <x:c r="Q43" s="8"/>
      <x:c r="R43" s="8"/>
    </x:row>
    <x:row r="44">
      <x:c r="A44" s="8"/>
      <x:c r="B44" s="8"/>
      <x:c r="C44" s="8"/>
      <x:c r="D44" s="8"/>
      <x:c r="E44" s="8"/>
      <x:c r="F44" s="8"/>
      <x:c r="G44" s="8"/>
      <x:c r="H44" s="8"/>
      <x:c r="I44" s="8"/>
      <x:c r="J44" s="8"/>
      <x:c r="K44" s="8"/>
      <x:c r="L44" s="8"/>
      <x:c r="M44" s="8"/>
      <x:c r="N44" s="8"/>
      <x:c r="O44" s="8"/>
      <x:c r="P44" s="8"/>
      <x:c r="Q44" s="8"/>
      <x:c r="R44" s="8"/>
    </x:row>
    <x:row r="45">
      <x:c r="A45" s="8"/>
      <x:c r="B45" s="8"/>
      <x:c r="C45" s="8"/>
      <x:c r="D45" s="8"/>
      <x:c r="E45" s="8"/>
      <x:c r="F45" s="8" t="str">
        <x:v>The bridge callback is stable for small payloads, but large JSON messages show visible delay during navigation.</x:v>
      </x:c>
      <x:c r="G45" s="8"/>
      <x:c r="H45" s="8"/>
      <x:c r="I45" s="8"/>
      <x:c r="J45" s="8"/>
      <x:c r="K45" s="8"/>
      <x:c r="L45" s="8"/>
      <x:c r="M45" s="8"/>
      <x:c r="N45" s="8"/>
      <x:c r="O45" s="8"/>
      <x:c r="P45" s="8"/>
      <x:c r="Q45" s="8"/>
      <x:c r="R45" s="8"/>
    </x:row>
    <x:row r="46">
      <x:c r="A46" s="8"/>
      <x:c r="B46" s="8"/>
      <x:c r="C46" s="8"/>
      <x:c r="D46" s="8"/>
      <x:c r="E46" s="8"/>
      <x:c r="F46" s="8"/>
      <x:c r="G46" s="8"/>
      <x:c r="H46" s="8"/>
      <x:c r="I46" s="8"/>
      <x:c r="J46" s="8"/>
      <x:c r="K46" s="8"/>
      <x:c r="L46" s="8"/>
      <x:c r="M46" s="8"/>
      <x:c r="N46" s="8"/>
      <x:c r="O46" s="8"/>
      <x:c r="P46" s="8"/>
      <x:c r="Q46" s="8"/>
      <x:c r="R46" s="8"/>
    </x:row>
    <x:row r="47">
      <x:c r="A47" s="8"/>
      <x:c r="B47" s="8"/>
      <x:c r="C47" s="8"/>
      <x:c r="D47" s="8"/>
      <x:c r="E47" s="8"/>
      <x:c r="F47" s="8"/>
      <x:c r="G47" s="8"/>
      <x:c r="H47" s="8"/>
      <x:c r="I47" s="8"/>
      <x:c r="J47" s="8"/>
      <x:c r="K47" s="8"/>
      <x:c r="L47" s="8"/>
      <x:c r="M47" s="8"/>
      <x:c r="N47" s="8"/>
      <x:c r="O47" s="8"/>
      <x:c r="P47" s="8"/>
      <x:c r="Q47" s="8"/>
      <x:c r="R47" s="8"/>
    </x:row>
    <x:row r="48">
      <x:c r="A48" s="8"/>
      <x:c r="B48" s="8"/>
      <x:c r="C48" s="8"/>
      <x:c r="D48" s="8"/>
      <x:c r="E48" s="8"/>
      <x:c r="F48" s="8"/>
      <x:c r="G48" s="8"/>
      <x:c r="H48" s="8"/>
      <x:c r="I48" s="8"/>
      <x:c r="J48" s="8"/>
      <x:c r="K48" s="8"/>
      <x:c r="L48" s="8"/>
      <x:c r="M48" s="8"/>
      <x:c r="N48" s="8"/>
      <x:c r="O48" s="8"/>
      <x:c r="P48" s="8"/>
      <x:c r="Q48" s="8"/>
      <x:c r="R48" s="8"/>
    </x:row>
    <x:row r="49">
      <x:c r="A49" s="8"/>
      <x:c r="B49" s="8"/>
      <x:c r="C49" s="8"/>
      <x:c r="D49" s="8"/>
      <x:c r="E49" s="8"/>
      <x:c r="F49" s="8"/>
      <x:c r="G49" s="8"/>
      <x:c r="H49" s="8"/>
      <x:c r="I49" s="8"/>
      <x:c r="J49" s="8"/>
      <x:c r="K49" s="8"/>
      <x:c r="L49" s="8"/>
      <x:c r="M49" s="8"/>
      <x:c r="N49" s="8"/>
      <x:c r="O49" s="8"/>
      <x:c r="P49" s="8"/>
      <x:c r="Q49" s="8"/>
      <x:c r="R49" s="8"/>
    </x:row>
    <x:row r="50">
      <x:c r="A50" s="8" t="str">
        <x:v>anchor-49</x:v>
      </x:c>
      <x:c r="B50" s="8"/>
      <x:c r="C50" s="8"/>
      <x:c r="D50" s="8"/>
      <x:c r="E50" s="8"/>
      <x:c r="F50" s="8"/>
      <x:c r="G50" s="8"/>
      <x:c r="H50" s="8"/>
      <x:c r="I50" s="8"/>
      <x:c r="J50" s="8"/>
      <x:c r="K50" s="8"/>
      <x:c r="L50" s="8"/>
      <x:c r="M50" s="8"/>
      <x:c r="N50" s="8"/>
      <x:c r="O50" s="8"/>
      <x:c r="P50" s="8"/>
      <x:c r="Q50" s="8"/>
      <x:c r="R50" s="8"/>
    </x:row>
    <x:row r="51">
      <x:c r="A51" s="8"/>
      <x:c r="B51" s="8"/>
      <x:c r="C51" s="8"/>
      <x:c r="D51" s="8"/>
      <x:c r="E51" s="8"/>
      <x:c r="F51" s="8"/>
      <x:c r="G51" s="8"/>
      <x:c r="H51" s="8"/>
      <x:c r="I51" s="8"/>
      <x:c r="J51" s="8"/>
      <x:c r="K51" s="8"/>
      <x:c r="L51" s="8"/>
      <x:c r="M51" s="8"/>
      <x:c r="N51" s="8"/>
      <x:c r="O51" s="8"/>
      <x:c r="P51" s="8"/>
      <x:c r="Q51" s="8"/>
      <x:c r="R51" s="8"/>
    </x:row>
    <x:row r="52">
      <x:c r="A52" s="8"/>
      <x:c r="B52" s="8"/>
      <x:c r="C52" s="8"/>
      <x:c r="D52" s="8"/>
      <x:c r="E52" s="8"/>
      <x:c r="F52" s="8"/>
      <x:c r="G52" s="8"/>
      <x:c r="H52" s="8"/>
      <x:c r="I52" s="8"/>
      <x:c r="J52" s="8"/>
      <x:c r="K52" s="8"/>
      <x:c r="L52" s="8"/>
      <x:c r="M52" s="8"/>
      <x:c r="N52" s="8"/>
      <x:c r="O52" s="8" t="str">
        <x:v>https://developer.android.com/reference/android/webkit/WebView</x:v>
      </x:c>
      <x:c r="P52" s="8"/>
      <x:c r="Q52" s="8"/>
      <x:c r="R52" s="8"/>
    </x:row>
    <x:row r="53">
      <x:c r="A53" s="8"/>
      <x:c r="B53" s="8"/>
      <x:c r="C53" s="8"/>
      <x:c r="D53" s="8"/>
      <x:c r="E53" s="8"/>
      <x:c r="F53" s="8"/>
      <x:c r="G53" s="8"/>
      <x:c r="H53" s="8"/>
      <x:c r="I53" s="8"/>
      <x:c r="J53" s="8"/>
      <x:c r="K53" s="8"/>
      <x:c r="L53" s="8"/>
      <x:c r="M53" s="8"/>
      <x:c r="N53" s="8"/>
      <x:c r="O53" s="8"/>
      <x:c r="P53" s="8"/>
      <x:c r="Q53" s="8"/>
      <x:c r="R53" s="8"/>
    </x:row>
    <x:row r="54">
      <x:c r="A54" s="8"/>
      <x:c r="B54" s="8"/>
      <x:c r="C54" s="8"/>
      <x:c r="D54" s="8"/>
      <x:c r="E54" s="8"/>
      <x:c r="F54" s="8"/>
      <x:c r="G54" s="8"/>
      <x:c r="H54" s="8"/>
      <x:c r="I54" s="8"/>
      <x:c r="J54" s="8"/>
      <x:c r="K54" s="8"/>
      <x:c r="L54" s="8"/>
      <x:c r="M54" s="8"/>
      <x:c r="N54" s="8"/>
      <x:c r="O54" s="8"/>
      <x:c r="P54" s="8"/>
      <x:c r="Q54" s="8"/>
      <x:c r="R54" s="8"/>
    </x:row>
    <x:row r="55">
      <x:c r="A55" s="8"/>
      <x:c r="B55" s="8"/>
      <x:c r="C55" s="8"/>
      <x:c r="D55" s="8"/>
      <x:c r="E55" s="8"/>
      <x:c r="F55" s="8"/>
      <x:c r="G55" s="8"/>
      <x:c r="H55" s="8"/>
      <x:c r="I55" s="8"/>
      <x:c r="J55" s="8"/>
      <x:c r="K55" s="8"/>
      <x:c r="L55" s="8"/>
      <x:c r="M55" s="8"/>
      <x:c r="N55" s="8"/>
      <x:c r="O55" s="8"/>
      <x:c r="P55" s="8"/>
      <x:c r="Q55" s="8"/>
      <x:c r="R55" s="8"/>
    </x:row>
    <x:row r="56">
      <x:c r="A56" s="8"/>
      <x:c r="B56" s="8"/>
      <x:c r="C56" s="8"/>
      <x:c r="D56" s="8"/>
      <x:c r="E56" s="8"/>
      <x:c r="F56" s="8" t="str">
        <x:v>The owner field was not captured in the original notes, so classification should remain conservative.</x:v>
      </x:c>
      <x:c r="G56" s="8"/>
      <x:c r="H56" s="8"/>
      <x:c r="I56" s="8"/>
      <x:c r="J56" s="8"/>
      <x:c r="K56" s="8"/>
      <x:c r="L56" s="8"/>
      <x:c r="M56" s="8"/>
      <x:c r="N56" s="8"/>
      <x:c r="O56" s="8"/>
      <x:c r="P56" s="8"/>
      <x:c r="Q56" s="8"/>
      <x:c r="R56" s="8"/>
    </x:row>
    <x:row r="57">
      <x:c r="A57" s="8" t="str">
        <x:v>anchor-56</x:v>
      </x:c>
      <x:c r="B57" s="8"/>
      <x:c r="C57" s="8"/>
      <x:c r="D57" s="8"/>
      <x:c r="E57" s="8"/>
      <x:c r="F57" s="8"/>
      <x:c r="G57" s="8"/>
      <x:c r="H57" s="8"/>
      <x:c r="I57" s="8"/>
      <x:c r="J57" s="8"/>
      <x:c r="K57" s="8"/>
      <x:c r="L57" s="8"/>
      <x:c r="M57" s="8"/>
      <x:c r="N57" s="8"/>
      <x:c r="O57" s="8"/>
      <x:c r="P57" s="8"/>
      <x:c r="Q57" s="8"/>
      <x:c r="R57" s="8"/>
    </x:row>
    <x:row r="58">
      <x:c r="A58" s="8"/>
      <x:c r="B58" s="8"/>
      <x:c r="C58" s="8"/>
      <x:c r="D58" s="8"/>
      <x:c r="E58" s="8"/>
      <x:c r="F58" s="8"/>
      <x:c r="G58" s="8"/>
      <x:c r="H58" s="8"/>
      <x:c r="I58" s="8"/>
      <x:c r="J58" s="8"/>
      <x:c r="K58" s="8"/>
      <x:c r="L58" s="8"/>
      <x:c r="M58" s="8"/>
      <x:c r="N58" s="8"/>
      <x:c r="O58" s="8"/>
      <x:c r="P58" s="8"/>
      <x:c r="Q58" s="8"/>
      <x:c r="R58" s="8" t="n">
        <x:v>969</x:v>
      </x:c>
    </x:row>
    <x:row r="59">
      <x:c r="A59" s="8"/>
      <x:c r="B59" s="8"/>
      <x:c r="C59" s="8"/>
      <x:c r="D59" s="8"/>
      <x:c r="E59" s="8"/>
      <x:c r="F59" s="8"/>
      <x:c r="G59" s="8"/>
      <x:c r="H59" s="8"/>
      <x:c r="I59" s="8"/>
      <x:c r="J59" s="8"/>
      <x:c r="K59" s="8"/>
      <x:c r="L59" s="8"/>
      <x:c r="M59" s="8"/>
      <x:c r="N59" s="8"/>
      <x:c r="O59" s="8"/>
      <x:c r="P59" s="8"/>
      <x:c r="Q59" s="8"/>
      <x:c r="R59" s="8"/>
    </x:row>
    <x:row r="60">
      <x:c r="A60" s="8"/>
      <x:c r="B60" s="8"/>
      <x:c r="C60" s="8"/>
      <x:c r="D60" s="8"/>
      <x:c r="E60" s="8"/>
      <x:c r="F60" s="8"/>
      <x:c r="G60" s="8"/>
      <x:c r="H60" s="8"/>
      <x:c r="I60" s="8"/>
      <x:c r="J60" s="8"/>
      <x:c r="K60" s="8"/>
      <x:c r="L60" s="8"/>
      <x:c r="M60" s="8"/>
      <x:c r="N60" s="8"/>
      <x:c r="O60" s="8"/>
      <x:c r="P60" s="8"/>
      <x:c r="Q60" s="8"/>
      <x:c r="R60" s="8"/>
    </x:row>
    <x:row r="61">
      <x:c r="A61" s="8"/>
      <x:c r="B61" s="8"/>
      <x:c r="C61" s="8"/>
      <x:c r="D61" s="8"/>
      <x:c r="E61" s="8"/>
      <x:c r="F61" s="8"/>
      <x:c r="G61" s="8"/>
      <x:c r="H61" s="8"/>
      <x:c r="I61" s="8"/>
      <x:c r="J61" s="8"/>
      <x:c r="K61" s="8"/>
      <x:c r="L61" s="8"/>
      <x:c r="M61" s="8"/>
      <x:c r="N61" s="8"/>
      <x:c r="O61" s="8"/>
      <x:c r="P61" s="8"/>
      <x:c r="Q61" s="8"/>
      <x:c r="R61" s="8"/>
    </x:row>
    <x:row r="62">
      <x:c r="A62" s="8"/>
      <x:c r="B62" s="8"/>
      <x:c r="C62" s="8"/>
      <x:c r="D62" s="8"/>
      <x:c r="E62" s="8"/>
      <x:c r="F62" s="8"/>
      <x:c r="G62" s="8"/>
      <x:c r="H62" s="8"/>
      <x:c r="I62" s="8"/>
      <x:c r="J62" s="8"/>
      <x:c r="K62" s="8"/>
      <x:c r="L62" s="8"/>
      <x:c r="M62" s="8"/>
      <x:c r="N62" s="8"/>
      <x:c r="O62" s="8"/>
      <x:c r="P62" s="8"/>
      <x:c r="Q62" s="8"/>
      <x:c r="R62" s="8"/>
    </x:row>
    <x:row r="63">
      <x:c r="A63" s="8"/>
      <x:c r="B63" s="8"/>
      <x:c r="C63" s="8"/>
      <x:c r="D63" s="8"/>
      <x:c r="E63" s="8"/>
      <x:c r="F63" s="8"/>
      <x:c r="G63" s="8"/>
      <x:c r="H63" s="8"/>
      <x:c r="I63" s="8"/>
      <x:c r="J63" s="8"/>
      <x:c r="K63" s="8"/>
      <x:c r="L63" s="8"/>
      <x:c r="M63" s="8"/>
      <x:c r="N63" s="8"/>
      <x:c r="O63" s="8"/>
      <x:c r="P63" s="8"/>
      <x:c r="Q63" s="8"/>
      <x:c r="R63" s="8"/>
    </x:row>
    <x:row r="64">
      <x:c r="A64" s="8" t="str">
        <x:v>anchor-63</x:v>
      </x:c>
      <x:c r="B64" s="8"/>
      <x:c r="C64" s="8"/>
      <x:c r="D64" s="8"/>
      <x:c r="E64" s="8"/>
      <x:c r="F64" s="8"/>
      <x:c r="G64" s="8"/>
      <x:c r="H64" s="8"/>
      <x:c r="I64" s="8"/>
      <x:c r="J64" s="8"/>
      <x:c r="K64" s="8"/>
      <x:c r="L64" s="8"/>
      <x:c r="M64" s="8"/>
      <x:c r="N64" s="8"/>
      <x:c r="O64" s="8"/>
      <x:c r="P64" s="8"/>
      <x:c r="Q64" s="8"/>
      <x:c r="R64" s="8"/>
    </x:row>
    <x:row r="65">
      <x:c r="A65" s="8"/>
      <x:c r="B65" s="8"/>
      <x:c r="C65" s="8"/>
      <x:c r="D65" s="8"/>
      <x:c r="E65" s="8"/>
      <x:c r="F65" s="8"/>
      <x:c r="G65" s="8"/>
      <x:c r="H65" s="8"/>
      <x:c r="I65" s="8"/>
      <x:c r="J65" s="8"/>
      <x:c r="K65" s="8"/>
      <x:c r="L65" s="8"/>
      <x:c r="M65" s="8"/>
      <x:c r="N65" s="8"/>
      <x:c r="O65" s="8"/>
      <x:c r="P65" s="8"/>
      <x:c r="Q65" s="8"/>
      <x:c r="R65" s="8"/>
    </x:row>
    <x:row r="66">
      <x:c r="A66" s="8"/>
      <x:c r="B66" s="8"/>
      <x:c r="C66" s="8"/>
      <x:c r="D66" s="8"/>
      <x:c r="E66" s="8"/>
      <x:c r="F66" s="8"/>
      <x:c r="G66" s="8"/>
      <x:c r="H66" s="8"/>
      <x:c r="I66" s="8"/>
      <x:c r="J66" s="8"/>
      <x:c r="K66" s="8"/>
      <x:c r="L66" s="8"/>
      <x:c r="M66" s="8"/>
      <x:c r="N66" s="8"/>
      <x:c r="O66" s="8"/>
      <x:c r="P66" s="8"/>
      <x:c r="Q66" s="8"/>
      <x:c r="R66" s="8"/>
    </x:row>
    <x:row r="67">
      <x:c r="A67" s="8"/>
      <x:c r="B67" s="8"/>
      <x:c r="C67" s="8"/>
      <x:c r="D67" s="8"/>
      <x:c r="E67" s="8"/>
      <x:c r="F67" s="8" t="str">
        <x:v>The bridge callback is stable for small payloads, but large JSON messages show visible delay during navigation.</x:v>
      </x:c>
      <x:c r="G67" s="8"/>
      <x:c r="H67" s="8"/>
      <x:c r="I67" s="8"/>
      <x:c r="J67" s="8"/>
      <x:c r="K67" s="8"/>
      <x:c r="L67" s="8"/>
      <x:c r="M67" s="8"/>
      <x:c r="N67" s="8"/>
      <x:c r="O67" s="8"/>
      <x:c r="P67" s="8"/>
      <x:c r="Q67" s="8"/>
      <x:c r="R67" s="8"/>
    </x:row>
    <x:row r="68">
      <x:c r="A68" s="8"/>
      <x:c r="B68" s="8"/>
      <x:c r="C68" s="8"/>
      <x:c r="D68" s="8"/>
      <x:c r="E68" s="8"/>
      <x:c r="F68" s="8"/>
      <x:c r="G68" s="8"/>
      <x:c r="H68" s="8"/>
      <x:c r="I68" s="8"/>
      <x:c r="J68" s="8"/>
      <x:c r="K68" s="8"/>
      <x:c r="L68" s="8"/>
      <x:c r="M68" s="8"/>
      <x:c r="N68" s="8"/>
      <x:c r="O68" s="8"/>
      <x:c r="P68" s="8"/>
      <x:c r="Q68" s="8"/>
      <x:c r="R68" s="8"/>
    </x:row>
    <x:row r="69">
      <x:c r="A69" s="8"/>
      <x:c r="B69" s="8"/>
      <x:c r="C69" s="8"/>
      <x:c r="D69" s="8"/>
      <x:c r="E69" s="8"/>
      <x:c r="F69" s="8"/>
      <x:c r="G69" s="8"/>
      <x:c r="H69" s="8"/>
      <x:c r="I69" s="8"/>
      <x:c r="J69" s="8"/>
      <x:c r="K69" s="8"/>
      <x:c r="L69" s="8"/>
      <x:c r="M69" s="8"/>
      <x:c r="N69" s="8"/>
      <x:c r="O69" s="8" t="str">
        <x:v>https://developer.apple.com/documentation/webkit/wkwebview</x:v>
      </x:c>
      <x:c r="P69" s="8"/>
      <x:c r="Q69" s="8"/>
      <x:c r="R69" s="8"/>
    </x:row>
    <x:row r="70">
      <x:c r="A70" s="8"/>
      <x:c r="B70" s="8"/>
      <x:c r="C70" s="8"/>
      <x:c r="D70" s="8"/>
      <x:c r="E70" s="8"/>
      <x:c r="F70" s="8"/>
      <x:c r="G70" s="8"/>
      <x:c r="H70" s="8"/>
      <x:c r="I70" s="8"/>
      <x:c r="J70" s="8"/>
      <x:c r="K70" s="8"/>
      <x:c r="L70" s="8"/>
      <x:c r="M70" s="8"/>
      <x:c r="N70" s="8"/>
      <x:c r="O70" s="8"/>
      <x:c r="P70" s="8"/>
      <x:c r="Q70" s="8"/>
      <x:c r="R70" s="8"/>
    </x:row>
    <x:row r="71">
      <x:c r="A71" s="8" t="str">
        <x:v>anchor-70</x:v>
      </x:c>
      <x:c r="B71" s="8"/>
      <x:c r="C71" s="8"/>
      <x:c r="D71" s="8"/>
      <x:c r="E71" s="8"/>
      <x:c r="F71" s="8"/>
      <x:c r="G71" s="8"/>
      <x:c r="H71" s="8"/>
      <x:c r="I71" s="8"/>
      <x:c r="J71" s="8"/>
      <x:c r="K71" s="8"/>
      <x:c r="L71" s="8"/>
      <x:c r="M71" s="8"/>
      <x:c r="N71" s="8"/>
      <x:c r="O71" s="8"/>
      <x:c r="P71" s="8"/>
      <x:c r="Q71" s="8"/>
      <x:c r="R71" s="8"/>
    </x:row>
    <x:row r="72">
      <x:c r="A72" s="8"/>
      <x:c r="B72" s="8"/>
      <x:c r="C72" s="8"/>
      <x:c r="D72" s="8"/>
      <x:c r="E72" s="8"/>
      <x:c r="F72" s="8"/>
      <x:c r="G72" s="8"/>
      <x:c r="H72" s="8"/>
      <x:c r="I72" s="8"/>
      <x:c r="J72" s="8"/>
      <x:c r="K72" s="8"/>
      <x:c r="L72" s="8"/>
      <x:c r="M72" s="8"/>
      <x:c r="N72" s="8"/>
      <x:c r="O72" s="8"/>
      <x:c r="P72" s="8"/>
      <x:c r="Q72" s="8"/>
      <x:c r="R72" s="8"/>
    </x:row>
    <x:row r="73">
      <x:c r="A73" s="8"/>
      <x:c r="B73" s="8"/>
      <x:c r="C73" s="8"/>
      <x:c r="D73" s="8"/>
      <x:c r="E73" s="8"/>
      <x:c r="F73" s="8"/>
      <x:c r="G73" s="8"/>
      <x:c r="H73" s="8"/>
      <x:c r="I73" s="8"/>
      <x:c r="J73" s="8"/>
      <x:c r="K73" s="8"/>
      <x:c r="L73" s="8"/>
      <x:c r="M73" s="8"/>
      <x:c r="N73" s="8"/>
      <x:c r="O73" s="8"/>
      <x:c r="P73" s="8"/>
      <x:c r="Q73" s="8"/>
      <x:c r="R73" s="8"/>
    </x:row>
    <x:row r="74">
      <x:c r="A74" s="8"/>
      <x:c r="B74" s="8"/>
      <x:c r="C74" s="8"/>
      <x:c r="D74" s="8"/>
      <x:c r="E74" s="8"/>
      <x:c r="F74" s="8"/>
      <x:c r="G74" s="8"/>
      <x:c r="H74" s="8"/>
      <x:c r="I74" s="8"/>
      <x:c r="J74" s="8"/>
      <x:c r="K74" s="8"/>
      <x:c r="L74" s="8"/>
      <x:c r="M74" s="8"/>
      <x:c r="N74" s="8"/>
      <x:c r="O74" s="8"/>
      <x:c r="P74" s="8"/>
      <x:c r="Q74" s="8"/>
      <x:c r="R74" s="8"/>
    </x:row>
    <x:row r="75">
      <x:c r="A75" s="8"/>
      <x:c r="B75" s="8"/>
      <x:c r="C75" s="8"/>
      <x:c r="D75" s="8"/>
      <x:c r="E75" s="8"/>
      <x:c r="F75" s="8"/>
      <x:c r="G75" s="8"/>
      <x:c r="H75" s="8"/>
      <x:c r="I75" s="8"/>
      <x:c r="J75" s="8"/>
      <x:c r="K75" s="8"/>
      <x:c r="L75" s="8"/>
      <x:c r="M75" s="8"/>
      <x:c r="N75" s="8"/>
      <x:c r="O75" s="8"/>
      <x:c r="P75" s="8"/>
      <x:c r="Q75" s="8"/>
      <x:c r="R75" s="8"/>
    </x:row>
    <x:row r="76">
      <x:c r="A76" s="8"/>
      <x:c r="B76" s="8"/>
      <x:c r="C76" s="8"/>
      <x:c r="D76" s="8"/>
      <x:c r="E76" s="8"/>
      <x:c r="F76" s="8"/>
      <x:c r="G76" s="8"/>
      <x:c r="H76" s="8"/>
      <x:c r="I76" s="8"/>
      <x:c r="J76" s="8"/>
      <x:c r="K76" s="8"/>
      <x:c r="L76" s="8"/>
      <x:c r="M76" s="8"/>
      <x:c r="N76" s="8"/>
      <x:c r="O76" s="8"/>
      <x:c r="P76" s="8"/>
      <x:c r="Q76" s="8"/>
      <x:c r="R76" s="8"/>
    </x:row>
    <x:row r="77">
      <x:c r="A77" s="8"/>
      <x:c r="B77" s="8"/>
      <x:c r="C77" s="8"/>
      <x:c r="D77" s="8"/>
      <x:c r="E77" s="8"/>
      <x:c r="F77" s="8"/>
      <x:c r="G77" s="8"/>
      <x:c r="H77" s="8"/>
      <x:c r="I77" s="8"/>
      <x:c r="J77" s="8"/>
      <x:c r="K77" s="8"/>
      <x:c r="L77" s="8"/>
      <x:c r="M77" s="8"/>
      <x:c r="N77" s="8"/>
      <x:c r="O77" s="8"/>
      <x:c r="P77" s="8"/>
      <x:c r="Q77" s="8"/>
      <x:c r="R77" s="8" t="n">
        <x:v>1292</x:v>
      </x:c>
    </x:row>
    <x:row r="78">
      <x:c r="A78" s="8" t="str">
        <x:v>anchor-77</x:v>
      </x:c>
      <x:c r="B78" s="8"/>
      <x:c r="C78" s="8"/>
      <x:c r="D78" s="8"/>
      <x:c r="E78" s="8"/>
      <x:c r="F78" s="8" t="str">
        <x:v>Potential duplicate: this paragraph is repeated in another section to test deduplication and chunk metadata.</x:v>
      </x:c>
      <x:c r="G78" s="8"/>
      <x:c r="H78" s="8"/>
      <x:c r="I78" s="8"/>
      <x:c r="J78" s="8"/>
      <x:c r="K78" s="8"/>
      <x:c r="L78" s="8"/>
      <x:c r="M78" s="8"/>
      <x:c r="N78" s="8"/>
      <x:c r="O78" s="8"/>
      <x:c r="P78" s="8"/>
      <x:c r="Q78" s="8"/>
      <x:c r="R78" s="8"/>
    </x:row>
    <x:row r="79">
      <x:c r="A79" s="8"/>
      <x:c r="B79" s="8"/>
      <x:c r="C79" s="8"/>
      <x:c r="D79" s="8"/>
      <x:c r="E79" s="8"/>
      <x:c r="F79" s="8"/>
      <x:c r="G79" s="8"/>
      <x:c r="H79" s="8"/>
      <x:c r="I79" s="8"/>
      <x:c r="J79" s="8"/>
      <x:c r="K79" s="8"/>
      <x:c r="L79" s="8"/>
      <x:c r="M79" s="8"/>
      <x:c r="N79" s="8"/>
      <x:c r="O79" s="8"/>
      <x:c r="P79" s="8"/>
      <x:c r="Q79" s="8"/>
      <x:c r="R79" s="8"/>
    </x:row>
    <x:row r="80">
      <x:c r="A80" s="8"/>
      <x:c r="B80" s="8"/>
      <x:c r="C80" s="8"/>
      <x:c r="D80" s="8"/>
      <x:c r="E80" s="8"/>
      <x:c r="F80" s="8"/>
      <x:c r="G80" s="8"/>
      <x:c r="H80" s="8"/>
      <x:c r="I80" s="8"/>
      <x:c r="J80" s="8"/>
      <x:c r="K80" s="8"/>
      <x:c r="L80" s="8"/>
      <x:c r="M80" s="8"/>
      <x:c r="N80" s="8"/>
      <x:c r="O80" s="8"/>
      <x:c r="P80" s="8"/>
      <x:c r="Q80" s="8"/>
      <x:c r="R80" s="8"/>
    </x:row>
    <x:row r="81">
      <x:c r="A81" s="8"/>
      <x:c r="B81" s="8"/>
      <x:c r="C81" s="8"/>
      <x:c r="D81" s="8"/>
      <x:c r="E81" s="8"/>
      <x:c r="F81" s="8"/>
      <x:c r="G81" s="8"/>
      <x:c r="H81" s="8"/>
      <x:c r="I81" s="8"/>
      <x:c r="J81" s="8"/>
      <x:c r="K81" s="8"/>
      <x:c r="L81" s="8"/>
      <x:c r="M81" s="8"/>
      <x:c r="N81" s="8"/>
      <x:c r="O81" s="8"/>
      <x:c r="P81" s="8"/>
      <x:c r="Q81" s="8"/>
      <x:c r="R81" s="8"/>
    </x:row>
    <x:row r="82">
      <x:c r="A82" s="8"/>
      <x:c r="B82" s="8"/>
      <x:c r="C82" s="8"/>
      <x:c r="D82" s="8"/>
      <x:c r="E82" s="8"/>
      <x:c r="F82" s="8"/>
      <x:c r="G82" s="8"/>
      <x:c r="H82" s="8"/>
      <x:c r="I82" s="8"/>
      <x:c r="J82" s="8"/>
      <x:c r="K82" s="8"/>
      <x:c r="L82" s="8"/>
      <x:c r="M82" s="8"/>
      <x:c r="N82" s="8"/>
      <x:c r="O82" s="8"/>
      <x:c r="P82" s="8"/>
      <x:c r="Q82" s="8"/>
      <x:c r="R82" s="8"/>
    </x:row>
    <x:row r="83">
      <x:c r="A83" s="8"/>
      <x:c r="B83" s="8"/>
      <x:c r="C83" s="8"/>
      <x:c r="D83" s="8"/>
      <x:c r="E83" s="8"/>
      <x:c r="F83" s="8"/>
      <x:c r="G83" s="8"/>
      <x:c r="H83" s="8"/>
      <x:c r="I83" s="8"/>
      <x:c r="J83" s="8"/>
      <x:c r="K83" s="8"/>
      <x:c r="L83" s="8"/>
      <x:c r="M83" s="8"/>
      <x:c r="N83" s="8"/>
      <x:c r="O83" s="8"/>
      <x:c r="P83" s="8"/>
      <x:c r="Q83" s="8"/>
      <x:c r="R83" s="8"/>
    </x:row>
    <x:row r="84">
      <x:c r="A84" s="8"/>
      <x:c r="B84" s="8"/>
      <x:c r="C84" s="8"/>
      <x:c r="D84" s="8"/>
      <x:c r="E84" s="8"/>
      <x:c r="F84" s="8"/>
      <x:c r="G84" s="8"/>
      <x:c r="H84" s="8"/>
      <x:c r="I84" s="8"/>
      <x:c r="J84" s="8"/>
      <x:c r="K84" s="8"/>
      <x:c r="L84" s="8"/>
      <x:c r="M84" s="8"/>
      <x:c r="N84" s="8"/>
      <x:c r="O84" s="8"/>
      <x:c r="P84" s="8"/>
      <x:c r="Q84" s="8"/>
      <x:c r="R84" s="8"/>
    </x:row>
    <x:row r="85">
      <x:c r="A85" s="8" t="str">
        <x:v>anchor-84</x:v>
      </x:c>
      <x:c r="B85" s="8"/>
      <x:c r="C85" s="8"/>
      <x:c r="D85" s="8"/>
      <x:c r="E85" s="8"/>
      <x:c r="F85" s="8"/>
      <x:c r="G85" s="8"/>
      <x:c r="H85" s="8"/>
      <x:c r="I85" s="8"/>
      <x:c r="J85" s="8"/>
      <x:c r="K85" s="8"/>
      <x:c r="L85" s="8"/>
      <x:c r="M85" s="8"/>
      <x:c r="N85" s="8"/>
      <x:c r="O85" s="8"/>
      <x:c r="P85" s="8"/>
      <x:c r="Q85" s="8"/>
      <x:c r="R85" s="8"/>
    </x:row>
    <x:row r="86">
      <x:c r="A86" s="8"/>
      <x:c r="B86" s="8"/>
      <x:c r="C86" s="8"/>
      <x:c r="D86" s="8"/>
      <x:c r="E86" s="8"/>
      <x:c r="F86" s="8"/>
      <x:c r="G86" s="8"/>
      <x:c r="H86" s="8"/>
      <x:c r="I86" s="8"/>
      <x:c r="J86" s="8"/>
      <x:c r="K86" s="8"/>
      <x:c r="L86" s="8"/>
      <x:c r="M86" s="8"/>
      <x:c r="N86" s="8"/>
      <x:c r="O86" s="8" t="str">
        <x:v>https://learn.microsoft.com/en-us/microsoft-edge/webview2/concepts/security</x:v>
      </x:c>
      <x:c r="P86" s="8"/>
      <x:c r="Q86" s="8"/>
      <x:c r="R86" s="8"/>
    </x:row>
    <x:row r="87">
      <x:c r="A87" s="8"/>
      <x:c r="B87" s="8"/>
      <x:c r="C87" s="8"/>
      <x:c r="D87" s="8"/>
      <x:c r="E87" s="8"/>
      <x:c r="F87" s="8"/>
      <x:c r="G87" s="8"/>
      <x:c r="H87" s="8"/>
      <x:c r="I87" s="8"/>
      <x:c r="J87" s="8"/>
      <x:c r="K87" s="8"/>
      <x:c r="L87" s="8"/>
      <x:c r="M87" s="8"/>
      <x:c r="N87" s="8"/>
      <x:c r="O87" s="8"/>
      <x:c r="P87" s="8"/>
      <x:c r="Q87" s="8"/>
      <x:c r="R87" s="8"/>
    </x:row>
    <x:row r="88">
      <x:c r="A88" s="8"/>
      <x:c r="B88" s="8"/>
      <x:c r="C88" s="8"/>
      <x:c r="D88" s="8"/>
      <x:c r="E88" s="8"/>
      <x:c r="F88" s="8"/>
      <x:c r="G88" s="8"/>
      <x:c r="H88" s="8"/>
      <x:c r="I88" s="8"/>
      <x:c r="J88" s="8"/>
      <x:c r="K88" s="8"/>
      <x:c r="L88" s="8"/>
      <x:c r="M88" s="8"/>
      <x:c r="N88" s="8"/>
      <x:c r="O88" s="8"/>
      <x:c r="P88" s="8"/>
      <x:c r="Q88" s="8"/>
      <x:c r="R88" s="8"/>
    </x:row>
    <x:row r="89">
      <x:c r="A89" s="8"/>
      <x:c r="B89" s="8"/>
      <x:c r="C89" s="8"/>
      <x:c r="D89" s="8"/>
      <x:c r="E89" s="8"/>
      <x:c r="F89" s="8" t="str">
        <x:v>The bridge callback is stable for small payloads, but large JSON messages show visible delay during navigation.</x:v>
      </x:c>
      <x:c r="G89" s="8"/>
      <x:c r="H89" s="8"/>
      <x:c r="I89" s="8"/>
      <x:c r="J89" s="8"/>
      <x:c r="K89" s="8"/>
      <x:c r="L89" s="8"/>
      <x:c r="M89" s="8"/>
      <x:c r="N89" s="8"/>
      <x:c r="O89" s="8"/>
      <x:c r="P89" s="8"/>
      <x:c r="Q89" s="8"/>
      <x:c r="R89" s="8"/>
    </x:row>
    <x:row r="90">
      <x:c r="A90" s="8"/>
      <x:c r="B90" s="8"/>
      <x:c r="C90" s="8"/>
      <x:c r="D90" s="8"/>
      <x:c r="E90" s="8"/>
      <x:c r="F90" s="8"/>
      <x:c r="G90" s="8"/>
      <x:c r="H90" s="8"/>
      <x:c r="I90" s="8"/>
      <x:c r="J90" s="8"/>
      <x:c r="K90" s="8"/>
      <x:c r="L90" s="8"/>
      <x:c r="M90" s="8"/>
      <x:c r="N90" s="8"/>
      <x:c r="O90" s="8"/>
      <x:c r="P90" s="8"/>
      <x:c r="Q90" s="8"/>
      <x:c r="R90" s="8"/>
    </x:row>
    <x:row r="91">
      <x:c r="A91" s="8"/>
      <x:c r="B91" s="8"/>
      <x:c r="C91" s="8"/>
      <x:c r="D91" s="8"/>
      <x:c r="E91" s="8"/>
      <x:c r="F91" s="8"/>
      <x:c r="G91" s="8"/>
      <x:c r="H91" s="8"/>
      <x:c r="I91" s="8"/>
      <x:c r="J91" s="8"/>
      <x:c r="K91" s="8"/>
      <x:c r="L91" s="8"/>
      <x:c r="M91" s="8"/>
      <x:c r="N91" s="8"/>
      <x:c r="O91" s="8"/>
      <x:c r="P91" s="8"/>
      <x:c r="Q91" s="8"/>
      <x:c r="R91" s="8"/>
    </x:row>
    <x:row r="92">
      <x:c r="A92" s="8" t="str">
        <x:v>anchor-91</x:v>
      </x:c>
      <x:c r="B92" s="8"/>
      <x:c r="C92" s="8"/>
      <x:c r="D92" s="8"/>
      <x:c r="E92" s="8"/>
      <x:c r="F92" s="8"/>
      <x:c r="G92" s="8"/>
      <x:c r="H92" s="8"/>
      <x:c r="I92" s="8"/>
      <x:c r="J92" s="8"/>
      <x:c r="K92" s="8"/>
      <x:c r="L92" s="8"/>
      <x:c r="M92" s="8"/>
      <x:c r="N92" s="8"/>
      <x:c r="O92" s="8"/>
      <x:c r="P92" s="8"/>
      <x:c r="Q92" s="8"/>
      <x:c r="R92" s="8"/>
    </x:row>
    <x:row r="93">
      <x:c r="A93" s="8"/>
      <x:c r="B93" s="8"/>
      <x:c r="C93" s="8"/>
      <x:c r="D93" s="8"/>
      <x:c r="E93" s="8"/>
      <x:c r="F93" s="8"/>
      <x:c r="G93" s="8"/>
      <x:c r="H93" s="8"/>
      <x:c r="I93" s="8"/>
      <x:c r="J93" s="8"/>
      <x:c r="K93" s="8"/>
      <x:c r="L93" s="8"/>
      <x:c r="M93" s="8"/>
      <x:c r="N93" s="8"/>
      <x:c r="O93" s="8"/>
      <x:c r="P93" s="8"/>
      <x:c r="Q93" s="8"/>
      <x:c r="R93" s="8"/>
    </x:row>
    <x:row r="94">
      <x:c r="A94" s="8"/>
      <x:c r="B94" s="8"/>
      <x:c r="C94" s="8"/>
      <x:c r="D94" s="8"/>
      <x:c r="E94" s="8"/>
      <x:c r="F94" s="8"/>
      <x:c r="G94" s="8"/>
      <x:c r="H94" s="8"/>
      <x:c r="I94" s="8"/>
      <x:c r="J94" s="8"/>
      <x:c r="K94" s="8"/>
      <x:c r="L94" s="8"/>
      <x:c r="M94" s="8"/>
      <x:c r="N94" s="8"/>
      <x:c r="O94" s="8"/>
      <x:c r="P94" s="8"/>
      <x:c r="Q94" s="8"/>
      <x:c r="R94" s="8"/>
    </x:row>
    <x:row r="95">
      <x:c r="A95" s="8"/>
      <x:c r="B95" s="8"/>
      <x:c r="C95" s="8"/>
      <x:c r="D95" s="8"/>
      <x:c r="E95" s="8"/>
      <x:c r="F95" s="8"/>
      <x:c r="G95" s="8"/>
      <x:c r="H95" s="8"/>
      <x:c r="I95" s="8"/>
      <x:c r="J95" s="8"/>
      <x:c r="K95" s="8"/>
      <x:c r="L95" s="8"/>
      <x:c r="M95" s="8"/>
      <x:c r="N95" s="8"/>
      <x:c r="O95" s="8"/>
      <x:c r="P95" s="8"/>
      <x:c r="Q95" s="8"/>
      <x:c r="R95" s="8"/>
    </x:row>
    <x:row r="96">
      <x:c r="A96" s="8"/>
      <x:c r="B96" s="8"/>
      <x:c r="C96" s="8"/>
      <x:c r="D96" s="8"/>
      <x:c r="E96" s="8"/>
      <x:c r="F96" s="8"/>
      <x:c r="G96" s="8"/>
      <x:c r="H96" s="8"/>
      <x:c r="I96" s="8"/>
      <x:c r="J96" s="8"/>
      <x:c r="K96" s="8"/>
      <x:c r="L96" s="8"/>
      <x:c r="M96" s="8"/>
      <x:c r="N96" s="8"/>
      <x:c r="O96" s="8"/>
      <x:c r="P96" s="8"/>
      <x:c r="Q96" s="8"/>
      <x:c r="R96" s="8" t="n">
        <x:v>1615</x:v>
      </x:c>
    </x:row>
    <x:row r="97">
      <x:c r="A97" s="8"/>
      <x:c r="B97" s="8"/>
      <x:c r="C97" s="8"/>
      <x:c r="D97" s="8"/>
      <x:c r="E97" s="8"/>
      <x:c r="F97" s="8"/>
      <x:c r="G97" s="8"/>
      <x:c r="H97" s="8"/>
      <x:c r="I97" s="8"/>
      <x:c r="J97" s="8"/>
      <x:c r="K97" s="8"/>
      <x:c r="L97" s="8"/>
      <x:c r="M97" s="8"/>
      <x:c r="N97" s="8"/>
      <x:c r="O97" s="8"/>
      <x:c r="P97" s="8"/>
      <x:c r="Q97" s="8"/>
      <x:c r="R97" s="8"/>
    </x:row>
    <x:row r="98">
      <x:c r="A98" s="8"/>
      <x:c r="B98" s="8"/>
      <x:c r="C98" s="8"/>
      <x:c r="D98" s="8"/>
      <x:c r="E98" s="8"/>
      <x:c r="F98" s="8"/>
      <x:c r="G98" s="8"/>
      <x:c r="H98" s="8"/>
      <x:c r="I98" s="8"/>
      <x:c r="J98" s="8"/>
      <x:c r="K98" s="8"/>
      <x:c r="L98" s="8"/>
      <x:c r="M98" s="8"/>
      <x:c r="N98" s="8"/>
      <x:c r="O98" s="8"/>
      <x:c r="P98" s="8"/>
      <x:c r="Q98" s="8"/>
      <x:c r="R98" s="8"/>
    </x:row>
    <x:row r="99">
      <x:c r="A99" s="8" t="str">
        <x:v>anchor-98</x:v>
      </x:c>
      <x:c r="B99" s="8"/>
      <x:c r="C99" s="8"/>
      <x:c r="D99" s="8"/>
      <x:c r="E99" s="8"/>
      <x:c r="F99" s="8"/>
      <x:c r="G99" s="8"/>
      <x:c r="H99" s="8"/>
      <x:c r="I99" s="8"/>
      <x:c r="J99" s="8"/>
      <x:c r="K99" s="8"/>
      <x:c r="L99" s="8"/>
      <x:c r="M99" s="8"/>
      <x:c r="N99" s="8"/>
      <x:c r="O99" s="8"/>
      <x:c r="P99" s="8"/>
      <x:c r="Q99" s="8"/>
      <x:c r="R99" s="8"/>
    </x:row>
    <x:row r="100">
      <x:c r="A100" s="8"/>
      <x:c r="B100" s="8"/>
      <x:c r="C100" s="8"/>
      <x:c r="D100" s="8"/>
      <x:c r="E100" s="8"/>
      <x:c r="F100" s="8" t="str">
        <x:v>The bridge callback is stable for small payloads, but large JSON messages show visible delay during navigation.</x:v>
      </x:c>
      <x:c r="G100" s="8"/>
      <x:c r="H100" s="8"/>
      <x:c r="I100" s="8"/>
      <x:c r="J100" s="8"/>
      <x:c r="K100" s="8"/>
      <x:c r="L100" s="8"/>
      <x:c r="M100" s="8"/>
      <x:c r="N100" s="8"/>
      <x:c r="O100" s="8"/>
      <x:c r="P100" s="8"/>
      <x:c r="Q100" s="8"/>
      <x:c r="R100" s="8"/>
    </x:row>
    <x:row r="101">
      <x:c r="A101" s="8"/>
      <x:c r="B101" s="8"/>
      <x:c r="C101" s="8"/>
      <x:c r="D101" s="8"/>
      <x:c r="E101" s="8"/>
      <x:c r="F101" s="8"/>
      <x:c r="G101" s="8"/>
      <x:c r="H101" s="8"/>
      <x:c r="I101" s="8"/>
      <x:c r="J101" s="8"/>
      <x:c r="K101" s="8"/>
      <x:c r="L101" s="8"/>
      <x:c r="M101" s="8"/>
      <x:c r="N101" s="8"/>
      <x:c r="O101" s="8"/>
      <x:c r="P101" s="8"/>
      <x:c r="Q101" s="8"/>
      <x:c r="R101" s="8"/>
    </x:row>
    <x:row r="102">
      <x:c r="A102" s="8"/>
      <x:c r="B102" s="8"/>
      <x:c r="C102" s="8"/>
      <x:c r="D102" s="8"/>
      <x:c r="E102" s="8"/>
      <x:c r="F102" s="8"/>
      <x:c r="G102" s="8"/>
      <x:c r="H102" s="8"/>
      <x:c r="I102" s="8"/>
      <x:c r="J102" s="8"/>
      <x:c r="K102" s="8"/>
      <x:c r="L102" s="8"/>
      <x:c r="M102" s="8"/>
      <x:c r="N102" s="8"/>
      <x:c r="O102" s="8"/>
      <x:c r="P102" s="8"/>
      <x:c r="Q102" s="8"/>
      <x:c r="R102" s="8"/>
    </x:row>
    <x:row r="103">
      <x:c r="A103" s="8"/>
      <x:c r="B103" s="8"/>
      <x:c r="C103" s="8"/>
      <x:c r="D103" s="8"/>
      <x:c r="E103" s="8"/>
      <x:c r="F103" s="8"/>
      <x:c r="G103" s="8"/>
      <x:c r="H103" s="8"/>
      <x:c r="I103" s="8"/>
      <x:c r="J103" s="8"/>
      <x:c r="K103" s="8"/>
      <x:c r="L103" s="8"/>
      <x:c r="M103" s="8"/>
      <x:c r="N103" s="8"/>
      <x:c r="O103" s="8" t="str">
        <x:v>https://learn.microsoft.com/en-us/microsoft-edge/webview2/concepts/security</x:v>
      </x:c>
      <x:c r="P103" s="8"/>
      <x:c r="Q103" s="8"/>
      <x:c r="R103" s="8"/>
    </x:row>
    <x:row r="104">
      <x:c r="A104" s="8"/>
      <x:c r="B104" s="8"/>
      <x:c r="C104" s="8"/>
      <x:c r="D104" s="8"/>
      <x:c r="E104" s="8"/>
      <x:c r="F104" s="8"/>
      <x:c r="G104" s="8"/>
      <x:c r="H104" s="8"/>
      <x:c r="I104" s="8"/>
      <x:c r="J104" s="8"/>
      <x:c r="K104" s="8"/>
      <x:c r="L104" s="8"/>
      <x:c r="M104" s="8"/>
      <x:c r="N104" s="8"/>
      <x:c r="O104" s="8"/>
      <x:c r="P104" s="8"/>
      <x:c r="Q104" s="8"/>
      <x:c r="R104" s="8"/>
    </x:row>
    <x:row r="105">
      <x:c r="A105" s="8"/>
      <x:c r="B105" s="8"/>
      <x:c r="C105" s="8"/>
      <x:c r="D105" s="8"/>
      <x:c r="E105" s="8"/>
      <x:c r="F105" s="8"/>
      <x:c r="G105" s="8"/>
      <x:c r="H105" s="8"/>
      <x:c r="I105" s="8"/>
      <x:c r="J105" s="8"/>
      <x:c r="K105" s="8"/>
      <x:c r="L105" s="8"/>
      <x:c r="M105" s="8"/>
      <x:c r="N105" s="8"/>
      <x:c r="O105" s="8"/>
      <x:c r="P105" s="8"/>
      <x:c r="Q105" s="8"/>
      <x:c r="R105" s="8"/>
    </x:row>
    <x:row r="106">
      <x:c r="A106" s="8" t="str">
        <x:v>anchor-105</x:v>
      </x:c>
      <x:c r="B106" s="8"/>
      <x:c r="C106" s="8"/>
      <x:c r="D106" s="8"/>
      <x:c r="E106" s="8"/>
      <x:c r="F106" s="8"/>
      <x:c r="G106" s="8"/>
      <x:c r="H106" s="8"/>
      <x:c r="I106" s="8"/>
      <x:c r="J106" s="8"/>
      <x:c r="K106" s="8"/>
      <x:c r="L106" s="8"/>
      <x:c r="M106" s="8"/>
      <x:c r="N106" s="8"/>
      <x:c r="O106" s="8"/>
      <x:c r="P106" s="8"/>
      <x:c r="Q106" s="8"/>
      <x:c r="R106" s="8"/>
    </x:row>
    <x:row r="107">
      <x:c r="A107" s="8"/>
      <x:c r="B107" s="8"/>
      <x:c r="C107" s="8"/>
      <x:c r="D107" s="8"/>
      <x:c r="E107" s="8"/>
      <x:c r="F107" s="8"/>
      <x:c r="G107" s="8"/>
      <x:c r="H107" s="8"/>
      <x:c r="I107" s="8"/>
      <x:c r="J107" s="8"/>
      <x:c r="K107" s="8"/>
      <x:c r="L107" s="8"/>
      <x:c r="M107" s="8"/>
      <x:c r="N107" s="8"/>
      <x:c r="O107" s="8"/>
      <x:c r="P107" s="8"/>
      <x:c r="Q107" s="8"/>
      <x:c r="R107" s="8"/>
    </x:row>
    <x:row r="108">
      <x:c r="A108" s="8"/>
      <x:c r="B108" s="8"/>
      <x:c r="C108" s="8"/>
      <x:c r="D108" s="8"/>
      <x:c r="E108" s="8"/>
      <x:c r="F108" s="8"/>
      <x:c r="G108" s="8"/>
      <x:c r="H108" s="8"/>
      <x:c r="I108" s="8"/>
      <x:c r="J108" s="8"/>
      <x:c r="K108" s="8"/>
      <x:c r="L108" s="8"/>
      <x:c r="M108" s="8"/>
      <x:c r="N108" s="8"/>
      <x:c r="O108" s="8"/>
      <x:c r="P108" s="8"/>
      <x:c r="Q108" s="8"/>
      <x:c r="R108" s="8"/>
    </x:row>
    <x:row r="109">
      <x:c r="A109" s="8"/>
      <x:c r="B109" s="8"/>
      <x:c r="C109" s="8"/>
      <x:c r="D109" s="8"/>
      <x:c r="E109" s="8"/>
      <x:c r="F109" s="8"/>
      <x:c r="G109" s="8"/>
      <x:c r="H109" s="8"/>
      <x:c r="I109" s="8"/>
      <x:c r="J109" s="8"/>
      <x:c r="K109" s="8"/>
      <x:c r="L109" s="8"/>
      <x:c r="M109" s="8"/>
      <x:c r="N109" s="8"/>
      <x:c r="O109" s="8"/>
      <x:c r="P109" s="8"/>
      <x:c r="Q109" s="8"/>
      <x:c r="R109" s="8"/>
    </x:row>
    <x:row r="110">
      <x:c r="A110" s="8"/>
      <x:c r="B110" s="8"/>
      <x:c r="C110" s="8"/>
      <x:c r="D110" s="8"/>
      <x:c r="E110" s="8"/>
      <x:c r="F110" s="8"/>
      <x:c r="G110" s="8"/>
      <x:c r="H110" s="8"/>
      <x:c r="I110" s="8"/>
      <x:c r="J110" s="8"/>
      <x:c r="K110" s="8"/>
      <x:c r="L110" s="8"/>
      <x:c r="M110" s="8"/>
      <x:c r="N110" s="8"/>
      <x:c r="O110" s="8"/>
      <x:c r="P110" s="8"/>
      <x:c r="Q110" s="8"/>
      <x:c r="R110" s="8"/>
    </x:row>
    <x:row r="111">
      <x:c r="A111" s="8"/>
      <x:c r="B111" s="8"/>
      <x:c r="C111" s="8"/>
      <x:c r="D111" s="8"/>
      <x:c r="E111" s="8"/>
      <x:c r="F111" s="8" t="str">
        <x:v>Observed in a local test run: the content rendered, but the console warning appeared twice.</x:v>
      </x:c>
      <x:c r="G111" s="8"/>
      <x:c r="H111" s="8"/>
      <x:c r="I111" s="8"/>
      <x:c r="J111" s="8"/>
      <x:c r="K111" s="8"/>
      <x:c r="L111" s="8"/>
      <x:c r="M111" s="8"/>
      <x:c r="N111" s="8"/>
      <x:c r="O111" s="8"/>
      <x:c r="P111" s="8"/>
      <x:c r="Q111" s="8"/>
      <x:c r="R111" s="8"/>
    </x:row>
    <x:row r="112">
      <x:c r="A112" s="8"/>
      <x:c r="B112" s="8"/>
      <x:c r="C112" s="8"/>
      <x:c r="D112" s="8"/>
      <x:c r="E112" s="8"/>
      <x:c r="F112" s="8"/>
      <x:c r="G112" s="8"/>
      <x:c r="H112" s="8"/>
      <x:c r="I112" s="8"/>
      <x:c r="J112" s="8"/>
      <x:c r="K112" s="8"/>
      <x:c r="L112" s="8"/>
      <x:c r="M112" s="8"/>
      <x:c r="N112" s="8"/>
      <x:c r="O112" s="8"/>
      <x:c r="P112" s="8"/>
      <x:c r="Q112" s="8"/>
      <x:c r="R112" s="8"/>
    </x:row>
    <x:row r="113">
      <x:c r="A113" s="8" t="str">
        <x:v>anchor-112</x:v>
      </x:c>
      <x:c r="B113" s="8"/>
      <x:c r="C113" s="8"/>
      <x:c r="D113" s="8"/>
      <x:c r="E113" s="8"/>
      <x:c r="F113" s="8"/>
      <x:c r="G113" s="8"/>
      <x:c r="H113" s="8"/>
      <x:c r="I113" s="8"/>
      <x:c r="J113" s="8"/>
      <x:c r="K113" s="8"/>
      <x:c r="L113" s="8"/>
      <x:c r="M113" s="8"/>
      <x:c r="N113" s="8"/>
      <x:c r="O113" s="8"/>
      <x:c r="P113" s="8"/>
      <x:c r="Q113" s="8"/>
      <x:c r="R113" s="8"/>
    </x:row>
    <x:row r="114">
      <x:c r="A114" s="8"/>
      <x:c r="B114" s="8"/>
      <x:c r="C114" s="8"/>
      <x:c r="D114" s="8"/>
      <x:c r="E114" s="8"/>
      <x:c r="F114" s="8"/>
      <x:c r="G114" s="8"/>
      <x:c r="H114" s="8"/>
      <x:c r="I114" s="8"/>
      <x:c r="J114" s="8"/>
      <x:c r="K114" s="8"/>
      <x:c r="L114" s="8"/>
      <x:c r="M114" s="8"/>
      <x:c r="N114" s="8"/>
      <x:c r="O114" s="8"/>
      <x:c r="P114" s="8"/>
      <x:c r="Q114" s="8"/>
      <x:c r="R114" s="8"/>
    </x:row>
    <x:row r="115">
      <x:c r="A115" s="8"/>
      <x:c r="B115" s="8"/>
      <x:c r="C115" s="8"/>
      <x:c r="D115" s="8"/>
      <x:c r="E115" s="8"/>
      <x:c r="F115" s="8"/>
      <x:c r="G115" s="8"/>
      <x:c r="H115" s="8"/>
      <x:c r="I115" s="8"/>
      <x:c r="J115" s="8"/>
      <x:c r="K115" s="8"/>
      <x:c r="L115" s="8"/>
      <x:c r="M115" s="8"/>
      <x:c r="N115" s="8"/>
      <x:c r="O115" s="8"/>
      <x:c r="P115" s="8"/>
      <x:c r="Q115" s="8"/>
      <x:c r="R115" s="8" t="n">
        <x:v>1938</x:v>
      </x:c>
    </x:row>
    <x:row r="116">
      <x:c r="A116" s="8"/>
      <x:c r="B116" s="8"/>
      <x:c r="C116" s="8"/>
      <x:c r="D116" s="8"/>
      <x:c r="E116" s="8"/>
      <x:c r="F116" s="8"/>
      <x:c r="G116" s="8"/>
      <x:c r="H116" s="8"/>
      <x:c r="I116" s="8"/>
      <x:c r="J116" s="8"/>
      <x:c r="K116" s="8"/>
      <x:c r="L116" s="8"/>
      <x:c r="M116" s="8"/>
      <x:c r="N116" s="8"/>
      <x:c r="O116" s="8"/>
      <x:c r="P116" s="8"/>
      <x:c r="Q116" s="8"/>
      <x:c r="R116" s="8"/>
    </x:row>
    <x:row r="117">
      <x:c r="A117" s="8"/>
      <x:c r="B117" s="8"/>
      <x:c r="C117" s="8"/>
      <x:c r="D117" s="8"/>
      <x:c r="E117" s="8"/>
      <x:c r="F117" s="8"/>
      <x:c r="G117" s="8"/>
      <x:c r="H117" s="8"/>
      <x:c r="I117" s="8"/>
      <x:c r="J117" s="8"/>
      <x:c r="K117" s="8"/>
      <x:c r="L117" s="8"/>
      <x:c r="M117" s="8"/>
      <x:c r="N117" s="8"/>
      <x:c r="O117" s="8"/>
      <x:c r="P117" s="8"/>
      <x:c r="Q117" s="8"/>
      <x:c r="R117" s="8"/>
    </x:row>
    <x:row r="118">
      <x:c r="A118" s="8"/>
      <x:c r="B118" s="8"/>
      <x:c r="C118" s="8"/>
      <x:c r="D118" s="8"/>
      <x:c r="E118" s="8"/>
      <x:c r="F118" s="8"/>
      <x:c r="G118" s="8"/>
      <x:c r="H118" s="8"/>
      <x:c r="I118" s="8"/>
      <x:c r="J118" s="8"/>
      <x:c r="K118" s="8"/>
      <x:c r="L118" s="8"/>
      <x:c r="M118" s="8"/>
      <x:c r="N118" s="8"/>
      <x:c r="O118" s="8"/>
      <x:c r="P118" s="8"/>
      <x:c r="Q118" s="8"/>
      <x:c r="R118" s="8"/>
    </x:row>
    <x:row r="119">
      <x:c r="A119" s="8"/>
      <x:c r="B119" s="8"/>
      <x:c r="C119" s="8"/>
      <x:c r="D119" s="8"/>
      <x:c r="E119" s="8"/>
      <x:c r="F119" s="8"/>
      <x:c r="G119" s="8"/>
      <x:c r="H119" s="8"/>
      <x:c r="I119" s="8"/>
      <x:c r="J119" s="8"/>
      <x:c r="K119" s="8"/>
      <x:c r="L119" s="8"/>
      <x:c r="M119" s="8"/>
      <x:c r="N119" s="8"/>
      <x:c r="O119" s="8"/>
      <x:c r="P119" s="8"/>
      <x:c r="Q119" s="8"/>
      <x:c r="R119" s="8"/>
    </x:row>
    <x:row r="120">
      <x:c r="A120" s="8" t="str">
        <x:v>anchor-119</x:v>
      </x:c>
      <x:c r="B120" s="8"/>
      <x:c r="C120" s="8"/>
      <x:c r="D120" s="8"/>
      <x:c r="E120" s="8"/>
      <x:c r="F120" s="8"/>
      <x:c r="G120" s="8"/>
      <x:c r="H120" s="8"/>
      <x:c r="I120" s="8"/>
      <x:c r="J120" s="8"/>
      <x:c r="K120" s="8"/>
      <x:c r="L120" s="8"/>
      <x:c r="M120" s="8"/>
      <x:c r="N120" s="8"/>
      <x:c r="O120" s="8" t="str">
        <x:v>https://github.com/react-native-webview/react-native-webview</x:v>
      </x:c>
      <x:c r="P120" s="8"/>
      <x:c r="Q120" s="8"/>
      <x:c r="R120" s="8"/>
    </x:row>
  </x:sheetData>
  <x:pageMargins left="0.7" right="0.7" top="0.75" bottom="0.75" header="0.3" footer="0.3"/>
</x:worksheet>
</file>

<file path=xl/worksheets/sheet13.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8" hidden="0" customWidth="1"/>
    <x:col min="6" max="6" width="50" hidden="0" customWidth="1"/>
    <x:col min="7" max="7" width="42" hidden="0" customWidth="1"/>
  </x:cols>
  <x:sheetData>
    <x:row r="1">
      <x:c r="A1" s="7" t="str">
        <x:v>Calculation and merged cells</x:v>
      </x:c>
      <x:c r="B1" s="7"/>
      <x:c r="C1" s="7"/>
      <x:c r="D1" s="7"/>
      <x:c r="E1" s="7"/>
      <x:c r="F1" s="7"/>
      <x:c r="G1" s="7"/>
    </x:row>
    <x:row r="2">
      <x:c r="A2" s="4" t="str">
        <x:v>Input A</x:v>
      </x:c>
      <x:c r="B2" s="4" t="str">
        <x:v>Input B</x:v>
      </x:c>
      <x:c r="C2" s="4" t="str">
        <x:v>Total</x:v>
      </x:c>
      <x:c r="D2" s="4" t="str">
        <x:v>Ratio</x:v>
      </x:c>
      <x:c r="E2" s="4" t="str">
        <x:v>Status</x:v>
      </x:c>
      <x:c r="F2" s="4" t="str">
        <x:v>Comment</x:v>
      </x:c>
      <x:c r="G2" s="4" t="str">
        <x:v>URL</x:v>
      </x:c>
    </x:row>
    <x:row r="3">
      <x:c r="A3" s="8" t="n">
        <x:v>1</x:v>
      </x:c>
      <x:c r="B3" s="8" t="n">
        <x:v>6</x:v>
      </x:c>
      <x:c r="C3" s="8" t="n">
        <x:f>A3+B3</x:f>
        <x:v>7</x:v>
      </x:c>
      <x:c r="D3" s="14" t="n">
        <x:f>C3/A3</x:f>
        <x:v>7</x:v>
      </x:c>
      <x:c r="E3" s="8" t="str">
        <x:f>IF(D3&gt;4,"high","normal")</x:f>
        <x:v>high</x:v>
      </x:c>
      <x:c r="F3" s="8" t="str">
        <x:v>The bridge callback is stable for small payloads, but large JSON messages show visible delay during navigation.</x:v>
      </x:c>
      <x:c r="G3" s="8"/>
    </x:row>
    <x:row r="4">
      <x:c r="A4" s="8" t="n">
        <x:v>2</x:v>
      </x:c>
      <x:c r="B4" s="8" t="n">
        <x:v>8</x:v>
      </x:c>
      <x:c r="C4" s="8" t="n">
        <x:f>A4+B4</x:f>
        <x:v>10</x:v>
      </x:c>
      <x:c r="D4" s="14" t="n">
        <x:f>C4/A4</x:f>
        <x:v>5</x:v>
      </x:c>
      <x:c r="E4" s="8" t="str">
        <x:f>IF(D4&gt;4,"high","normal")</x:f>
        <x:v>high</x:v>
      </x:c>
      <x:c r="F4" s="8"/>
      <x:c r="G4" s="8" t="str">
        <x:v>https://github.com/react-native-webview/react-native-webview</x:v>
      </x:c>
    </x:row>
    <x:row r="5">
      <x:c r="A5" s="8" t="n">
        <x:v>3</x:v>
      </x:c>
      <x:c r="B5" s="8" t="n">
        <x:v>10</x:v>
      </x:c>
      <x:c r="C5" s="8" t="n">
        <x:f>A5+B5</x:f>
        <x:v>13</x:v>
      </x:c>
      <x:c r="D5" s="14" t="n">
        <x:f>C5/A5</x:f>
        <x:v>4.333333333333333</x:v>
      </x:c>
      <x:c r="E5" s="8" t="str">
        <x:f>IF(D5&gt;4,"high","normal")</x:f>
        <x:v>high</x:v>
      </x:c>
      <x:c r="F5" s="8" t="str">
        <x:v>This sentence is long enough to exercise wrapping and downstream chunk boundaries in Markdown output.</x:v>
      </x:c>
      <x:c r="G5" s="8" t="str">
        <x:v>https://developer.apple.com/documentation/webkit/wkwebview</x:v>
      </x:c>
    </x:row>
    <x:row r="6">
      <x:c r="A6" s="8" t="n">
        <x:v>4</x:v>
      </x:c>
      <x:c r="B6" s="8" t="n">
        <x:v>12</x:v>
      </x:c>
      <x:c r="C6" s="8" t="n">
        <x:f>A6+B6</x:f>
        <x:v>16</x:v>
      </x:c>
      <x:c r="D6" s="14" t="n">
        <x:f>C6/A6</x:f>
        <x:v>4</x:v>
      </x:c>
      <x:c r="E6" s="8" t="str">
        <x:f>IF(D6&gt;4,"high","normal")</x:f>
        <x:v>normal</x:v>
      </x:c>
      <x:c r="F6" s="8" t="str">
        <x:v>A blank cell here is intentional. The source workbook has notes placed away from the nearest table.</x:v>
      </x:c>
      <x:c r="G6" s="8" t="str">
        <x:v>https://github.com/react-native-webview/react-native-webview</x:v>
      </x:c>
    </x:row>
    <x:row r="7">
      <x:c r="A7" s="8" t="n">
        <x:v>5</x:v>
      </x:c>
      <x:c r="B7" s="8" t="n">
        <x:v>14</x:v>
      </x:c>
      <x:c r="C7" s="8" t="n">
        <x:f>A7+B7</x:f>
        <x:v>19</x:v>
      </x:c>
      <x:c r="D7" s="14" t="n">
        <x:f>C7/A7</x:f>
        <x:v>3.8</x:v>
      </x:c>
      <x:c r="E7" s="8" t="str">
        <x:f>IF(D7&gt;4,"high","normal")</x:f>
        <x:v>normal</x:v>
      </x:c>
      <x:c r="F7" s="8" t="str">
        <x:v>Follow-up: compare the result when the network security policy is relaxed versus when it is enforced.</x:v>
      </x:c>
      <x:c r="G7" s="8"/>
    </x:row>
    <x:row r="8">
      <x:c r="A8" s="8" t="n">
        <x:v>6</x:v>
      </x:c>
      <x:c r="B8" s="8" t="n">
        <x:v>16</x:v>
      </x:c>
      <x:c r="C8" s="8" t="n">
        <x:f>A8+B8</x:f>
        <x:v>22</x:v>
      </x:c>
      <x:c r="D8" s="14" t="n">
        <x:f>C8/A8</x:f>
        <x:v>3.6666666666666665</x:v>
      </x:c>
      <x:c r="E8" s="8" t="str">
        <x:f>IF(D8&gt;4,"high","normal")</x:f>
        <x:v>normal</x:v>
      </x:c>
      <x:c r="F8" s="8"/>
      <x:c r="G8" s="8"/>
    </x:row>
    <x:row r="9">
      <x:c r="A9" s="8" t="n">
        <x:v>7</x:v>
      </x:c>
      <x:c r="B9" s="8" t="n">
        <x:v>18</x:v>
      </x:c>
      <x:c r="C9" s="8" t="n">
        <x:f>A9+B9</x:f>
        <x:v>25</x:v>
      </x:c>
      <x:c r="D9" s="14" t="n">
        <x:f>C9/A9</x:f>
        <x:v>3.5714285714285716</x:v>
      </x:c>
      <x:c r="E9" s="8" t="str">
        <x:f>IF(D9&gt;4,"high","normal")</x:f>
        <x:v>normal</x:v>
      </x:c>
      <x:c r="F9" s="8"/>
      <x:c r="G9" s="8"/>
    </x:row>
    <x:row r="10">
      <x:c r="A10" s="8" t="n">
        <x:v>8</x:v>
      </x:c>
      <x:c r="B10" s="8" t="n">
        <x:v>20</x:v>
      </x:c>
      <x:c r="C10" s="8" t="n">
        <x:f>A10+B10</x:f>
        <x:v>28</x:v>
      </x:c>
      <x:c r="D10" s="14" t="n">
        <x:f>C10/A10</x:f>
        <x:v>3.5</x:v>
      </x:c>
      <x:c r="E10" s="8" t="str">
        <x:f>IF(D10&gt;4,"high","normal")</x:f>
        <x:v>normal</x:v>
      </x:c>
      <x:c r="F10" s="8" t="str">
        <x:v>The bridge callback is stable for small payloads, but large JSON messages show visible delay during navigation.</x:v>
      </x:c>
      <x:c r="G10" s="8" t="str">
        <x:v>https://github.com/react-native-webview/react-native-webview</x:v>
      </x:c>
    </x:row>
    <x:row r="11">
      <x:c r="A11" s="8" t="n">
        <x:v>9</x:v>
      </x:c>
      <x:c r="B11" s="8" t="n">
        <x:v>22</x:v>
      </x:c>
      <x:c r="C11" s="8" t="n">
        <x:f>A11+B11</x:f>
        <x:v>31</x:v>
      </x:c>
      <x:c r="D11" s="14" t="n">
        <x:f>C11/A11</x:f>
        <x:v>3.4444444444444446</x:v>
      </x:c>
      <x:c r="E11" s="8" t="str">
        <x:f>IF(D11&gt;4,"high","normal")</x:f>
        <x:v>normal</x:v>
      </x:c>
      <x:c r="F11" s="8" t="str">
        <x:v>Potential duplicate: this paragraph is repeated in another section to test deduplication and chunk metadata.</x:v>
      </x:c>
      <x:c r="G11" s="8"/>
    </x:row>
    <x:row r="12">
      <x:c r="A12" s="8" t="n">
        <x:v>10</x:v>
      </x:c>
      <x:c r="B12" s="8" t="n">
        <x:v>24</x:v>
      </x:c>
      <x:c r="C12" s="8" t="n">
        <x:f>A12+B12</x:f>
        <x:v>34</x:v>
      </x:c>
      <x:c r="D12" s="14" t="n">
        <x:f>C12/A12</x:f>
        <x:v>3.4</x:v>
      </x:c>
      <x:c r="E12" s="8" t="str">
        <x:f>IF(D12&gt;4,"high","normal")</x:f>
        <x:v>normal</x:v>
      </x:c>
      <x:c r="F12" s="8" t="str">
        <x:v>Observed in a local test run: the content rendered, but the console warning appeared twice.</x:v>
      </x:c>
      <x:c r="G12" s="8" t="str">
        <x:v>https://developer.microsoft.com/en-us/microsoft-edge/webview2/</x:v>
      </x:c>
    </x:row>
    <x:row r="13">
      <x:c r="A13" s="8" t="n">
        <x:v>11</x:v>
      </x:c>
      <x:c r="B13" s="8" t="n">
        <x:v>26</x:v>
      </x:c>
      <x:c r="C13" s="8" t="n">
        <x:f>A13+B13</x:f>
        <x:v>37</x:v>
      </x:c>
      <x:c r="D13" s="14" t="n">
        <x:f>C13/A13</x:f>
        <x:v>3.3636363636363638</x:v>
      </x:c>
      <x:c r="E13" s="8" t="str">
        <x:f>IF(D13&gt;4,"high","normal")</x:f>
        <x:v>normal</x:v>
      </x:c>
      <x:c r="F13" s="8" t="str">
        <x:v>The owner field was not captured in the original notes, so classification should remain conservative.</x:v>
      </x:c>
      <x:c r="G13" s="8" t="str">
        <x:v>https://learn.microsoft.com/en-us/microsoft-edge/webview2/concepts/security</x:v>
      </x:c>
    </x:row>
    <x:row r="14">
      <x:c r="A14" s="8" t="n">
        <x:v>12</x:v>
      </x:c>
      <x:c r="B14" s="8" t="n">
        <x:v>28</x:v>
      </x:c>
      <x:c r="C14" s="8" t="n">
        <x:f>A14+B14</x:f>
        <x:v>40</x:v>
      </x:c>
      <x:c r="D14" s="14" t="n">
        <x:f>C14/A14</x:f>
        <x:v>3.3333333333333335</x:v>
      </x:c>
      <x:c r="E14" s="8" t="str">
        <x:f>IF(D14&gt;4,"high","normal")</x:f>
        <x:v>normal</x:v>
      </x:c>
      <x:c r="F14" s="8" t="str">
        <x:v>The owner field was not captured in the original notes, so classification should remain conservative.</x:v>
      </x:c>
      <x:c r="G14" s="8" t="str">
        <x:v>https://developer.microsoft.com/en-us/microsoft-edge/webview2/</x:v>
      </x:c>
    </x:row>
    <x:row r="15">
      <x:c r="A15" s="8" t="n">
        <x:v>13</x:v>
      </x:c>
      <x:c r="B15" s="8" t="n">
        <x:v>30</x:v>
      </x:c>
      <x:c r="C15" s="8" t="n">
        <x:f>A15+B15</x:f>
        <x:v>43</x:v>
      </x:c>
      <x:c r="D15" s="14" t="n">
        <x:f>C15/A15</x:f>
        <x:v>3.3076923076923075</x:v>
      </x:c>
      <x:c r="E15" s="8" t="str">
        <x:f>IF(D15&gt;4,"high","normal")</x:f>
        <x:v>normal</x:v>
      </x:c>
      <x:c r="F15" s="8" t="str">
        <x:v>Observed in a local test run: the content rendered, but the console warning appeared twice.</x:v>
      </x:c>
      <x:c r="G15" s="8" t="str">
        <x:v>https://github.com/react-native-webview/react-native-webview</x:v>
      </x:c>
    </x:row>
    <x:row r="16">
      <x:c r="A16" s="8" t="n">
        <x:v>14</x:v>
      </x:c>
      <x:c r="B16" s="8" t="n">
        <x:v>32</x:v>
      </x:c>
      <x:c r="C16" s="8" t="n">
        <x:f>A16+B16</x:f>
        <x:v>46</x:v>
      </x:c>
      <x:c r="D16" s="14" t="n">
        <x:f>C16/A16</x:f>
        <x:v>3.2857142857142856</x:v>
      </x:c>
      <x:c r="E16" s="8" t="str">
        <x:f>IF(D16&gt;4,"high","normal")</x:f>
        <x:v>normal</x:v>
      </x:c>
      <x:c r="F16" s="8" t="str">
        <x:v>The owner field was not captured in the original notes, so classification should remain conservative.</x:v>
      </x:c>
      <x:c r="G16" s="8"/>
    </x:row>
    <x:row r="17">
      <x:c r="A17" s="8" t="n">
        <x:v>15</x:v>
      </x:c>
      <x:c r="B17" s="8" t="n">
        <x:v>34</x:v>
      </x:c>
      <x:c r="C17" s="8" t="n">
        <x:f>A17+B17</x:f>
        <x:v>49</x:v>
      </x:c>
      <x:c r="D17" s="14" t="n">
        <x:f>C17/A17</x:f>
        <x:v>3.2666666666666666</x:v>
      </x:c>
      <x:c r="E17" s="8" t="str">
        <x:f>IF(D17&gt;4,"high","normal")</x:f>
        <x:v>normal</x:v>
      </x:c>
      <x:c r="F17" s="8" t="str">
        <x:v>Verify behavior on a cold start and after the page reloads without destroying the native view.</x:v>
      </x:c>
      <x:c r="G17" s="8"/>
    </x:row>
    <x:row r="18">
      <x:c r="A18" s="8" t="n">
        <x:v>16</x:v>
      </x:c>
      <x:c r="B18" s="8" t="n">
        <x:v>36</x:v>
      </x:c>
      <x:c r="C18" s="8" t="n">
        <x:f>A18+B18</x:f>
        <x:v>52</x:v>
      </x:c>
      <x:c r="D18" s="14" t="n">
        <x:f>C18/A18</x:f>
        <x:v>3.25</x:v>
      </x:c>
      <x:c r="E18" s="8" t="str">
        <x:f>IF(D18&gt;4,"high","normal")</x:f>
        <x:v>normal</x:v>
      </x:c>
      <x:c r="F18" s="8"/>
      <x:c r="G18" s="8"/>
    </x:row>
    <x:row r="19">
      <x:c r="A19" s="8" t="n">
        <x:v>17</x:v>
      </x:c>
      <x:c r="B19" s="8" t="n">
        <x:v>38</x:v>
      </x:c>
      <x:c r="C19" s="8" t="n">
        <x:f>A19+B19</x:f>
        <x:v>55</x:v>
      </x:c>
      <x:c r="D19" s="14" t="n">
        <x:f>C19/A19</x:f>
        <x:v>3.235294117647059</x:v>
      </x:c>
      <x:c r="E19" s="8" t="str">
        <x:f>IF(D19&gt;4,"high","normal")</x:f>
        <x:v>normal</x:v>
      </x:c>
      <x:c r="F19" s="8"/>
      <x:c r="G19" s="8"/>
    </x:row>
    <x:row r="20">
      <x:c r="A20" s="8" t="n">
        <x:v>18</x:v>
      </x:c>
      <x:c r="B20" s="8" t="n">
        <x:v>40</x:v>
      </x:c>
      <x:c r="C20" s="8" t="n">
        <x:f>A20+B20</x:f>
        <x:v>58</x:v>
      </x:c>
      <x:c r="D20" s="14" t="n">
        <x:f>C20/A20</x:f>
        <x:v>3.2222222222222223</x:v>
      </x:c>
      <x:c r="E20" s="8" t="str">
        <x:f>IF(D20&gt;4,"high","normal")</x:f>
        <x:v>normal</x:v>
      </x:c>
      <x:c r="F20" s="8" t="str">
        <x:v>Observed in a local test run: the content rendered, but the console warning appeared twice.</x:v>
      </x:c>
      <x:c r="G20" s="8" t="str">
        <x:v>https://github.com/react-native-webview/react-native-webview</x:v>
      </x:c>
    </x:row>
    <x:row r="21">
      <x:c r="A21" s="8" t="n">
        <x:v>19</x:v>
      </x:c>
      <x:c r="B21" s="8" t="n">
        <x:v>42</x:v>
      </x:c>
      <x:c r="C21" s="8" t="n">
        <x:f>A21+B21</x:f>
        <x:v>61</x:v>
      </x:c>
      <x:c r="D21" s="14" t="n">
        <x:f>C21/A21</x:f>
        <x:v>3.210526315789474</x:v>
      </x:c>
      <x:c r="E21" s="8" t="str">
        <x:f>IF(D21&gt;4,"high","normal")</x:f>
        <x:v>normal</x:v>
      </x:c>
      <x:c r="F21" s="8" t="str">
        <x:v>The bridge callback is stable for small payloads, but large JSON messages show visible delay during navigation.</x:v>
      </x:c>
      <x:c r="G21" s="8" t="str">
        <x:v>https://github.com/react-native-webview/react-native-webview</x:v>
      </x:c>
    </x:row>
    <x:row r="22">
      <x:c r="A22" s="8" t="n">
        <x:v>20</x:v>
      </x:c>
      <x:c r="B22" s="8" t="n">
        <x:v>44</x:v>
      </x:c>
      <x:c r="C22" s="8" t="n">
        <x:f>A22+B22</x:f>
        <x:v>64</x:v>
      </x:c>
      <x:c r="D22" s="14" t="n">
        <x:f>C22/A22</x:f>
        <x:v>3.2</x:v>
      </x:c>
      <x:c r="E22" s="8" t="str">
        <x:f>IF(D22&gt;4,"high","normal")</x:f>
        <x:v>normal</x:v>
      </x:c>
      <x:c r="F22" s="8" t="str">
        <x:v>Observed in a local test run: the content rendered, but the console warning appeared twice.</x:v>
      </x:c>
      <x:c r="G22" s="8"/>
    </x:row>
    <x:row r="23">
      <x:c r="A23" s="8" t="n">
        <x:v>21</x:v>
      </x:c>
      <x:c r="B23" s="8" t="n">
        <x:v>46</x:v>
      </x:c>
      <x:c r="C23" s="8" t="n">
        <x:f>A23+B23</x:f>
        <x:v>67</x:v>
      </x:c>
      <x:c r="D23" s="14" t="n">
        <x:f>C23/A23</x:f>
        <x:v>3.1904761904761907</x:v>
      </x:c>
      <x:c r="E23" s="8" t="str">
        <x:f>IF(D23&gt;4,"high","normal")</x:f>
        <x:v>normal</x:v>
      </x:c>
      <x:c r="F23" s="8" t="str">
        <x:v>Verify behavior on a cold start and after the page reloads without destroying the native view.</x:v>
      </x:c>
      <x:c r="G23" s="8"/>
    </x:row>
    <x:row r="24">
      <x:c r="A24" s="8" t="n">
        <x:v>22</x:v>
      </x:c>
      <x:c r="B24" s="8" t="n">
        <x:v>48</x:v>
      </x:c>
      <x:c r="C24" s="8" t="n">
        <x:f>A24+B24</x:f>
        <x:v>70</x:v>
      </x:c>
      <x:c r="D24" s="14" t="n">
        <x:f>C24/A24</x:f>
        <x:v>3.1818181818181817</x:v>
      </x:c>
      <x:c r="E24" s="8" t="str">
        <x:f>IF(D24&gt;4,"high","normal")</x:f>
        <x:v>normal</x:v>
      </x:c>
      <x:c r="F24" s="8" t="str">
        <x:v>The bridge callback is stable for small payloads, but large JSON messages show visible delay during navigation.</x:v>
      </x:c>
      <x:c r="G24" s="8"/>
    </x:row>
    <x:row r="25">
      <x:c r="A25" s="8" t="n">
        <x:v>23</x:v>
      </x:c>
      <x:c r="B25" s="8" t="n">
        <x:v>50</x:v>
      </x:c>
      <x:c r="C25" s="8" t="n">
        <x:f>A25+B25</x:f>
        <x:v>73</x:v>
      </x:c>
      <x:c r="D25" s="14" t="n">
        <x:f>C25/A25</x:f>
        <x:v>3.1739130434782608</x:v>
      </x:c>
      <x:c r="E25" s="8" t="str">
        <x:f>IF(D25&gt;4,"high","normal")</x:f>
        <x:v>normal</x:v>
      </x:c>
      <x:c r="F25" s="8" t="str">
        <x:v>Observed in a local test run: the content rendered, but the console warning appeared twice.</x:v>
      </x:c>
      <x:c r="G25" s="8" t="str">
        <x:v>https://developer.android.com/reference/android/webkit/WebView</x:v>
      </x:c>
    </x:row>
    <x:row r="26">
      <x:c r="A26" s="8" t="n">
        <x:v>24</x:v>
      </x:c>
      <x:c r="B26" s="8" t="n">
        <x:v>52</x:v>
      </x:c>
      <x:c r="C26" s="8" t="n">
        <x:f>A26+B26</x:f>
        <x:v>76</x:v>
      </x:c>
      <x:c r="D26" s="14" t="n">
        <x:f>C26/A26</x:f>
        <x:v>3.1666666666666665</x:v>
      </x:c>
      <x:c r="E26" s="8" t="str">
        <x:f>IF(D26&gt;4,"high","normal")</x:f>
        <x:v>normal</x:v>
      </x:c>
      <x:c r="F26" s="8" t="str">
        <x:v>The bridge callback is stable for small payloads, but large JSON messages show visible delay during navigation.</x:v>
      </x:c>
      <x:c r="G26" s="8"/>
    </x:row>
    <x:row r="27">
      <x:c r="A27" s="8" t="n">
        <x:v>25</x:v>
      </x:c>
      <x:c r="B27" s="8" t="n">
        <x:v>54</x:v>
      </x:c>
      <x:c r="C27" s="8" t="n">
        <x:f>A27+B27</x:f>
        <x:v>79</x:v>
      </x:c>
      <x:c r="D27" s="14" t="n">
        <x:f>C27/A27</x:f>
        <x:v>3.16</x:v>
      </x:c>
      <x:c r="E27" s="8" t="str">
        <x:f>IF(D27&gt;4,"high","normal")</x:f>
        <x:v>normal</x:v>
      </x:c>
      <x:c r="F27" s="8"/>
      <x:c r="G27" s="8" t="str">
        <x:v>https://developer.apple.com/documentation/webkit/wkwebview</x:v>
      </x:c>
    </x:row>
    <x:row r="28">
      <x:c r="A28" s="8" t="n">
        <x:v>26</x:v>
      </x:c>
      <x:c r="B28" s="8" t="n">
        <x:v>56</x:v>
      </x:c>
      <x:c r="C28" s="8" t="n">
        <x:f>A28+B28</x:f>
        <x:v>82</x:v>
      </x:c>
      <x:c r="D28" s="14" t="n">
        <x:f>C28/A28</x:f>
        <x:v>3.1538461538461537</x:v>
      </x:c>
      <x:c r="E28" s="8" t="str">
        <x:f>IF(D28&gt;4,"high","normal")</x:f>
        <x:v>normal</x:v>
      </x:c>
      <x:c r="F28" s="8" t="str">
        <x:v>Potential duplicate: this paragraph is repeated in another section to test deduplication and chunk metadata.</x:v>
      </x:c>
      <x:c r="G28" s="8"/>
    </x:row>
    <x:row r="29">
      <x:c r="A29" s="8" t="n">
        <x:v>27</x:v>
      </x:c>
      <x:c r="B29" s="8" t="n">
        <x:v>58</x:v>
      </x:c>
      <x:c r="C29" s="8" t="n">
        <x:f>A29+B29</x:f>
        <x:v>85</x:v>
      </x:c>
      <x:c r="D29" s="14" t="n">
        <x:f>C29/A29</x:f>
        <x:v>3.1481481481481484</x:v>
      </x:c>
      <x:c r="E29" s="8" t="str">
        <x:f>IF(D29&gt;4,"high","normal")</x:f>
        <x:v>normal</x:v>
      </x:c>
      <x:c r="F29" s="8" t="str">
        <x:v>This sentence is long enough to exercise wrapping and downstream chunk boundaries in Markdown output.</x:v>
      </x:c>
      <x:c r="G29" s="8" t="str">
        <x:v>https://github.com/react-native-webview/react-native-webview</x:v>
      </x:c>
    </x:row>
    <x:row r="30">
      <x:c r="A30" s="8" t="n">
        <x:v>28</x:v>
      </x:c>
      <x:c r="B30" s="8" t="n">
        <x:v>60</x:v>
      </x:c>
      <x:c r="C30" s="8" t="n">
        <x:f>A30+B30</x:f>
        <x:v>88</x:v>
      </x:c>
      <x:c r="D30" s="14" t="n">
        <x:f>C30/A30</x:f>
        <x:v>3.142857142857143</x:v>
      </x:c>
      <x:c r="E30" s="8" t="str">
        <x:f>IF(D30&gt;4,"high","normal")</x:f>
        <x:v>normal</x:v>
      </x:c>
      <x:c r="F30" s="8"/>
      <x:c r="G30" s="8"/>
    </x:row>
    <x:row r="31">
      <x:c r="A31" s="8" t="n">
        <x:v>29</x:v>
      </x:c>
      <x:c r="B31" s="8" t="n">
        <x:v>62</x:v>
      </x:c>
      <x:c r="C31" s="8" t="n">
        <x:f>A31+B31</x:f>
        <x:v>91</x:v>
      </x:c>
      <x:c r="D31" s="14" t="n">
        <x:f>C31/A31</x:f>
        <x:v>3.1379310344827585</x:v>
      </x:c>
      <x:c r="E31" s="8" t="str">
        <x:f>IF(D31&gt;4,"high","normal")</x:f>
        <x:v>normal</x:v>
      </x:c>
      <x:c r="F31" s="8" t="str">
        <x:v>The bridge callback is stable for small payloads, but large JSON messages show visible delay during navigation.</x:v>
      </x:c>
      <x:c r="G31" s="8"/>
    </x:row>
    <x:row r="32">
      <x:c r="A32" s="8" t="n">
        <x:v>30</x:v>
      </x:c>
      <x:c r="B32" s="8" t="n">
        <x:v>64</x:v>
      </x:c>
      <x:c r="C32" s="8" t="n">
        <x:f>A32+B32</x:f>
        <x:v>94</x:v>
      </x:c>
      <x:c r="D32" s="14" t="n">
        <x:f>C32/A32</x:f>
        <x:v>3.1333333333333333</x:v>
      </x:c>
      <x:c r="E32" s="8" t="str">
        <x:f>IF(D32&gt;4,"high","normal")</x:f>
        <x:v>normal</x:v>
      </x:c>
      <x:c r="F32" s="8" t="str">
        <x:v>A blank cell here is intentional. The source workbook has notes placed away from the nearest table.</x:v>
      </x:c>
      <x:c r="G32" s="8" t="str">
        <x:v>https://developer.microsoft.com/en-us/microsoft-edge/webview2/</x:v>
      </x:c>
    </x:row>
    <x:row r="33">
      <x:c r="A33" s="8" t="n">
        <x:v>31</x:v>
      </x:c>
      <x:c r="B33" s="8" t="n">
        <x:v>66</x:v>
      </x:c>
      <x:c r="C33" s="8" t="n">
        <x:f>A33+B33</x:f>
        <x:v>97</x:v>
      </x:c>
      <x:c r="D33" s="14" t="n">
        <x:f>C33/A33</x:f>
        <x:v>3.129032258064516</x:v>
      </x:c>
      <x:c r="E33" s="8" t="str">
        <x:f>IF(D33&gt;4,"high","normal")</x:f>
        <x:v>normal</x:v>
      </x:c>
      <x:c r="F33" s="8" t="str">
        <x:v>This sentence is long enough to exercise wrapping and downstream chunk boundaries in Markdown output.</x:v>
      </x:c>
      <x:c r="G33" s="8"/>
    </x:row>
    <x:row r="34">
      <x:c r="A34" s="8" t="n">
        <x:v>32</x:v>
      </x:c>
      <x:c r="B34" s="8" t="n">
        <x:v>68</x:v>
      </x:c>
      <x:c r="C34" s="8" t="n">
        <x:f>A34+B34</x:f>
        <x:v>100</x:v>
      </x:c>
      <x:c r="D34" s="14" t="n">
        <x:f>C34/A34</x:f>
        <x:v>3.125</x:v>
      </x:c>
      <x:c r="E34" s="8" t="str">
        <x:f>IF(D34&gt;4,"high","normal")</x:f>
        <x:v>normal</x:v>
      </x:c>
      <x:c r="F34" s="8"/>
      <x:c r="G34" s="8" t="str">
        <x:v>https://developer.apple.com/documentation/webkit/wkwebview</x:v>
      </x:c>
    </x:row>
    <x:row r="35">
      <x:c r="A35" s="8" t="n">
        <x:v>33</x:v>
      </x:c>
      <x:c r="B35" s="8" t="n">
        <x:v>70</x:v>
      </x:c>
      <x:c r="C35" s="8" t="n">
        <x:f>A35+B35</x:f>
        <x:v>103</x:v>
      </x:c>
      <x:c r="D35" s="14" t="n">
        <x:f>C35/A35</x:f>
        <x:v>3.121212121212121</x:v>
      </x:c>
      <x:c r="E35" s="8" t="str">
        <x:f>IF(D35&gt;4,"high","normal")</x:f>
        <x:v>normal</x:v>
      </x:c>
      <x:c r="F35" s="8"/>
      <x:c r="G35" s="8"/>
    </x:row>
    <x:row r="36">
      <x:c r="A36" s="8" t="n">
        <x:v>34</x:v>
      </x:c>
      <x:c r="B36" s="8" t="n">
        <x:v>72</x:v>
      </x:c>
      <x:c r="C36" s="8" t="n">
        <x:f>A36+B36</x:f>
        <x:v>106</x:v>
      </x:c>
      <x:c r="D36" s="14" t="n">
        <x:f>C36/A36</x:f>
        <x:v>3.1176470588235294</x:v>
      </x:c>
      <x:c r="E36" s="8" t="str">
        <x:f>IF(D36&gt;4,"high","normal")</x:f>
        <x:v>normal</x:v>
      </x:c>
      <x:c r="F36" s="8"/>
      <x:c r="G36" s="8"/>
    </x:row>
    <x:row r="37">
      <x:c r="A37" s="8" t="n">
        <x:v>35</x:v>
      </x:c>
      <x:c r="B37" s="8" t="n">
        <x:v>74</x:v>
      </x:c>
      <x:c r="C37" s="8" t="n">
        <x:f>A37+B37</x:f>
        <x:v>109</x:v>
      </x:c>
      <x:c r="D37" s="14" t="n">
        <x:f>C37/A37</x:f>
        <x:v>3.1142857142857143</x:v>
      </x:c>
      <x:c r="E37" s="8" t="str">
        <x:f>IF(D37&gt;4,"high","normal")</x:f>
        <x:v>normal</x:v>
      </x:c>
      <x:c r="F37" s="8" t="str">
        <x:v>The owner field was not captured in the original notes, so classification should remain conservative.</x:v>
      </x:c>
      <x:c r="G37" s="8" t="str">
        <x:v>https://developer.microsoft.com/en-us/microsoft-edge/webview2/</x:v>
      </x:c>
    </x:row>
    <x:row r="38">
      <x:c r="A38" s="8" t="n">
        <x:v>36</x:v>
      </x:c>
      <x:c r="B38" s="8" t="n">
        <x:v>76</x:v>
      </x:c>
      <x:c r="C38" s="8" t="n">
        <x:f>A38+B38</x:f>
        <x:v>112</x:v>
      </x:c>
      <x:c r="D38" s="14" t="n">
        <x:f>C38/A38</x:f>
        <x:v>3.111111111111111</x:v>
      </x:c>
      <x:c r="E38" s="8" t="str">
        <x:f>IF(D38&gt;4,"high","normal")</x:f>
        <x:v>normal</x:v>
      </x:c>
      <x:c r="F38" s="8" t="str">
        <x:v>The bridge callback is stable for small payloads, but large JSON messages show visible delay during navigation.</x:v>
      </x:c>
      <x:c r="G38" s="8"/>
    </x:row>
    <x:row r="39">
      <x:c r="A39" s="8" t="n">
        <x:v>37</x:v>
      </x:c>
      <x:c r="B39" s="8" t="n">
        <x:v>78</x:v>
      </x:c>
      <x:c r="C39" s="8" t="n">
        <x:f>A39+B39</x:f>
        <x:v>115</x:v>
      </x:c>
      <x:c r="D39" s="14" t="n">
        <x:f>C39/A39</x:f>
        <x:v>3.108108108108108</x:v>
      </x:c>
      <x:c r="E39" s="8" t="str">
        <x:f>IF(D39&gt;4,"high","normal")</x:f>
        <x:v>normal</x:v>
      </x:c>
      <x:c r="F39" s="8" t="str">
        <x:v>Follow-up: compare the result when the network security policy is relaxed versus when it is enforced.</x:v>
      </x:c>
      <x:c r="G39" s="8" t="str">
        <x:v>https://developer.microsoft.com/en-us/microsoft-edge/webview2/</x:v>
      </x:c>
    </x:row>
    <x:row r="40">
      <x:c r="A40" s="8" t="n">
        <x:v>38</x:v>
      </x:c>
      <x:c r="B40" s="8" t="n">
        <x:v>80</x:v>
      </x:c>
      <x:c r="C40" s="8" t="n">
        <x:f>A40+B40</x:f>
        <x:v>118</x:v>
      </x:c>
      <x:c r="D40" s="14" t="n">
        <x:f>C40/A40</x:f>
        <x:v>3.1052631578947367</x:v>
      </x:c>
      <x:c r="E40" s="8" t="str">
        <x:f>IF(D40&gt;4,"high","normal")</x:f>
        <x:v>normal</x:v>
      </x:c>
      <x:c r="F40" s="8" t="str">
        <x:v>The owner field was not captured in the original notes, so classification should remain conservative.</x:v>
      </x:c>
      <x:c r="G40" s="8" t="str">
        <x:v>https://developer.microsoft.com/en-us/microsoft-edge/webview2/</x:v>
      </x:c>
    </x:row>
    <x:row r="41">
      <x:c r="A41" s="8" t="n">
        <x:v>39</x:v>
      </x:c>
      <x:c r="B41" s="8" t="n">
        <x:v>82</x:v>
      </x:c>
      <x:c r="C41" s="8" t="n">
        <x:f>A41+B41</x:f>
        <x:v>121</x:v>
      </x:c>
      <x:c r="D41" s="14" t="n">
        <x:f>C41/A41</x:f>
        <x:v>3.1025641025641026</x:v>
      </x:c>
      <x:c r="E41" s="8" t="str">
        <x:f>IF(D41&gt;4,"high","normal")</x:f>
        <x:v>normal</x:v>
      </x:c>
      <x:c r="F41" s="8"/>
      <x:c r="G41" s="8" t="str">
        <x:v>https://github.com/react-native-webview/react-native-webview</x:v>
      </x:c>
    </x:row>
    <x:row r="42">
      <x:c r="A42" s="8" t="n">
        <x:v>40</x:v>
      </x:c>
      <x:c r="B42" s="8" t="n">
        <x:v>84</x:v>
      </x:c>
      <x:c r="C42" s="8" t="n">
        <x:f>A42+B42</x:f>
        <x:v>124</x:v>
      </x:c>
      <x:c r="D42" s="14" t="n">
        <x:f>C42/A42</x:f>
        <x:v>3.1</x:v>
      </x:c>
      <x:c r="E42" s="8" t="str">
        <x:f>IF(D42&gt;4,"high","normal")</x:f>
        <x:v>normal</x:v>
      </x:c>
      <x:c r="F42" s="8"/>
      <x:c r="G42" s="8" t="str">
        <x:v>https://developer.apple.com/documentation/webkit/wkwebview</x:v>
      </x:c>
    </x:row>
    <x:row r="43">
      <x:c r="A43" s="8" t="n">
        <x:v>41</x:v>
      </x:c>
      <x:c r="B43" s="8" t="n">
        <x:v>86</x:v>
      </x:c>
      <x:c r="C43" s="8" t="n">
        <x:f>A43+B43</x:f>
        <x:v>127</x:v>
      </x:c>
      <x:c r="D43" s="14" t="n">
        <x:f>C43/A43</x:f>
        <x:v>3.097560975609756</x:v>
      </x:c>
      <x:c r="E43" s="8" t="str">
        <x:f>IF(D43&gt;4,"high","normal")</x:f>
        <x:v>normal</x:v>
      </x:c>
      <x:c r="F43" s="8" t="str">
        <x:v>Observed in a local test run: the content rendered, but the console warning appeared twice.</x:v>
      </x:c>
      <x:c r="G43" s="8" t="str">
        <x:v>https://learn.microsoft.com/en-us/microsoft-edge/webview2/concepts/security</x:v>
      </x:c>
    </x:row>
    <x:row r="44">
      <x:c r="A44" s="8" t="n">
        <x:v>42</x:v>
      </x:c>
      <x:c r="B44" s="8" t="n">
        <x:v>88</x:v>
      </x:c>
      <x:c r="C44" s="8" t="n">
        <x:f>A44+B44</x:f>
        <x:v>130</x:v>
      </x:c>
      <x:c r="D44" s="14" t="n">
        <x:f>C44/A44</x:f>
        <x:v>3.0952380952380953</x:v>
      </x:c>
      <x:c r="E44" s="8" t="str">
        <x:f>IF(D44&gt;4,"high","normal")</x:f>
        <x:v>normal</x:v>
      </x:c>
      <x:c r="F44" s="8" t="str">
        <x:v>This sentence is long enough to exercise wrapping and downstream chunk boundaries in Markdown output.</x:v>
      </x:c>
      <x:c r="G44" s="8"/>
    </x:row>
    <x:row r="45">
      <x:c r="A45" s="8" t="n">
        <x:v>43</x:v>
      </x:c>
      <x:c r="B45" s="8" t="n">
        <x:v>90</x:v>
      </x:c>
      <x:c r="C45" s="8" t="n">
        <x:f>A45+B45</x:f>
        <x:v>133</x:v>
      </x:c>
      <x:c r="D45" s="14" t="n">
        <x:f>C45/A45</x:f>
        <x:v>3.0930232558139537</x:v>
      </x:c>
      <x:c r="E45" s="8" t="str">
        <x:f>IF(D45&gt;4,"high","normal")</x:f>
        <x:v>normal</x:v>
      </x:c>
      <x:c r="F45" s="8" t="str">
        <x:v>The bridge callback is stable for small payloads, but large JSON messages show visible delay during navigation.</x:v>
      </x:c>
      <x:c r="G45" s="8"/>
    </x:row>
    <x:row r="46">
      <x:c r="A46" s="8" t="n">
        <x:v>44</x:v>
      </x:c>
      <x:c r="B46" s="8" t="n">
        <x:v>92</x:v>
      </x:c>
      <x:c r="C46" s="8" t="n">
        <x:f>A46+B46</x:f>
        <x:v>136</x:v>
      </x:c>
      <x:c r="D46" s="14" t="n">
        <x:f>C46/A46</x:f>
        <x:v>3.090909090909091</x:v>
      </x:c>
      <x:c r="E46" s="8" t="str">
        <x:f>IF(D46&gt;4,"high","normal")</x:f>
        <x:v>normal</x:v>
      </x:c>
      <x:c r="F46" s="8" t="str">
        <x:v>Potential duplicate: this paragraph is repeated in another section to test deduplication and chunk metadata.</x:v>
      </x:c>
      <x:c r="G46" s="8"/>
    </x:row>
    <x:row r="47">
      <x:c r="A47" s="8" t="n">
        <x:v>45</x:v>
      </x:c>
      <x:c r="B47" s="8" t="n">
        <x:v>94</x:v>
      </x:c>
      <x:c r="C47" s="8" t="n">
        <x:f>A47+B47</x:f>
        <x:v>139</x:v>
      </x:c>
      <x:c r="D47" s="14" t="n">
        <x:f>C47/A47</x:f>
        <x:v>3.088888888888889</x:v>
      </x:c>
      <x:c r="E47" s="8" t="str">
        <x:f>IF(D47&gt;4,"high","normal")</x:f>
        <x:v>normal</x:v>
      </x:c>
      <x:c r="F47" s="8" t="str">
        <x:v>Potential duplicate: this paragraph is repeated in another section to test deduplication and chunk metadata.</x:v>
      </x:c>
      <x:c r="G47" s="8" t="str">
        <x:v>https://github.com/react-native-webview/react-native-webview</x:v>
      </x:c>
    </x:row>
    <x:row r="48">
      <x:c r="A48" s="8" t="n">
        <x:v>46</x:v>
      </x:c>
      <x:c r="B48" s="8" t="n">
        <x:v>96</x:v>
      </x:c>
      <x:c r="C48" s="8" t="n">
        <x:f>A48+B48</x:f>
        <x:v>142</x:v>
      </x:c>
      <x:c r="D48" s="14" t="n">
        <x:f>C48/A48</x:f>
        <x:v>3.0869565217391304</x:v>
      </x:c>
      <x:c r="E48" s="8" t="str">
        <x:f>IF(D48&gt;4,"high","normal")</x:f>
        <x:v>normal</x:v>
      </x:c>
      <x:c r="F48" s="8"/>
      <x:c r="G48" s="8"/>
    </x:row>
    <x:row r="49">
      <x:c r="A49" s="8" t="n">
        <x:v>47</x:v>
      </x:c>
      <x:c r="B49" s="8" t="n">
        <x:v>98</x:v>
      </x:c>
      <x:c r="C49" s="8" t="n">
        <x:f>A49+B49</x:f>
        <x:v>145</x:v>
      </x:c>
      <x:c r="D49" s="14" t="n">
        <x:f>C49/A49</x:f>
        <x:v>3.0851063829787235</x:v>
      </x:c>
      <x:c r="E49" s="8" t="str">
        <x:f>IF(D49&gt;4,"high","normal")</x:f>
        <x:v>normal</x:v>
      </x:c>
      <x:c r="F49" s="8" t="str">
        <x:v>Potential duplicate: this paragraph is repeated in another section to test deduplication and chunk metadata.</x:v>
      </x:c>
      <x:c r="G49" s="8" t="str">
        <x:v>https://github.com/react-native-webview/react-native-webview</x:v>
      </x:c>
    </x:row>
    <x:row r="50">
      <x:c r="A50" s="8" t="n">
        <x:v>48</x:v>
      </x:c>
      <x:c r="B50" s="8" t="n">
        <x:v>100</x:v>
      </x:c>
      <x:c r="C50" s="8" t="n">
        <x:f>A50+B50</x:f>
        <x:v>148</x:v>
      </x:c>
      <x:c r="D50" s="14" t="n">
        <x:f>C50/A50</x:f>
        <x:v>3.0833333333333335</x:v>
      </x:c>
      <x:c r="E50" s="8" t="str">
        <x:f>IF(D50&gt;4,"high","normal")</x:f>
        <x:v>normal</x:v>
      </x:c>
      <x:c r="F50" s="8" t="str">
        <x:v>A blank cell here is intentional. The source workbook has notes placed away from the nearest table.</x:v>
      </x:c>
      <x:c r="G50" s="8"/>
    </x:row>
    <x:row r="51">
      <x:c r="A51" s="8" t="n">
        <x:v>49</x:v>
      </x:c>
      <x:c r="B51" s="8" t="n">
        <x:v>102</x:v>
      </x:c>
      <x:c r="C51" s="8" t="n">
        <x:f>A51+B51</x:f>
        <x:v>151</x:v>
      </x:c>
      <x:c r="D51" s="14" t="n">
        <x:f>C51/A51</x:f>
        <x:v>3.0816326530612246</x:v>
      </x:c>
      <x:c r="E51" s="8" t="str">
        <x:f>IF(D51&gt;4,"high","normal")</x:f>
        <x:v>normal</x:v>
      </x:c>
      <x:c r="F51" s="8" t="str">
        <x:v>This sentence is long enough to exercise wrapping and downstream chunk boundaries in Markdown output.</x:v>
      </x:c>
      <x:c r="G51" s="8" t="str">
        <x:v>https://developer.apple.com/documentation/webkit/wkwebview</x:v>
      </x:c>
    </x:row>
    <x:row r="52">
      <x:c r="A52" s="8" t="n">
        <x:v>50</x:v>
      </x:c>
      <x:c r="B52" s="8" t="n">
        <x:v>104</x:v>
      </x:c>
      <x:c r="C52" s="8" t="n">
        <x:f>A52+B52</x:f>
        <x:v>154</x:v>
      </x:c>
      <x:c r="D52" s="14" t="n">
        <x:f>C52/A52</x:f>
        <x:v>3.08</x:v>
      </x:c>
      <x:c r="E52" s="8" t="str">
        <x:f>IF(D52&gt;4,"high","normal")</x:f>
        <x:v>normal</x:v>
      </x:c>
      <x:c r="F52" s="8" t="str">
        <x:v>The owner field was not captured in the original notes, so classification should remain conservative.</x:v>
      </x:c>
      <x:c r="G52" s="8"/>
    </x:row>
    <x:row r="53">
      <x:c r="A53" s="8" t="n">
        <x:v>51</x:v>
      </x:c>
      <x:c r="B53" s="8" t="n">
        <x:v>106</x:v>
      </x:c>
      <x:c r="C53" s="8" t="n">
        <x:f>A53+B53</x:f>
        <x:v>157</x:v>
      </x:c>
      <x:c r="D53" s="14" t="n">
        <x:f>C53/A53</x:f>
        <x:v>3.0784313725490198</x:v>
      </x:c>
      <x:c r="E53" s="8" t="str">
        <x:f>IF(D53&gt;4,"high","normal")</x:f>
        <x:v>normal</x:v>
      </x:c>
      <x:c r="F53" s="8" t="str">
        <x:v>The owner field was not captured in the original notes, so classification should remain conservative.</x:v>
      </x:c>
      <x:c r="G53" s="8" t="str">
        <x:v>https://github.com/react-native-webview/react-native-webview</x:v>
      </x:c>
    </x:row>
    <x:row r="54">
      <x:c r="A54" s="8" t="n">
        <x:v>52</x:v>
      </x:c>
      <x:c r="B54" s="8" t="n">
        <x:v>108</x:v>
      </x:c>
      <x:c r="C54" s="8" t="n">
        <x:f>A54+B54</x:f>
        <x:v>160</x:v>
      </x:c>
      <x:c r="D54" s="14" t="n">
        <x:f>C54/A54</x:f>
        <x:v>3.076923076923077</x:v>
      </x:c>
      <x:c r="E54" s="8" t="str">
        <x:f>IF(D54&gt;4,"high","normal")</x:f>
        <x:v>normal</x:v>
      </x:c>
      <x:c r="F54" s="8" t="str">
        <x:v>This sentence is long enough to exercise wrapping and downstream chunk boundaries in Markdown output.</x:v>
      </x:c>
      <x:c r="G54" s="8"/>
    </x:row>
    <x:row r="55">
      <x:c r="A55" s="8" t="n">
        <x:v>53</x:v>
      </x:c>
      <x:c r="B55" s="8" t="n">
        <x:v>110</x:v>
      </x:c>
      <x:c r="C55" s="8" t="n">
        <x:f>A55+B55</x:f>
        <x:v>163</x:v>
      </x:c>
      <x:c r="D55" s="14" t="n">
        <x:f>C55/A55</x:f>
        <x:v>3.0754716981132075</x:v>
      </x:c>
      <x:c r="E55" s="8" t="str">
        <x:f>IF(D55&gt;4,"high","normal")</x:f>
        <x:v>normal</x:v>
      </x:c>
      <x:c r="F55" s="8" t="str">
        <x:v>A blank cell here is intentional. The source workbook has notes placed away from the nearest table.</x:v>
      </x:c>
      <x:c r="G55" s="8"/>
    </x:row>
    <x:row r="56">
      <x:c r="A56" s="8" t="n">
        <x:v>54</x:v>
      </x:c>
      <x:c r="B56" s="8" t="n">
        <x:v>112</x:v>
      </x:c>
      <x:c r="C56" s="8" t="n">
        <x:f>A56+B56</x:f>
        <x:v>166</x:v>
      </x:c>
      <x:c r="D56" s="14" t="n">
        <x:f>C56/A56</x:f>
        <x:v>3.074074074074074</x:v>
      </x:c>
      <x:c r="E56" s="8" t="str">
        <x:f>IF(D56&gt;4,"high","normal")</x:f>
        <x:v>normal</x:v>
      </x:c>
      <x:c r="F56" s="8" t="str">
        <x:v>The owner field was not captured in the original notes, so classification should remain conservative.</x:v>
      </x:c>
      <x:c r="G56" s="8"/>
    </x:row>
    <x:row r="57">
      <x:c r="A57" s="8" t="n">
        <x:v>55</x:v>
      </x:c>
      <x:c r="B57" s="8" t="n">
        <x:v>114</x:v>
      </x:c>
      <x:c r="C57" s="8" t="n">
        <x:f>A57+B57</x:f>
        <x:v>169</x:v>
      </x:c>
      <x:c r="D57" s="14" t="n">
        <x:f>C57/A57</x:f>
        <x:v>3.0727272727272728</x:v>
      </x:c>
      <x:c r="E57" s="8" t="str">
        <x:f>IF(D57&gt;4,"high","normal")</x:f>
        <x:v>normal</x:v>
      </x:c>
      <x:c r="F57" s="8" t="str">
        <x:v>Observed in a local test run: the content rendered, but the console warning appeared twice.</x:v>
      </x:c>
      <x:c r="G57" s="8" t="str">
        <x:v>https://learn.microsoft.com/en-us/microsoft-edge/webview2/concepts/security</x:v>
      </x:c>
    </x:row>
    <x:row r="58">
      <x:c r="A58" s="8" t="n">
        <x:v>56</x:v>
      </x:c>
      <x:c r="B58" s="8" t="n">
        <x:v>116</x:v>
      </x:c>
      <x:c r="C58" s="8" t="n">
        <x:f>A58+B58</x:f>
        <x:v>172</x:v>
      </x:c>
      <x:c r="D58" s="14" t="n">
        <x:f>C58/A58</x:f>
        <x:v>3.0714285714285716</x:v>
      </x:c>
      <x:c r="E58" s="8" t="str">
        <x:f>IF(D58&gt;4,"high","normal")</x:f>
        <x:v>normal</x:v>
      </x:c>
      <x:c r="F58" s="8" t="str">
        <x:v>Potential duplicate: this paragraph is repeated in another section to test deduplication and chunk metadata.</x:v>
      </x:c>
      <x:c r="G58" s="8" t="str">
        <x:v>https://developer.apple.com/documentation/webkit/wkwebview</x:v>
      </x:c>
    </x:row>
    <x:row r="59">
      <x:c r="A59" s="8" t="n">
        <x:v>57</x:v>
      </x:c>
      <x:c r="B59" s="8" t="n">
        <x:v>118</x:v>
      </x:c>
      <x:c r="C59" s="8" t="n">
        <x:f>A59+B59</x:f>
        <x:v>175</x:v>
      </x:c>
      <x:c r="D59" s="14" t="n">
        <x:f>C59/A59</x:f>
        <x:v>3.0701754385964914</x:v>
      </x:c>
      <x:c r="E59" s="8" t="str">
        <x:f>IF(D59&gt;4,"high","normal")</x:f>
        <x:v>normal</x:v>
      </x:c>
      <x:c r="F59" s="8"/>
      <x:c r="G59" s="8" t="str">
        <x:v>https://developer.android.com/reference/android/webkit/WebView</x:v>
      </x:c>
    </x:row>
    <x:row r="60">
      <x:c r="A60" s="8" t="n">
        <x:v>58</x:v>
      </x:c>
      <x:c r="B60" s="8" t="n">
        <x:v>120</x:v>
      </x:c>
      <x:c r="C60" s="8" t="n">
        <x:f>A60+B60</x:f>
        <x:v>178</x:v>
      </x:c>
      <x:c r="D60" s="14" t="n">
        <x:f>C60/A60</x:f>
        <x:v>3.0689655172413794</x:v>
      </x:c>
      <x:c r="E60" s="8" t="str">
        <x:f>IF(D60&gt;4,"high","normal")</x:f>
        <x:v>normal</x:v>
      </x:c>
      <x:c r="F60" s="8" t="str">
        <x:v>Potential duplicate: this paragraph is repeated in another section to test deduplication and chunk metadata.</x:v>
      </x:c>
      <x:c r="G60" s="8"/>
    </x:row>
    <x:row r="61">
      <x:c r="A61" s="8" t="n">
        <x:v>59</x:v>
      </x:c>
      <x:c r="B61" s="8" t="n">
        <x:v>122</x:v>
      </x:c>
      <x:c r="C61" s="8" t="n">
        <x:f>A61+B61</x:f>
        <x:v>181</x:v>
      </x:c>
      <x:c r="D61" s="14" t="n">
        <x:f>C61/A61</x:f>
        <x:v>3.0677966101694913</x:v>
      </x:c>
      <x:c r="E61" s="8" t="str">
        <x:f>IF(D61&gt;4,"high","normal")</x:f>
        <x:v>normal</x:v>
      </x:c>
      <x:c r="F61" s="8"/>
      <x:c r="G61" s="8"/>
    </x:row>
    <x:row r="62">
      <x:c r="A62" s="8" t="n">
        <x:v>60</x:v>
      </x:c>
      <x:c r="B62" s="8" t="n">
        <x:v>124</x:v>
      </x:c>
      <x:c r="C62" s="8" t="n">
        <x:f>A62+B62</x:f>
        <x:v>184</x:v>
      </x:c>
      <x:c r="D62" s="14" t="n">
        <x:f>C62/A62</x:f>
        <x:v>3.066666666666667</x:v>
      </x:c>
      <x:c r="E62" s="8" t="str">
        <x:f>IF(D62&gt;4,"high","normal")</x:f>
        <x:v>normal</x:v>
      </x:c>
      <x:c r="F62" s="8" t="str">
        <x:v>A blank cell here is intentional. The source workbook has notes placed away from the nearest table.</x:v>
      </x:c>
      <x:c r="G62" s="8" t="str">
        <x:v>https://developer.android.com/reference/android/webkit/WebView</x:v>
      </x:c>
    </x:row>
    <x:row r="63">
      <x:c r="A63" s="8" t="n">
        <x:v>61</x:v>
      </x:c>
      <x:c r="B63" s="8" t="n">
        <x:v>126</x:v>
      </x:c>
      <x:c r="C63" s="8" t="n">
        <x:f>A63+B63</x:f>
        <x:v>187</x:v>
      </x:c>
      <x:c r="D63" s="14" t="n">
        <x:f>C63/A63</x:f>
        <x:v>3.0655737704918034</x:v>
      </x:c>
      <x:c r="E63" s="8" t="str">
        <x:f>IF(D63&gt;4,"high","normal")</x:f>
        <x:v>normal</x:v>
      </x:c>
      <x:c r="F63" s="8" t="str">
        <x:v>The owner field was not captured in the original notes, so classification should remain conservative.</x:v>
      </x:c>
      <x:c r="G63" s="8" t="str">
        <x:v>https://github.com/react-native-webview/react-native-webview</x:v>
      </x:c>
    </x:row>
    <x:row r="64">
      <x:c r="A64" s="8" t="n">
        <x:v>62</x:v>
      </x:c>
      <x:c r="B64" s="8" t="n">
        <x:v>128</x:v>
      </x:c>
      <x:c r="C64" s="8" t="n">
        <x:f>A64+B64</x:f>
        <x:v>190</x:v>
      </x:c>
      <x:c r="D64" s="14" t="n">
        <x:f>C64/A64</x:f>
        <x:v>3.064516129032258</x:v>
      </x:c>
      <x:c r="E64" s="8" t="str">
        <x:f>IF(D64&gt;4,"high","normal")</x:f>
        <x:v>normal</x:v>
      </x:c>
      <x:c r="F64" s="8" t="str">
        <x:v>The owner field was not captured in the original notes, so classification should remain conservative.</x:v>
      </x:c>
      <x:c r="G64" s="8" t="str">
        <x:v>https://developer.apple.com/documentation/webkit/wkwebview</x:v>
      </x:c>
    </x:row>
    <x:row r="65">
      <x:c r="A65" s="8" t="n">
        <x:v>63</x:v>
      </x:c>
      <x:c r="B65" s="8" t="n">
        <x:v>130</x:v>
      </x:c>
      <x:c r="C65" s="8" t="n">
        <x:f>A65+B65</x:f>
        <x:v>193</x:v>
      </x:c>
      <x:c r="D65" s="14" t="n">
        <x:f>C65/A65</x:f>
        <x:v>3.0634920634920637</x:v>
      </x:c>
      <x:c r="E65" s="8" t="str">
        <x:f>IF(D65&gt;4,"high","normal")</x:f>
        <x:v>normal</x:v>
      </x:c>
      <x:c r="F65" s="8"/>
      <x:c r="G65" s="8"/>
    </x:row>
    <x:row r="66">
      <x:c r="A66" s="8" t="n">
        <x:v>64</x:v>
      </x:c>
      <x:c r="B66" s="8" t="n">
        <x:v>132</x:v>
      </x:c>
      <x:c r="C66" s="8" t="n">
        <x:f>A66+B66</x:f>
        <x:v>196</x:v>
      </x:c>
      <x:c r="D66" s="14" t="n">
        <x:f>C66/A66</x:f>
        <x:v>3.0625</x:v>
      </x:c>
      <x:c r="E66" s="8" t="str">
        <x:f>IF(D66&gt;4,"high","normal")</x:f>
        <x:v>normal</x:v>
      </x:c>
      <x:c r="F66" s="8" t="str">
        <x:v>Potential duplicate: this paragraph is repeated in another section to test deduplication and chunk metadata.</x:v>
      </x:c>
      <x:c r="G66" s="8"/>
    </x:row>
    <x:row r="67">
      <x:c r="A67" s="8" t="n">
        <x:v>65</x:v>
      </x:c>
      <x:c r="B67" s="8" t="n">
        <x:v>134</x:v>
      </x:c>
      <x:c r="C67" s="8" t="n">
        <x:f>A67+B67</x:f>
        <x:v>199</x:v>
      </x:c>
      <x:c r="D67" s="14" t="n">
        <x:f>C67/A67</x:f>
        <x:v>3.0615384615384613</x:v>
      </x:c>
      <x:c r="E67" s="8" t="str">
        <x:f>IF(D67&gt;4,"high","normal")</x:f>
        <x:v>normal</x:v>
      </x:c>
      <x:c r="F67" s="8"/>
      <x:c r="G67" s="8"/>
    </x:row>
    <x:row r="68">
      <x:c r="A68" s="8" t="n">
        <x:v>66</x:v>
      </x:c>
      <x:c r="B68" s="8" t="n">
        <x:v>136</x:v>
      </x:c>
      <x:c r="C68" s="8" t="n">
        <x:f>A68+B68</x:f>
        <x:v>202</x:v>
      </x:c>
      <x:c r="D68" s="14" t="n">
        <x:f>C68/A68</x:f>
        <x:v>3.0606060606060606</x:v>
      </x:c>
      <x:c r="E68" s="8" t="str">
        <x:f>IF(D68&gt;4,"high","normal")</x:f>
        <x:v>normal</x:v>
      </x:c>
      <x:c r="F68" s="8" t="str">
        <x:v>A blank cell here is intentional. The source workbook has notes placed away from the nearest table.</x:v>
      </x:c>
      <x:c r="G68" s="8" t="str">
        <x:v>https://developer.android.com/reference/android/webkit/WebView</x:v>
      </x:c>
    </x:row>
    <x:row r="69">
      <x:c r="A69" s="8" t="n">
        <x:v>67</x:v>
      </x:c>
      <x:c r="B69" s="8" t="n">
        <x:v>138</x:v>
      </x:c>
      <x:c r="C69" s="8" t="n">
        <x:f>A69+B69</x:f>
        <x:v>205</x:v>
      </x:c>
      <x:c r="D69" s="14" t="n">
        <x:f>C69/A69</x:f>
        <x:v>3.0597014925373136</x:v>
      </x:c>
      <x:c r="E69" s="8" t="str">
        <x:f>IF(D69&gt;4,"high","normal")</x:f>
        <x:v>normal</x:v>
      </x:c>
      <x:c r="F69" s="8" t="str">
        <x:v>The owner field was not captured in the original notes, so classification should remain conservative.</x:v>
      </x:c>
      <x:c r="G69" s="8"/>
    </x:row>
    <x:row r="70">
      <x:c r="A70" s="8" t="n">
        <x:v>68</x:v>
      </x:c>
      <x:c r="B70" s="8" t="n">
        <x:v>140</x:v>
      </x:c>
      <x:c r="C70" s="8" t="n">
        <x:f>A70+B70</x:f>
        <x:v>208</x:v>
      </x:c>
      <x:c r="D70" s="14" t="n">
        <x:f>C70/A70</x:f>
        <x:v>3.0588235294117645</x:v>
      </x:c>
      <x:c r="E70" s="8" t="str">
        <x:f>IF(D70&gt;4,"high","normal")</x:f>
        <x:v>normal</x:v>
      </x:c>
      <x:c r="F70" s="8"/>
      <x:c r="G70" s="8" t="str">
        <x:v>https://learn.microsoft.com/en-us/microsoft-edge/webview2/concepts/security</x:v>
      </x:c>
    </x:row>
    <x:row r="71">
      <x:c r="A71" s="8" t="n">
        <x:v>69</x:v>
      </x:c>
      <x:c r="B71" s="8" t="n">
        <x:v>142</x:v>
      </x:c>
      <x:c r="C71" s="8" t="n">
        <x:f>A71+B71</x:f>
        <x:v>211</x:v>
      </x:c>
      <x:c r="D71" s="14" t="n">
        <x:f>C71/A71</x:f>
        <x:v>3.0579710144927534</x:v>
      </x:c>
      <x:c r="E71" s="8" t="str">
        <x:f>IF(D71&gt;4,"high","normal")</x:f>
        <x:v>normal</x:v>
      </x:c>
      <x:c r="F71" s="8" t="str">
        <x:v>Potential duplicate: this paragraph is repeated in another section to test deduplication and chunk metadata.</x:v>
      </x:c>
      <x:c r="G71" s="8" t="str">
        <x:v>https://github.com/react-native-webview/react-native-webview</x:v>
      </x:c>
    </x:row>
    <x:row r="72">
      <x:c r="A72" s="8" t="n">
        <x:v>70</x:v>
      </x:c>
      <x:c r="B72" s="8" t="n">
        <x:v>144</x:v>
      </x:c>
      <x:c r="C72" s="8" t="n">
        <x:f>A72+B72</x:f>
        <x:v>214</x:v>
      </x:c>
      <x:c r="D72" s="14" t="n">
        <x:f>C72/A72</x:f>
        <x:v>3.057142857142857</x:v>
      </x:c>
      <x:c r="E72" s="8" t="str">
        <x:f>IF(D72&gt;4,"high","normal")</x:f>
        <x:v>normal</x:v>
      </x:c>
      <x:c r="F72" s="8" t="str">
        <x:v>The owner field was not captured in the original notes, so classification should remain conservative.</x:v>
      </x:c>
      <x:c r="G72" s="8"/>
    </x:row>
    <x:row r="73">
      <x:c r="A73" s="8" t="n">
        <x:v>71</x:v>
      </x:c>
      <x:c r="B73" s="8" t="n">
        <x:v>146</x:v>
      </x:c>
      <x:c r="C73" s="8" t="n">
        <x:f>A73+B73</x:f>
        <x:v>217</x:v>
      </x:c>
      <x:c r="D73" s="14" t="n">
        <x:f>C73/A73</x:f>
        <x:v>3.056338028169014</x:v>
      </x:c>
      <x:c r="E73" s="8" t="str">
        <x:f>IF(D73&gt;4,"high","normal")</x:f>
        <x:v>normal</x:v>
      </x:c>
      <x:c r="F73" s="8" t="str">
        <x:v>The owner field was not captured in the original notes, so classification should remain conservative.</x:v>
      </x:c>
      <x:c r="G73" s="8" t="str">
        <x:v>https://developer.android.com/reference/android/webkit/WebView</x:v>
      </x:c>
    </x:row>
    <x:row r="74">
      <x:c r="A74" s="8" t="n">
        <x:v>72</x:v>
      </x:c>
      <x:c r="B74" s="8" t="n">
        <x:v>148</x:v>
      </x:c>
      <x:c r="C74" s="8" t="n">
        <x:f>A74+B74</x:f>
        <x:v>220</x:v>
      </x:c>
      <x:c r="D74" s="14" t="n">
        <x:f>C74/A74</x:f>
        <x:v>3.0555555555555554</x:v>
      </x:c>
      <x:c r="E74" s="8" t="str">
        <x:f>IF(D74&gt;4,"high","normal")</x:f>
        <x:v>normal</x:v>
      </x:c>
      <x:c r="F74" s="8" t="str">
        <x:v>The bridge callback is stable for small payloads, but large JSON messages show visible delay during navigation.</x:v>
      </x:c>
      <x:c r="G74" s="8"/>
    </x:row>
    <x:row r="75">
      <x:c r="A75" s="8" t="n">
        <x:v>73</x:v>
      </x:c>
      <x:c r="B75" s="8" t="n">
        <x:v>150</x:v>
      </x:c>
      <x:c r="C75" s="8" t="n">
        <x:f>A75+B75</x:f>
        <x:v>223</x:v>
      </x:c>
      <x:c r="D75" s="14" t="n">
        <x:f>C75/A75</x:f>
        <x:v>3.0547945205479454</x:v>
      </x:c>
      <x:c r="E75" s="8" t="str">
        <x:f>IF(D75&gt;4,"high","normal")</x:f>
        <x:v>normal</x:v>
      </x:c>
      <x:c r="F75" s="8"/>
      <x:c r="G75" s="8" t="str">
        <x:v>https://github.com/react-native-webview/react-native-webview</x:v>
      </x:c>
    </x:row>
    <x:row r="76">
      <x:c r="A76" s="8" t="n">
        <x:v>74</x:v>
      </x:c>
      <x:c r="B76" s="8" t="n">
        <x:v>152</x:v>
      </x:c>
      <x:c r="C76" s="8" t="n">
        <x:f>A76+B76</x:f>
        <x:v>226</x:v>
      </x:c>
      <x:c r="D76" s="14" t="n">
        <x:f>C76/A76</x:f>
        <x:v>3.054054054054054</x:v>
      </x:c>
      <x:c r="E76" s="8" t="str">
        <x:f>IF(D76&gt;4,"high","normal")</x:f>
        <x:v>normal</x:v>
      </x:c>
      <x:c r="F76" s="8" t="str">
        <x:v>Potential duplicate: this paragraph is repeated in another section to test deduplication and chunk metadata.</x:v>
      </x:c>
      <x:c r="G76" s="8" t="str">
        <x:v>https://developer.microsoft.com/en-us/microsoft-edge/webview2/</x:v>
      </x:c>
    </x:row>
    <x:row r="77">
      <x:c r="A77" s="8" t="n">
        <x:v>75</x:v>
      </x:c>
      <x:c r="B77" s="8" t="n">
        <x:v>154</x:v>
      </x:c>
      <x:c r="C77" s="8" t="n">
        <x:f>A77+B77</x:f>
        <x:v>229</x:v>
      </x:c>
      <x:c r="D77" s="14" t="n">
        <x:f>C77/A77</x:f>
        <x:v>3.0533333333333332</x:v>
      </x:c>
      <x:c r="E77" s="8" t="str">
        <x:f>IF(D77&gt;4,"high","normal")</x:f>
        <x:v>normal</x:v>
      </x:c>
      <x:c r="F77" s="8"/>
      <x:c r="G77" s="8" t="str">
        <x:v>https://developer.microsoft.com/en-us/microsoft-edge/webview2/</x:v>
      </x:c>
    </x:row>
    <x:row r="78">
      <x:c r="A78" s="8" t="n">
        <x:v>76</x:v>
      </x:c>
      <x:c r="B78" s="8" t="n">
        <x:v>156</x:v>
      </x:c>
      <x:c r="C78" s="8" t="n">
        <x:f>A78+B78</x:f>
        <x:v>232</x:v>
      </x:c>
      <x:c r="D78" s="14" t="n">
        <x:f>C78/A78</x:f>
        <x:v>3.0526315789473686</x:v>
      </x:c>
      <x:c r="E78" s="8" t="str">
        <x:f>IF(D78&gt;4,"high","normal")</x:f>
        <x:v>normal</x:v>
      </x:c>
      <x:c r="F78" s="8" t="str">
        <x:v>Potential duplicate: this paragraph is repeated in another section to test deduplication and chunk metadata.</x:v>
      </x:c>
      <x:c r="G78" s="8" t="str">
        <x:v>https://github.com/react-native-webview/react-native-webview</x:v>
      </x:c>
    </x:row>
    <x:row r="79">
      <x:c r="A79" s="8" t="n">
        <x:v>77</x:v>
      </x:c>
      <x:c r="B79" s="8" t="n">
        <x:v>158</x:v>
      </x:c>
      <x:c r="C79" s="8" t="n">
        <x:f>A79+B79</x:f>
        <x:v>235</x:v>
      </x:c>
      <x:c r="D79" s="14" t="n">
        <x:f>C79/A79</x:f>
        <x:v>3.051948051948052</x:v>
      </x:c>
      <x:c r="E79" s="8" t="str">
        <x:f>IF(D79&gt;4,"high","normal")</x:f>
        <x:v>normal</x:v>
      </x:c>
      <x:c r="F79" s="8" t="str">
        <x:v>A blank cell here is intentional. The source workbook has notes placed away from the nearest table.</x:v>
      </x:c>
      <x:c r="G79" s="8"/>
    </x:row>
    <x:row r="80">
      <x:c r="A80" s="8" t="n">
        <x:v>78</x:v>
      </x:c>
      <x:c r="B80" s="8" t="n">
        <x:v>160</x:v>
      </x:c>
      <x:c r="C80" s="8" t="n">
        <x:f>A80+B80</x:f>
        <x:v>238</x:v>
      </x:c>
      <x:c r="D80" s="14" t="n">
        <x:f>C80/A80</x:f>
        <x:v>3.051282051282051</x:v>
      </x:c>
      <x:c r="E80" s="8" t="str">
        <x:f>IF(D80&gt;4,"high","normal")</x:f>
        <x:v>normal</x:v>
      </x:c>
      <x:c r="F80" s="8" t="str">
        <x:v>Observed in a local test run: the content rendered, but the console warning appeared twice.</x:v>
      </x:c>
      <x:c r="G80" s="8"/>
    </x:row>
    <x:row r="81">
      <x:c r="A81" s="8" t="n">
        <x:v>79</x:v>
      </x:c>
      <x:c r="B81" s="8" t="n">
        <x:v>162</x:v>
      </x:c>
      <x:c r="C81" s="8" t="n">
        <x:f>A81+B81</x:f>
        <x:v>241</x:v>
      </x:c>
      <x:c r="D81" s="14" t="n">
        <x:f>C81/A81</x:f>
        <x:v>3.050632911392405</x:v>
      </x:c>
      <x:c r="E81" s="8" t="str">
        <x:f>IF(D81&gt;4,"high","normal")</x:f>
        <x:v>normal</x:v>
      </x:c>
      <x:c r="F81" s="8" t="str">
        <x:v>This sentence is long enough to exercise wrapping and downstream chunk boundaries in Markdown output.</x:v>
      </x:c>
      <x:c r="G81" s="8"/>
    </x:row>
    <x:row r="82">
      <x:c r="A82" s="8" t="n">
        <x:v>80</x:v>
      </x:c>
      <x:c r="B82" s="8" t="n">
        <x:v>164</x:v>
      </x:c>
      <x:c r="C82" s="8" t="n">
        <x:f>A82+B82</x:f>
        <x:v>244</x:v>
      </x:c>
      <x:c r="D82" s="14" t="n">
        <x:f>C82/A82</x:f>
        <x:v>3.05</x:v>
      </x:c>
      <x:c r="E82" s="8" t="str">
        <x:f>IF(D82&gt;4,"high","normal")</x:f>
        <x:v>normal</x:v>
      </x:c>
      <x:c r="F82" s="8"/>
      <x:c r="G82" s="8"/>
    </x:row>
    <x:row r="83">
      <x:c r="A83" s="8" t="n">
        <x:v>81</x:v>
      </x:c>
      <x:c r="B83" s="8" t="n">
        <x:v>166</x:v>
      </x:c>
      <x:c r="C83" s="8" t="n">
        <x:f>A83+B83</x:f>
        <x:v>247</x:v>
      </x:c>
      <x:c r="D83" s="14" t="n">
        <x:f>C83/A83</x:f>
        <x:v>3.049382716049383</x:v>
      </x:c>
      <x:c r="E83" s="8" t="str">
        <x:f>IF(D83&gt;4,"high","normal")</x:f>
        <x:v>normal</x:v>
      </x:c>
      <x:c r="F83" s="8"/>
      <x:c r="G83" s="8"/>
    </x:row>
    <x:row r="84">
      <x:c r="A84" s="8" t="n">
        <x:v>82</x:v>
      </x:c>
      <x:c r="B84" s="8" t="n">
        <x:v>168</x:v>
      </x:c>
      <x:c r="C84" s="8" t="n">
        <x:f>A84+B84</x:f>
        <x:v>250</x:v>
      </x:c>
      <x:c r="D84" s="14" t="n">
        <x:f>C84/A84</x:f>
        <x:v>3.048780487804878</x:v>
      </x:c>
      <x:c r="E84" s="8" t="str">
        <x:f>IF(D84&gt;4,"high","normal")</x:f>
        <x:v>normal</x:v>
      </x:c>
      <x:c r="F84" s="8" t="str">
        <x:v>Potential duplicate: this paragraph is repeated in another section to test deduplication and chunk metadata.</x:v>
      </x:c>
      <x:c r="G84" s="8"/>
    </x:row>
    <x:row r="85">
      <x:c r="A85" s="8" t="n">
        <x:v>83</x:v>
      </x:c>
      <x:c r="B85" s="8" t="n">
        <x:v>170</x:v>
      </x:c>
      <x:c r="C85" s="8" t="n">
        <x:f>A85+B85</x:f>
        <x:v>253</x:v>
      </x:c>
      <x:c r="D85" s="14" t="n">
        <x:f>C85/A85</x:f>
        <x:v>3.0481927710843375</x:v>
      </x:c>
      <x:c r="E85" s="8" t="str">
        <x:f>IF(D85&gt;4,"high","normal")</x:f>
        <x:v>normal</x:v>
      </x:c>
      <x:c r="F85" s="8" t="str">
        <x:v>Verify behavior on a cold start and after the page reloads without destroying the native view.</x:v>
      </x:c>
      <x:c r="G85" s="8"/>
    </x:row>
    <x:row r="86">
      <x:c r="A86" s="8" t="n">
        <x:v>84</x:v>
      </x:c>
      <x:c r="B86" s="8" t="n">
        <x:v>172</x:v>
      </x:c>
      <x:c r="C86" s="8" t="n">
        <x:f>A86+B86</x:f>
        <x:v>256</x:v>
      </x:c>
      <x:c r="D86" s="14" t="n">
        <x:f>C86/A86</x:f>
        <x:v>3.0476190476190474</x:v>
      </x:c>
      <x:c r="E86" s="8" t="str">
        <x:f>IF(D86&gt;4,"high","normal")</x:f>
        <x:v>normal</x:v>
      </x:c>
      <x:c r="F86" s="8" t="str">
        <x:v>A blank cell here is intentional. The source workbook has notes placed away from the nearest table.</x:v>
      </x:c>
      <x:c r="G86" s="8" t="str">
        <x:v>https://learn.microsoft.com/en-us/microsoft-edge/webview2/concepts/security</x:v>
      </x:c>
    </x:row>
    <x:row r="87">
      <x:c r="A87" s="8" t="n">
        <x:v>85</x:v>
      </x:c>
      <x:c r="B87" s="8" t="n">
        <x:v>174</x:v>
      </x:c>
      <x:c r="C87" s="8" t="n">
        <x:f>A87+B87</x:f>
        <x:v>259</x:v>
      </x:c>
      <x:c r="D87" s="14" t="n">
        <x:f>C87/A87</x:f>
        <x:v>3.0470588235294116</x:v>
      </x:c>
      <x:c r="E87" s="8" t="str">
        <x:f>IF(D87&gt;4,"high","normal")</x:f>
        <x:v>normal</x:v>
      </x:c>
      <x:c r="F87" s="8" t="str">
        <x:v>Follow-up: compare the result when the network security policy is relaxed versus when it is enforced.</x:v>
      </x:c>
      <x:c r="G87" s="8"/>
    </x:row>
    <x:row r="88">
      <x:c r="A88" s="8" t="n">
        <x:v>86</x:v>
      </x:c>
      <x:c r="B88" s="8" t="n">
        <x:v>176</x:v>
      </x:c>
      <x:c r="C88" s="8" t="n">
        <x:f>A88+B88</x:f>
        <x:v>262</x:v>
      </x:c>
      <x:c r="D88" s="14" t="n">
        <x:f>C88/A88</x:f>
        <x:v>3.046511627906977</x:v>
      </x:c>
      <x:c r="E88" s="8" t="str">
        <x:f>IF(D88&gt;4,"high","normal")</x:f>
        <x:v>normal</x:v>
      </x:c>
      <x:c r="F88" s="8"/>
      <x:c r="G88" s="8" t="str">
        <x:v>https://github.com/react-native-webview/react-native-webview</x:v>
      </x:c>
    </x:row>
    <x:row r="89">
      <x:c r="A89" s="8" t="n">
        <x:v>87</x:v>
      </x:c>
      <x:c r="B89" s="8" t="n">
        <x:v>178</x:v>
      </x:c>
      <x:c r="C89" s="8" t="n">
        <x:f>A89+B89</x:f>
        <x:v>265</x:v>
      </x:c>
      <x:c r="D89" s="14" t="n">
        <x:f>C89/A89</x:f>
        <x:v>3.045977011494253</x:v>
      </x:c>
      <x:c r="E89" s="8" t="str">
        <x:f>IF(D89&gt;4,"high","normal")</x:f>
        <x:v>normal</x:v>
      </x:c>
      <x:c r="F89" s="8"/>
      <x:c r="G89" s="8"/>
    </x:row>
    <x:row r="90">
      <x:c r="A90" s="8" t="n">
        <x:v>88</x:v>
      </x:c>
      <x:c r="B90" s="8" t="n">
        <x:v>180</x:v>
      </x:c>
      <x:c r="C90" s="8" t="n">
        <x:f>A90+B90</x:f>
        <x:v>268</x:v>
      </x:c>
      <x:c r="D90" s="14" t="n">
        <x:f>C90/A90</x:f>
        <x:v>3.0454545454545454</x:v>
      </x:c>
      <x:c r="E90" s="8" t="str">
        <x:f>IF(D90&gt;4,"high","normal")</x:f>
        <x:v>normal</x:v>
      </x:c>
      <x:c r="F90" s="8" t="str">
        <x:v>The owner field was not captured in the original notes, so classification should remain conservative.</x:v>
      </x:c>
      <x:c r="G90" s="8"/>
    </x:row>
    <x:row r="91">
      <x:c r="A91" s="8" t="n">
        <x:v>89</x:v>
      </x:c>
      <x:c r="B91" s="8" t="n">
        <x:v>182</x:v>
      </x:c>
      <x:c r="C91" s="8" t="n">
        <x:f>A91+B91</x:f>
        <x:v>271</x:v>
      </x:c>
      <x:c r="D91" s="14" t="n">
        <x:f>C91/A91</x:f>
        <x:v>3.044943820224719</x:v>
      </x:c>
      <x:c r="E91" s="8" t="str">
        <x:f>IF(D91&gt;4,"high","normal")</x:f>
        <x:v>normal</x:v>
      </x:c>
      <x:c r="F91" s="8" t="str">
        <x:v>The owner field was not captured in the original notes, so classification should remain conservative.</x:v>
      </x:c>
      <x:c r="G91" s="8" t="str">
        <x:v>https://github.com/react-native-webview/react-native-webview</x:v>
      </x:c>
    </x:row>
    <x:row r="92">
      <x:c r="A92" s="8" t="n">
        <x:v>90</x:v>
      </x:c>
      <x:c r="B92" s="8" t="n">
        <x:v>184</x:v>
      </x:c>
      <x:c r="C92" s="8" t="n">
        <x:f>A92+B92</x:f>
        <x:v>274</x:v>
      </x:c>
      <x:c r="D92" s="14" t="n">
        <x:f>C92/A92</x:f>
        <x:v>3.0444444444444443</x:v>
      </x:c>
      <x:c r="E92" s="8" t="str">
        <x:f>IF(D92&gt;4,"high","normal")</x:f>
        <x:v>normal</x:v>
      </x:c>
      <x:c r="F92" s="8" t="str">
        <x:v>The bridge callback is stable for small payloads, but large JSON messages show visible delay during navigation.</x:v>
      </x:c>
      <x:c r="G92" s="8" t="str">
        <x:v>https://developer.apple.com/documentation/webkit/wkwebview</x:v>
      </x:c>
    </x:row>
    <x:row r="93">
      <x:c r="A93" s="8" t="n">
        <x:v>91</x:v>
      </x:c>
      <x:c r="B93" s="8" t="n">
        <x:v>186</x:v>
      </x:c>
      <x:c r="C93" s="8" t="n">
        <x:f>A93+B93</x:f>
        <x:v>277</x:v>
      </x:c>
      <x:c r="D93" s="14" t="n">
        <x:f>C93/A93</x:f>
        <x:v>3.043956043956044</x:v>
      </x:c>
      <x:c r="E93" s="8" t="str">
        <x:f>IF(D93&gt;4,"high","normal")</x:f>
        <x:v>normal</x:v>
      </x:c>
      <x:c r="F93" s="8" t="str">
        <x:v>Verify behavior on a cold start and after the page reloads without destroying the native view.</x:v>
      </x:c>
      <x:c r="G93" s="8"/>
    </x:row>
    <x:row r="94">
      <x:c r="A94" s="8" t="n">
        <x:v>92</x:v>
      </x:c>
      <x:c r="B94" s="8" t="n">
        <x:v>188</x:v>
      </x:c>
      <x:c r="C94" s="8" t="n">
        <x:f>A94+B94</x:f>
        <x:v>280</x:v>
      </x:c>
      <x:c r="D94" s="14" t="n">
        <x:f>C94/A94</x:f>
        <x:v>3.0434782608695654</x:v>
      </x:c>
      <x:c r="E94" s="8" t="str">
        <x:f>IF(D94&gt;4,"high","normal")</x:f>
        <x:v>normal</x:v>
      </x:c>
      <x:c r="F94" s="8" t="str">
        <x:v>A blank cell here is intentional. The source workbook has notes placed away from the nearest table.</x:v>
      </x:c>
      <x:c r="G94" s="8"/>
    </x:row>
    <x:row r="95">
      <x:c r="A95" s="8" t="n">
        <x:v>93</x:v>
      </x:c>
      <x:c r="B95" s="8" t="n">
        <x:v>190</x:v>
      </x:c>
      <x:c r="C95" s="8" t="n">
        <x:f>A95+B95</x:f>
        <x:v>283</x:v>
      </x:c>
      <x:c r="D95" s="14" t="n">
        <x:f>C95/A95</x:f>
        <x:v>3.043010752688172</x:v>
      </x:c>
      <x:c r="E95" s="8" t="str">
        <x:f>IF(D95&gt;4,"high","normal")</x:f>
        <x:v>normal</x:v>
      </x:c>
      <x:c r="F95" s="8" t="str">
        <x:v>This sentence is long enough to exercise wrapping and downstream chunk boundaries in Markdown output.</x:v>
      </x:c>
      <x:c r="G95" s="8"/>
    </x:row>
    <x:row r="96">
      <x:c r="A96" s="8" t="n">
        <x:v>94</x:v>
      </x:c>
      <x:c r="B96" s="8" t="n">
        <x:v>192</x:v>
      </x:c>
      <x:c r="C96" s="8" t="n">
        <x:f>A96+B96</x:f>
        <x:v>286</x:v>
      </x:c>
      <x:c r="D96" s="14" t="n">
        <x:f>C96/A96</x:f>
        <x:v>3.0425531914893615</x:v>
      </x:c>
      <x:c r="E96" s="8" t="str">
        <x:f>IF(D96&gt;4,"high","normal")</x:f>
        <x:v>normal</x:v>
      </x:c>
      <x:c r="F96" s="8" t="str">
        <x:v>The bridge callback is stable for small payloads, but large JSON messages show visible delay during navigation.</x:v>
      </x:c>
      <x:c r="G96" s="8"/>
    </x:row>
    <x:row r="97">
      <x:c r="A97" s="8" t="n">
        <x:v>95</x:v>
      </x:c>
      <x:c r="B97" s="8" t="n">
        <x:v>194</x:v>
      </x:c>
      <x:c r="C97" s="8" t="n">
        <x:f>A97+B97</x:f>
        <x:v>289</x:v>
      </x:c>
      <x:c r="D97" s="14" t="n">
        <x:f>C97/A97</x:f>
        <x:v>3.042105263157895</x:v>
      </x:c>
      <x:c r="E97" s="8" t="str">
        <x:f>IF(D97&gt;4,"high","normal")</x:f>
        <x:v>normal</x:v>
      </x:c>
      <x:c r="F97" s="8" t="str">
        <x:v>Follow-up: compare the result when the network security policy is relaxed versus when it is enforced.</x:v>
      </x:c>
      <x:c r="G97" s="8"/>
    </x:row>
    <x:row r="98">
      <x:c r="A98" s="8" t="n">
        <x:v>96</x:v>
      </x:c>
      <x:c r="B98" s="8" t="n">
        <x:v>196</x:v>
      </x:c>
      <x:c r="C98" s="8" t="n">
        <x:f>A98+B98</x:f>
        <x:v>292</x:v>
      </x:c>
      <x:c r="D98" s="14" t="n">
        <x:f>C98/A98</x:f>
        <x:v>3.0416666666666665</x:v>
      </x:c>
      <x:c r="E98" s="8" t="str">
        <x:f>IF(D98&gt;4,"high","normal")</x:f>
        <x:v>normal</x:v>
      </x:c>
      <x:c r="F98" s="8"/>
      <x:c r="G98" s="8"/>
    </x:row>
    <x:row r="99">
      <x:c r="A99" s="8" t="n">
        <x:v>97</x:v>
      </x:c>
      <x:c r="B99" s="8" t="n">
        <x:v>198</x:v>
      </x:c>
      <x:c r="C99" s="8" t="n">
        <x:f>A99+B99</x:f>
        <x:v>295</x:v>
      </x:c>
      <x:c r="D99" s="14" t="n">
        <x:f>C99/A99</x:f>
        <x:v>3.0412371134020617</x:v>
      </x:c>
      <x:c r="E99" s="8" t="str">
        <x:f>IF(D99&gt;4,"high","normal")</x:f>
        <x:v>normal</x:v>
      </x:c>
      <x:c r="F99" s="8"/>
      <x:c r="G99" s="8"/>
    </x:row>
    <x:row r="100">
      <x:c r="A100" s="8" t="n">
        <x:v>98</x:v>
      </x:c>
      <x:c r="B100" s="8" t="n">
        <x:v>200</x:v>
      </x:c>
      <x:c r="C100" s="8" t="n">
        <x:f>A100+B100</x:f>
        <x:v>298</x:v>
      </x:c>
      <x:c r="D100" s="14" t="n">
        <x:f>C100/A100</x:f>
        <x:v>3.0408163265306123</x:v>
      </x:c>
      <x:c r="E100" s="8" t="str">
        <x:f>IF(D100&gt;4,"high","normal")</x:f>
        <x:v>normal</x:v>
      </x:c>
      <x:c r="F100" s="8" t="str">
        <x:v>This sentence is long enough to exercise wrapping and downstream chunk boundaries in Markdown output.</x:v>
      </x:c>
      <x:c r="G100" s="8"/>
    </x:row>
    <x:row r="101">
      <x:c r="A101" s="8" t="n">
        <x:v>99</x:v>
      </x:c>
      <x:c r="B101" s="8" t="n">
        <x:v>202</x:v>
      </x:c>
      <x:c r="C101" s="8" t="n">
        <x:f>A101+B101</x:f>
        <x:v>301</x:v>
      </x:c>
      <x:c r="D101" s="14" t="n">
        <x:f>C101/A101</x:f>
        <x:v>3.04040404040404</x:v>
      </x:c>
      <x:c r="E101" s="8" t="str">
        <x:f>IF(D101&gt;4,"high","normal")</x:f>
        <x:v>normal</x:v>
      </x:c>
      <x:c r="F101" s="8" t="str">
        <x:v>Potential duplicate: this paragraph is repeated in another section to test deduplication and chunk metadata.</x:v>
      </x:c>
      <x:c r="G101" s="8" t="str">
        <x:v>https://developer.android.com/reference/android/webkit/WebView</x:v>
      </x:c>
    </x:row>
    <x:row r="102">
      <x:c r="A102" s="8" t="n">
        <x:v>100</x:v>
      </x:c>
      <x:c r="B102" s="8" t="n">
        <x:v>204</x:v>
      </x:c>
      <x:c r="C102" s="8" t="n">
        <x:f>A102+B102</x:f>
        <x:v>304</x:v>
      </x:c>
      <x:c r="D102" s="14" t="n">
        <x:f>C102/A102</x:f>
        <x:v>3.04</x:v>
      </x:c>
      <x:c r="E102" s="8" t="str">
        <x:f>IF(D102&gt;4,"high","normal")</x:f>
        <x:v>normal</x:v>
      </x:c>
      <x:c r="F102" s="8" t="str">
        <x:v>Verify behavior on a cold start and after the page reloads without destroying the native view.</x:v>
      </x:c>
      <x:c r="G102" s="8"/>
    </x:row>
    <x:row r="103">
      <x:c r="A103" s="8" t="n">
        <x:v>101</x:v>
      </x:c>
      <x:c r="B103" s="8" t="n">
        <x:v>206</x:v>
      </x:c>
      <x:c r="C103" s="8" t="n">
        <x:f>A103+B103</x:f>
        <x:v>307</x:v>
      </x:c>
      <x:c r="D103" s="14" t="n">
        <x:f>C103/A103</x:f>
        <x:v>3.0396039603960396</x:v>
      </x:c>
      <x:c r="E103" s="8" t="str">
        <x:f>IF(D103&gt;4,"high","normal")</x:f>
        <x:v>normal</x:v>
      </x:c>
      <x:c r="F103" s="8" t="str">
        <x:v>The owner field was not captured in the original notes, so classification should remain conservative.</x:v>
      </x:c>
      <x:c r="G103" s="8"/>
    </x:row>
    <x:row r="104">
      <x:c r="A104" s="8" t="n">
        <x:v>102</x:v>
      </x:c>
      <x:c r="B104" s="8" t="n">
        <x:v>208</x:v>
      </x:c>
      <x:c r="C104" s="8" t="n">
        <x:f>A104+B104</x:f>
        <x:v>310</x:v>
      </x:c>
      <x:c r="D104" s="14" t="n">
        <x:f>C104/A104</x:f>
        <x:v>3.0392156862745097</x:v>
      </x:c>
      <x:c r="E104" s="8" t="str">
        <x:f>IF(D104&gt;4,"high","normal")</x:f>
        <x:v>normal</x:v>
      </x:c>
      <x:c r="F104" s="8" t="str">
        <x:v>The bridge callback is stable for small payloads, but large JSON messages show visible delay during navigation.</x:v>
      </x:c>
      <x:c r="G104" s="8"/>
    </x:row>
    <x:row r="105">
      <x:c r="A105" s="8" t="n">
        <x:v>103</x:v>
      </x:c>
      <x:c r="B105" s="8" t="n">
        <x:v>210</x:v>
      </x:c>
      <x:c r="C105" s="8" t="n">
        <x:f>A105+B105</x:f>
        <x:v>313</x:v>
      </x:c>
      <x:c r="D105" s="14" t="n">
        <x:f>C105/A105</x:f>
        <x:v>3.0388349514563107</x:v>
      </x:c>
      <x:c r="E105" s="8" t="str">
        <x:f>IF(D105&gt;4,"high","normal")</x:f>
        <x:v>normal</x:v>
      </x:c>
      <x:c r="F105" s="8" t="str">
        <x:v>A blank cell here is intentional. The source workbook has notes placed away from the nearest table.</x:v>
      </x:c>
      <x:c r="G105" s="8"/>
    </x:row>
    <x:row r="106">
      <x:c r="A106" s="8" t="n">
        <x:v>104</x:v>
      </x:c>
      <x:c r="B106" s="8" t="n">
        <x:v>212</x:v>
      </x:c>
      <x:c r="C106" s="8" t="n">
        <x:f>A106+B106</x:f>
        <x:v>316</x:v>
      </x:c>
      <x:c r="D106" s="14" t="n">
        <x:f>C106/A106</x:f>
        <x:v>3.0384615384615383</x:v>
      </x:c>
      <x:c r="E106" s="8" t="str">
        <x:f>IF(D106&gt;4,"high","normal")</x:f>
        <x:v>normal</x:v>
      </x:c>
      <x:c r="F106" s="8" t="str">
        <x:v>The owner field was not captured in the original notes, so classification should remain conservative.</x:v>
      </x:c>
      <x:c r="G106" s="8" t="str">
        <x:v>https://learn.microsoft.com/en-us/microsoft-edge/webview2/concepts/security</x:v>
      </x:c>
    </x:row>
    <x:row r="107">
      <x:c r="A107" s="8" t="n">
        <x:v>105</x:v>
      </x:c>
      <x:c r="B107" s="8" t="n">
        <x:v>214</x:v>
      </x:c>
      <x:c r="C107" s="8" t="n">
        <x:f>A107+B107</x:f>
        <x:v>319</x:v>
      </x:c>
      <x:c r="D107" s="14" t="n">
        <x:f>C107/A107</x:f>
        <x:v>3.038095238095238</x:v>
      </x:c>
      <x:c r="E107" s="8" t="str">
        <x:f>IF(D107&gt;4,"high","normal")</x:f>
        <x:v>normal</x:v>
      </x:c>
      <x:c r="F107" s="8"/>
      <x:c r="G107" s="8" t="str">
        <x:v>https://github.com/react-native-webview/react-native-webview</x:v>
      </x:c>
    </x:row>
    <x:row r="108">
      <x:c r="A108" s="9"/>
      <x:c r="B108" s="9"/>
      <x:c r="C108" s="9"/>
      <x:c r="D108" s="9"/>
      <x:c r="E108" s="9"/>
      <x:c r="F108" s="9"/>
      <x:c r="G108" s="9"/>
    </x:row>
    <x:row r="109">
      <x:c r="A109" s="9"/>
      <x:c r="B109" s="9"/>
      <x:c r="C109" s="9"/>
      <x:c r="D109" s="9"/>
      <x:c r="E109" s="9"/>
      <x:c r="F109" s="9"/>
      <x:c r="G109" s="9"/>
    </x:row>
    <x:row r="110">
      <x:c r="A110" s="9"/>
      <x:c r="B110" s="9"/>
      <x:c r="C110" s="9"/>
      <x:c r="D110" s="9"/>
      <x:c r="E110" s="9"/>
      <x:c r="F110" s="9"/>
      <x:c r="G110" s="9"/>
    </x:row>
  </x:sheetData>
  <x:mergeCells>
    <x:mergeCell ref="A1:G1"/>
  </x:mergeCells>
  <x:pageMargins left="0.7" right="0.7" top="0.75" bottom="0.75" header="0.3" footer="0.3"/>
</x:worksheet>
</file>

<file path=xl/worksheets/sheet14.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6" hidden="0" customWidth="1"/>
    <x:col min="2" max="2" width="34" hidden="0" customWidth="1"/>
    <x:col min="3" max="3" width="34" hidden="0" customWidth="1"/>
    <x:col min="4" max="4" width="18" hidden="0" customWidth="1"/>
    <x:col min="5" max="5" width="16" hidden="0" customWidth="1"/>
    <x:col min="6" max="6" width="16" hidden="0" customWidth="1"/>
    <x:col min="7" max="7" width="44" hidden="0" customWidth="1"/>
    <x:col min="8" max="8" width="48" hidden="0" customWidth="1"/>
    <x:col min="9" max="9" width="18" hidden="0" customWidth="1"/>
  </x:cols>
  <x:sheetData>
    <x:row r="1">
      <x:c r="A1" s="7" t="str">
        <x:v>Import examples</x:v>
      </x:c>
      <x:c r="B1" s="7"/>
      <x:c r="C1" s="7"/>
      <x:c r="D1" s="7"/>
      <x:c r="E1" s="7"/>
      <x:c r="F1" s="7"/>
      <x:c r="G1" s="7"/>
      <x:c r="H1" s="7"/>
      <x:c r="I1" s="7"/>
    </x:row>
    <x:row r="2">
      <x:c r="A2" s="4" t="str">
        <x:v>Kind</x:v>
      </x:c>
      <x:c r="B2" s="4" t="str">
        <x:v>Value</x:v>
      </x:c>
      <x:c r="C2" s="4" t="str">
        <x:v>Raw text</x:v>
      </x:c>
      <x:c r="D2" s="4" t="str">
        <x:v>Type guess</x:v>
      </x:c>
      <x:c r="E2" s="4" t="str">
        <x:v>Blank?</x:v>
      </x:c>
      <x:c r="F2" s="4" t="str">
        <x:v>Formula-looking</x:v>
      </x:c>
      <x:c r="G2" s="4" t="str">
        <x:v>Path</x:v>
      </x:c>
      <x:c r="H2" s="4" t="str">
        <x:v>Comment</x:v>
      </x:c>
      <x:c r="I2" s="4"/>
    </x:row>
    <x:row r="3">
      <x:c r="A3" s="8"/>
      <x:c r="B3" s="8"/>
      <x:c r="C3" s="8"/>
      <x:c r="D3" s="8"/>
      <x:c r="E3" s="8"/>
      <x:c r="F3" s="8"/>
      <x:c r="G3" s="8"/>
      <x:c r="H3" s="8"/>
      <x:c r="I3" s="8"/>
    </x:row>
    <x:row r="4">
      <x:c r="A4" s="8" t="str">
        <x:v>number</x:v>
      </x:c>
      <x:c r="B4" s="8" t="str">
        <x:v>2026-10-03</x:v>
      </x:c>
      <x:c r="C4" s="8" t="str">
        <x:v>2026-10-03</x:v>
      </x:c>
      <x:c r="D4" s="8" t="str">
        <x:v>string</x:v>
      </x:c>
      <x:c r="E4" s="17" t="b">
        <x:v>0</x:v>
      </x:c>
      <x:c r="F4" s="17" t="b">
        <x:v>0</x:v>
      </x:c>
      <x:c r="G4" s="8" t="str">
        <x:v>\pc135\D\Desktop\folder0\file-0.txt</x:v>
      </x:c>
      <x:c r="H4" s="8" t="str">
        <x:v>Verify behavior on a cold start and after the page reloads without destroying the native view.</x:v>
      </x:c>
      <x:c r="I4" s="8"/>
    </x:row>
    <x:row r="5">
      <x:c r="A5" s="8" t="str">
        <x:v>text</x:v>
      </x:c>
      <x:c r="B5" s="8" t="str">
        <x:v>line one
line two</x:v>
      </x:c>
      <x:c r="C5" s="8" t="str">
        <x:v>line one
line two</x:v>
      </x:c>
      <x:c r="D5" s="8" t="str">
        <x:v>unknown</x:v>
      </x:c>
      <x:c r="E5" s="17" t="b">
        <x:v>0</x:v>
      </x:c>
      <x:c r="F5" s="17" t="b">
        <x:v>0</x:v>
      </x:c>
      <x:c r="G5" s="8"/>
      <x:c r="H5" s="8"/>
      <x:c r="I5" s="8"/>
    </x:row>
    <x:row r="6">
      <x:c r="A6" s="8" t="str">
        <x:v>code</x:v>
      </x:c>
      <x:c r="B6" s="8" t="str">
        <x:v>TRUE</x:v>
      </x:c>
      <x:c r="C6" s="8" t="str">
        <x:v>TRUE</x:v>
      </x:c>
      <x:c r="D6" s="8" t="str">
        <x:v>string</x:v>
      </x:c>
      <x:c r="E6" s="17" t="b">
        <x:v>0</x:v>
      </x:c>
      <x:c r="F6" s="17" t="b">
        <x:v>0</x:v>
      </x:c>
      <x:c r="G6" s="8"/>
      <x:c r="H6" s="8"/>
      <x:c r="I6" s="8"/>
    </x:row>
    <x:row r="7">
      <x:c r="A7" s="8" t="str">
        <x:v>text</x:v>
      </x:c>
      <x:c r="B7" s="8" t="str">
        <x:v>N/A</x:v>
      </x:c>
      <x:c r="C7" s="8" t="str">
        <x:v>N/A</x:v>
      </x:c>
      <x:c r="D7" s="8" t="str">
        <x:v>numeric</x:v>
      </x:c>
      <x:c r="E7" s="17" t="b">
        <x:v>0</x:v>
      </x:c>
      <x:c r="F7" s="17" t="b">
        <x:v>0</x:v>
      </x:c>
      <x:c r="G7" s="8" t="str">
        <x:v>\pc135\D\Desktop\folder3\file-3.txt</x:v>
      </x:c>
      <x:c r="H7" s="8" t="str">
        <x:v>Observed in a local test run: the content rendered, but the console warning appeared twice.</x:v>
      </x:c>
      <x:c r="I7" s="8"/>
    </x:row>
    <x:row r="8">
      <x:c r="A8" s="8" t="str">
        <x:v>code</x:v>
      </x:c>
      <x:c r="B8" s="8" t="str">
        <x:v>  padded text  </x:v>
      </x:c>
      <x:c r="C8" s="8" t="str">
        <x:v>  padded text  </x:v>
      </x:c>
      <x:c r="D8" s="8" t="str">
        <x:v>boolean-like</x:v>
      </x:c>
      <x:c r="E8" s="17" t="b">
        <x:v>0</x:v>
      </x:c>
      <x:c r="F8" s="17" t="b">
        <x:v>0</x:v>
      </x:c>
      <x:c r="G8" s="8" t="str">
        <x:v>\pc135\D\Desktop\folder4\file-4.txt</x:v>
      </x:c>
      <x:c r="H8" s="8"/>
      <x:c r="I8" s="8"/>
    </x:row>
    <x:row r="9">
      <x:c r="A9" s="8" t="str">
        <x:v>url</x:v>
      </x:c>
      <x:c r="B9" s="8" t="str">
        <x:v>00123</x:v>
      </x:c>
      <x:c r="C9" s="8" t="str">
        <x:v>00123</x:v>
      </x:c>
      <x:c r="D9" s="8" t="str">
        <x:v>numeric</x:v>
      </x:c>
      <x:c r="E9" s="17" t="b">
        <x:v>0</x:v>
      </x:c>
      <x:c r="F9" s="17" t="b">
        <x:v>0</x:v>
      </x:c>
      <x:c r="G9" s="8"/>
      <x:c r="H9" s="8" t="str">
        <x:v>The owner field was not captured in the original notes, so classification should remain conservative.</x:v>
      </x:c>
      <x:c r="I9" s="8"/>
    </x:row>
    <x:row r="10">
      <x:c r="A10" s="8" t="str">
        <x:v>note</x:v>
      </x:c>
      <x:c r="B10" s="8" t="str">
        <x:v>false</x:v>
      </x:c>
      <x:c r="C10" s="8" t="str">
        <x:v>false</x:v>
      </x:c>
      <x:c r="D10" s="8" t="str">
        <x:v>unknown</x:v>
      </x:c>
      <x:c r="E10" s="17" t="b">
        <x:v>0</x:v>
      </x:c>
      <x:c r="F10" s="17" t="b">
        <x:v>0</x:v>
      </x:c>
      <x:c r="G10" s="8" t="str">
        <x:v>\pc135\D\Desktop\folder6\file-6.txt</x:v>
      </x:c>
      <x:c r="H10" s="8" t="str">
        <x:v>The bridge callback is stable for small payloads, but large JSON messages show visible delay during navigation.</x:v>
      </x:c>
      <x:c r="I10" s="8"/>
    </x:row>
    <x:row r="11">
      <x:c r="A11" s="8" t="str">
        <x:v>code</x:v>
      </x:c>
      <x:c r="B11" s="8" t="str">
        <x:v>TRUE</x:v>
      </x:c>
      <x:c r="C11" s="8" t="str">
        <x:v>TRUE</x:v>
      </x:c>
      <x:c r="D11" s="8" t="str">
        <x:v>string</x:v>
      </x:c>
      <x:c r="E11" s="17" t="b">
        <x:v>0</x:v>
      </x:c>
      <x:c r="F11" s="17" t="b">
        <x:v>0</x:v>
      </x:c>
      <x:c r="G11" s="8"/>
      <x:c r="H11" s="8" t="str">
        <x:v>This sentence is long enough to exercise wrapping and downstream chunk boundaries in Markdown output.</x:v>
      </x:c>
      <x:c r="I11" s="8"/>
    </x:row>
    <x:row r="12">
      <x:c r="A12" s="8" t="str">
        <x:v>text</x:v>
      </x:c>
      <x:c r="B12" s="8" t="str">
        <x:v>2026-10-03</x:v>
      </x:c>
      <x:c r="C12" s="8" t="str">
        <x:v>2026-10-03</x:v>
      </x:c>
      <x:c r="D12" s="8" t="str">
        <x:v>date-like</x:v>
      </x:c>
      <x:c r="E12" s="17" t="b">
        <x:v>0</x:v>
      </x:c>
      <x:c r="F12" s="17" t="b">
        <x:v>0</x:v>
      </x:c>
      <x:c r="G12" s="8"/>
      <x:c r="H12" s="8" t="str">
        <x:v>Verify behavior on a cold start and after the page reloads without destroying the native view.</x:v>
      </x:c>
      <x:c r="I12" s="8"/>
    </x:row>
    <x:row r="13">
      <x:c r="A13" s="8" t="str">
        <x:v>note</x:v>
      </x:c>
      <x:c r="B13" s="8" t="str">
        <x:v>2026-10-03</x:v>
      </x:c>
      <x:c r="C13" s="8" t="str">
        <x:v>2026-10-03</x:v>
      </x:c>
      <x:c r="D13" s="8" t="str">
        <x:v>unknown</x:v>
      </x:c>
      <x:c r="E13" s="17" t="b">
        <x:v>0</x:v>
      </x:c>
      <x:c r="F13" s="17" t="b">
        <x:v>0</x:v>
      </x:c>
      <x:c r="G13" s="8" t="str">
        <x:v>\pc135\D\Desktop\folder2\file-9.txt</x:v>
      </x:c>
      <x:c r="H13" s="8"/>
      <x:c r="I13" s="8"/>
    </x:row>
    <x:row r="14">
      <x:c r="A14" s="8" t="str">
        <x:v>date</x:v>
      </x:c>
      <x:c r="B14" s="8" t="str">
        <x:v>  padded text  </x:v>
      </x:c>
      <x:c r="C14" s="8" t="str">
        <x:v>  padded text  </x:v>
      </x:c>
      <x:c r="D14" s="8" t="str">
        <x:v>unknown</x:v>
      </x:c>
      <x:c r="E14" s="17" t="b">
        <x:v>0</x:v>
      </x:c>
      <x:c r="F14" s="17" t="b">
        <x:v>0</x:v>
      </x:c>
      <x:c r="G14" s="8" t="str">
        <x:v>\pc135\D\Desktop\folder3\file-10.txt</x:v>
      </x:c>
      <x:c r="H14" s="8" t="str">
        <x:v>Follow-up: compare the result when the network security policy is relaxed versus when it is enforced.</x:v>
      </x:c>
      <x:c r="I14" s="8"/>
    </x:row>
    <x:row r="15">
      <x:c r="A15" s="8" t="str">
        <x:v>text</x:v>
      </x:c>
      <x:c r="B15" s="8" t="str">
        <x:v>N/A</x:v>
      </x:c>
      <x:c r="C15" s="8" t="str">
        <x:v>N/A</x:v>
      </x:c>
      <x:c r="D15" s="8" t="str">
        <x:v>boolean-like</x:v>
      </x:c>
      <x:c r="E15" s="17" t="b">
        <x:v>0</x:v>
      </x:c>
      <x:c r="F15" s="17" t="b">
        <x:v>0</x:v>
      </x:c>
      <x:c r="G15" s="8" t="str">
        <x:v>\pc135\D\Desktop\folder4\file-11.txt</x:v>
      </x:c>
      <x:c r="H15" s="8"/>
      <x:c r="I15" s="8"/>
    </x:row>
    <x:row r="16">
      <x:c r="A16" s="8" t="str">
        <x:v>note</x:v>
      </x:c>
      <x:c r="B16" s="8" t="str">
        <x:v>1,234.50</x:v>
      </x:c>
      <x:c r="C16" s="8" t="str">
        <x:v>1,234.50</x:v>
      </x:c>
      <x:c r="D16" s="8" t="str">
        <x:v>boolean-like</x:v>
      </x:c>
      <x:c r="E16" s="17" t="b">
        <x:v>0</x:v>
      </x:c>
      <x:c r="F16" s="17" t="b">
        <x:v>0</x:v>
      </x:c>
      <x:c r="G16" s="8" t="str">
        <x:v>\pc135\D\Desktop\folder5\file-12.txt</x:v>
      </x:c>
      <x:c r="H16" s="8" t="str">
        <x:v>A blank cell here is intentional. The source workbook has notes placed away from the nearest table.</x:v>
      </x:c>
      <x:c r="I16" s="8"/>
    </x:row>
    <x:row r="17">
      <x:c r="A17" s="8" t="str">
        <x:v>number</x:v>
      </x:c>
      <x:c r="B17" s="8" t="str">
        <x:v>TRUE</x:v>
      </x:c>
      <x:c r="C17" s="8" t="str">
        <x:v>TRUE</x:v>
      </x:c>
      <x:c r="D17" s="8" t="str">
        <x:v>date-like</x:v>
      </x:c>
      <x:c r="E17" s="17" t="b">
        <x:v>0</x:v>
      </x:c>
      <x:c r="F17" s="17" t="b">
        <x:v>0</x:v>
      </x:c>
      <x:c r="G17" s="8" t="str">
        <x:v>\pc135\D\Desktop\folder6\file-13.txt</x:v>
      </x:c>
      <x:c r="H17" s="8" t="str">
        <x:v>A blank cell here is intentional. The source workbook has notes placed away from the nearest table.</x:v>
      </x:c>
      <x:c r="I17" s="8"/>
    </x:row>
    <x:row r="18">
      <x:c r="A18" s="8" t="str">
        <x:v>date</x:v>
      </x:c>
      <x:c r="B18" s="8" t="str">
        <x:v>a;b;c</x:v>
      </x:c>
      <x:c r="C18" s="8" t="str">
        <x:v>a;b;c</x:v>
      </x:c>
      <x:c r="D18" s="8" t="str">
        <x:v>numeric</x:v>
      </x:c>
      <x:c r="E18" s="17" t="b">
        <x:v>0</x:v>
      </x:c>
      <x:c r="F18" s="17" t="b">
        <x:v>0</x:v>
      </x:c>
      <x:c r="G18" s="8"/>
      <x:c r="H18" s="8"/>
      <x:c r="I18" s="8"/>
    </x:row>
    <x:row r="19">
      <x:c r="A19" s="8" t="str">
        <x:v>number</x:v>
      </x:c>
      <x:c r="B19" s="8" t="str">
        <x:v>false</x:v>
      </x:c>
      <x:c r="C19" s="8" t="str">
        <x:v>false</x:v>
      </x:c>
      <x:c r="D19" s="8" t="str">
        <x:v>boolean-like</x:v>
      </x:c>
      <x:c r="E19" s="17" t="b">
        <x:v>0</x:v>
      </x:c>
      <x:c r="F19" s="17" t="b">
        <x:v>0</x:v>
      </x:c>
      <x:c r="G19" s="8"/>
      <x:c r="H19" s="8" t="str">
        <x:v>Potential duplicate: this paragraph is repeated in another section to test deduplication and chunk metadata.</x:v>
      </x:c>
      <x:c r="I19" s="8"/>
    </x:row>
    <x:row r="20">
      <x:c r="A20" s="8" t="str">
        <x:v>note</x:v>
      </x:c>
      <x:c r="B20" s="8" t="str">
        <x:v>1,234.50</x:v>
      </x:c>
      <x:c r="C20" s="8" t="str">
        <x:v>1,234.50</x:v>
      </x:c>
      <x:c r="D20" s="8" t="str">
        <x:v>unknown</x:v>
      </x:c>
      <x:c r="E20" s="17" t="b">
        <x:v>0</x:v>
      </x:c>
      <x:c r="F20" s="17" t="b">
        <x:v>0</x:v>
      </x:c>
      <x:c r="G20" s="8"/>
      <x:c r="H20" s="8" t="str">
        <x:v>Verify behavior on a cold start and after the page reloads without destroying the native view.</x:v>
      </x:c>
      <x:c r="I20" s="8"/>
    </x:row>
    <x:row r="21">
      <x:c r="A21" s="8" t="str">
        <x:v>text</x:v>
      </x:c>
      <x:c r="B21" s="8" t="n">
        <x:f>SUM(A1:A3)</x:f>
        <x:v>0</x:v>
      </x:c>
      <x:c r="C21" s="8" t="n">
        <x:f>SUM(A1:A3)</x:f>
        <x:v>0</x:v>
      </x:c>
      <x:c r="D21" s="8" t="str">
        <x:v>boolean-like</x:v>
      </x:c>
      <x:c r="E21" s="17" t="b">
        <x:v>0</x:v>
      </x:c>
      <x:c r="F21" s="17" t="b">
        <x:v>1</x:v>
      </x:c>
      <x:c r="G21" s="8"/>
      <x:c r="H21" s="8"/>
      <x:c r="I21" s="8"/>
    </x:row>
    <x:row r="22">
      <x:c r="A22" s="8" t="str">
        <x:v>code</x:v>
      </x:c>
      <x:c r="B22" s="8" t="str">
        <x:v>2026-10-03</x:v>
      </x:c>
      <x:c r="C22" s="8" t="str">
        <x:v>2026-10-03</x:v>
      </x:c>
      <x:c r="D22" s="8" t="str">
        <x:v>boolean-like</x:v>
      </x:c>
      <x:c r="E22" s="17" t="b">
        <x:v>0</x:v>
      </x:c>
      <x:c r="F22" s="17" t="b">
        <x:v>0</x:v>
      </x:c>
      <x:c r="G22" s="8" t="str">
        <x:v>\pc135\D\Desktop\folder4\file-18.txt</x:v>
      </x:c>
      <x:c r="H22" s="8"/>
      <x:c r="I22" s="8"/>
    </x:row>
    <x:row r="23">
      <x:c r="A23" s="8" t="str">
        <x:v>code</x:v>
      </x:c>
      <x:c r="B23" s="8" t="str">
        <x:v>a;b;c</x:v>
      </x:c>
      <x:c r="C23" s="8" t="str">
        <x:v>a;b;c</x:v>
      </x:c>
      <x:c r="D23" s="8" t="str">
        <x:v>date-like</x:v>
      </x:c>
      <x:c r="E23" s="17" t="b">
        <x:v>0</x:v>
      </x:c>
      <x:c r="F23" s="17" t="b">
        <x:v>0</x:v>
      </x:c>
      <x:c r="G23" s="8"/>
      <x:c r="H23" s="8" t="str">
        <x:v>The owner field was not captured in the original notes, so classification should remain conservative.</x:v>
      </x:c>
      <x:c r="I23" s="8"/>
    </x:row>
    <x:row r="24">
      <x:c r="A24" s="8" t="str">
        <x:v>url</x:v>
      </x:c>
      <x:c r="B24" s="8" t="str">
        <x:v>false</x:v>
      </x:c>
      <x:c r="C24" s="8" t="str">
        <x:v>false</x:v>
      </x:c>
      <x:c r="D24" s="8" t="str">
        <x:v>unknown</x:v>
      </x:c>
      <x:c r="E24" s="17" t="b">
        <x:v>0</x:v>
      </x:c>
      <x:c r="F24" s="17" t="b">
        <x:v>0</x:v>
      </x:c>
      <x:c r="G24" s="8"/>
      <x:c r="H24" s="8" t="str">
        <x:v>Observed in a local test run: the content rendered, but the console warning appeared twice.</x:v>
      </x:c>
      <x:c r="I24" s="8"/>
    </x:row>
    <x:row r="25">
      <x:c r="A25" s="8"/>
      <x:c r="B25" s="8"/>
      <x:c r="C25" s="8"/>
      <x:c r="D25" s="8"/>
      <x:c r="E25" s="8"/>
      <x:c r="F25" s="8"/>
      <x:c r="G25" s="8"/>
      <x:c r="H25" s="8"/>
      <x:c r="I25" s="8"/>
    </x:row>
    <x:row r="26">
      <x:c r="A26" s="8" t="str">
        <x:v>number</x:v>
      </x:c>
      <x:c r="B26" s="8" t="str">
        <x:v>00123</x:v>
      </x:c>
      <x:c r="C26" s="8" t="str">
        <x:v>00123</x:v>
      </x:c>
      <x:c r="D26" s="8" t="str">
        <x:v>string</x:v>
      </x:c>
      <x:c r="E26" s="17" t="b">
        <x:v>0</x:v>
      </x:c>
      <x:c r="F26" s="17" t="b">
        <x:v>0</x:v>
      </x:c>
      <x:c r="G26" s="8"/>
      <x:c r="H26" s="8"/>
      <x:c r="I26" s="8"/>
    </x:row>
    <x:row r="27">
      <x:c r="A27" s="8" t="str">
        <x:v>code</x:v>
      </x:c>
      <x:c r="B27" s="8" t="str">
        <x:v>&lt;tag&gt;value&lt;/tag&gt;</x:v>
      </x:c>
      <x:c r="C27" s="8" t="str">
        <x:v>&lt;tag&gt;value&lt;/tag&gt;</x:v>
      </x:c>
      <x:c r="D27" s="8" t="str">
        <x:v>unknown</x:v>
      </x:c>
      <x:c r="E27" s="17" t="b">
        <x:v>0</x:v>
      </x:c>
      <x:c r="F27" s="17" t="b">
        <x:v>0</x:v>
      </x:c>
      <x:c r="G27" s="8" t="str">
        <x:v>\pc135\D\Desktop\folder1\file-22.txt</x:v>
      </x:c>
      <x:c r="H27" s="8" t="str">
        <x:v>A blank cell here is intentional. The source workbook has notes placed away from the nearest table.</x:v>
      </x:c>
      <x:c r="I27" s="8"/>
    </x:row>
    <x:row r="28">
      <x:c r="A28" s="8" t="str">
        <x:v>number</x:v>
      </x:c>
      <x:c r="B28" s="8" t="str">
        <x:v>&lt;tag&gt;value&lt;/tag&gt;</x:v>
      </x:c>
      <x:c r="C28" s="8" t="str">
        <x:v>&lt;tag&gt;value&lt;/tag&gt;</x:v>
      </x:c>
      <x:c r="D28" s="8" t="str">
        <x:v>boolean-like</x:v>
      </x:c>
      <x:c r="E28" s="17" t="b">
        <x:v>0</x:v>
      </x:c>
      <x:c r="F28" s="17" t="b">
        <x:v>0</x:v>
      </x:c>
      <x:c r="G28" s="8" t="str">
        <x:v>\pc135\D\Desktop\folder2\file-23.txt</x:v>
      </x:c>
      <x:c r="H28" s="8" t="str">
        <x:v>Verify behavior on a cold start and after the page reloads without destroying the native view.</x:v>
      </x:c>
      <x:c r="I28" s="8"/>
    </x:row>
    <x:row r="29">
      <x:c r="A29" s="8" t="str">
        <x:v>note</x:v>
      </x:c>
      <x:c r="B29" s="8" t="str">
        <x:v>  padded text  </x:v>
      </x:c>
      <x:c r="C29" s="8" t="str">
        <x:v>  padded text  </x:v>
      </x:c>
      <x:c r="D29" s="8" t="str">
        <x:v>string</x:v>
      </x:c>
      <x:c r="E29" s="17" t="b">
        <x:v>0</x:v>
      </x:c>
      <x:c r="F29" s="17" t="b">
        <x:v>0</x:v>
      </x:c>
      <x:c r="G29" s="8"/>
      <x:c r="H29" s="8" t="str">
        <x:v>Verify behavior on a cold start and after the page reloads without destroying the native view.</x:v>
      </x:c>
      <x:c r="I29" s="8"/>
    </x:row>
    <x:row r="30">
      <x:c r="A30" s="8" t="str">
        <x:v>text</x:v>
      </x:c>
      <x:c r="B30" s="8" t="str">
        <x:v>false</x:v>
      </x:c>
      <x:c r="C30" s="8" t="str">
        <x:v>false</x:v>
      </x:c>
      <x:c r="D30" s="8" t="str">
        <x:v>date-like</x:v>
      </x:c>
      <x:c r="E30" s="17" t="b">
        <x:v>0</x:v>
      </x:c>
      <x:c r="F30" s="17" t="b">
        <x:v>0</x:v>
      </x:c>
      <x:c r="G30" s="8"/>
      <x:c r="H30" s="8"/>
      <x:c r="I30" s="8"/>
    </x:row>
    <x:row r="31">
      <x:c r="A31" s="8" t="str">
        <x:v>code</x:v>
      </x:c>
      <x:c r="B31" s="8" t="str">
        <x:v>false</x:v>
      </x:c>
      <x:c r="C31" s="8" t="str">
        <x:v>false</x:v>
      </x:c>
      <x:c r="D31" s="8" t="str">
        <x:v>date-like</x:v>
      </x:c>
      <x:c r="E31" s="17" t="b">
        <x:v>0</x:v>
      </x:c>
      <x:c r="F31" s="17" t="b">
        <x:v>0</x:v>
      </x:c>
      <x:c r="G31" s="8" t="str">
        <x:v>\pc135\D\Desktop\folder5\file-26.txt</x:v>
      </x:c>
      <x:c r="H31" s="8"/>
      <x:c r="I31" s="8"/>
    </x:row>
    <x:row r="32">
      <x:c r="A32" s="8" t="str">
        <x:v>text</x:v>
      </x:c>
      <x:c r="B32" s="8" t="str">
        <x:v>1,234.50</x:v>
      </x:c>
      <x:c r="C32" s="8" t="str">
        <x:v>1,234.50</x:v>
      </x:c>
      <x:c r="D32" s="8" t="str">
        <x:v>date-like</x:v>
      </x:c>
      <x:c r="E32" s="17" t="b">
        <x:v>0</x:v>
      </x:c>
      <x:c r="F32" s="17" t="b">
        <x:v>0</x:v>
      </x:c>
      <x:c r="G32" s="8" t="str">
        <x:v>\pc135\D\Desktop\folder6\file-27.txt</x:v>
      </x:c>
      <x:c r="H32" s="8" t="str">
        <x:v>This sentence is long enough to exercise wrapping and downstream chunk boundaries in Markdown output.</x:v>
      </x:c>
      <x:c r="I32" s="8"/>
    </x:row>
    <x:row r="33">
      <x:c r="A33" s="8" t="str">
        <x:v>boolean</x:v>
      </x:c>
      <x:c r="B33" s="8" t="str">
        <x:v>{"a":1}</x:v>
      </x:c>
      <x:c r="C33" s="8" t="str">
        <x:v>{"a":1}</x:v>
      </x:c>
      <x:c r="D33" s="8" t="str">
        <x:v>date-like</x:v>
      </x:c>
      <x:c r="E33" s="17" t="b">
        <x:v>0</x:v>
      </x:c>
      <x:c r="F33" s="17" t="b">
        <x:v>0</x:v>
      </x:c>
      <x:c r="G33" s="8"/>
      <x:c r="H33" s="8"/>
      <x:c r="I33" s="8"/>
    </x:row>
    <x:row r="34">
      <x:c r="A34" s="8" t="str">
        <x:v>note</x:v>
      </x:c>
      <x:c r="B34" s="8" t="str">
        <x:v>  padded text  </x:v>
      </x:c>
      <x:c r="C34" s="8" t="str">
        <x:v>  padded text  </x:v>
      </x:c>
      <x:c r="D34" s="8" t="str">
        <x:v>boolean-like</x:v>
      </x:c>
      <x:c r="E34" s="17" t="b">
        <x:v>0</x:v>
      </x:c>
      <x:c r="F34" s="17" t="b">
        <x:v>0</x:v>
      </x:c>
      <x:c r="G34" s="8" t="str">
        <x:v>\pc135\D\Desktop\folder1\file-29.txt</x:v>
      </x:c>
      <x:c r="H34" s="8" t="str">
        <x:v>A blank cell here is intentional. The source workbook has notes placed away from the nearest table.</x:v>
      </x:c>
      <x:c r="I34" s="8"/>
    </x:row>
    <x:row r="35">
      <x:c r="A35" s="8" t="str">
        <x:v>boolean</x:v>
      </x:c>
      <x:c r="B35" s="8" t="str">
        <x:v>line one
line two</x:v>
      </x:c>
      <x:c r="C35" s="8" t="str">
        <x:v>line one
line two</x:v>
      </x:c>
      <x:c r="D35" s="8" t="str">
        <x:v>boolean-like</x:v>
      </x:c>
      <x:c r="E35" s="17" t="b">
        <x:v>0</x:v>
      </x:c>
      <x:c r="F35" s="17" t="b">
        <x:v>0</x:v>
      </x:c>
      <x:c r="G35" s="8"/>
      <x:c r="H35" s="8" t="str">
        <x:v>The bridge callback is stable for small payloads, but large JSON messages show visible delay during navigation.</x:v>
      </x:c>
      <x:c r="I35" s="8"/>
    </x:row>
    <x:row r="36">
      <x:c r="A36" s="8" t="str">
        <x:v>boolean</x:v>
      </x:c>
      <x:c r="B36" s="8" t="str">
        <x:v>&lt;tag&gt;value&lt;/tag&gt;</x:v>
      </x:c>
      <x:c r="C36" s="8" t="str">
        <x:v>&lt;tag&gt;value&lt;/tag&gt;</x:v>
      </x:c>
      <x:c r="D36" s="8" t="str">
        <x:v>string</x:v>
      </x:c>
      <x:c r="E36" s="17" t="b">
        <x:v>0</x:v>
      </x:c>
      <x:c r="F36" s="17" t="b">
        <x:v>0</x:v>
      </x:c>
      <x:c r="G36" s="8"/>
      <x:c r="H36" s="8"/>
      <x:c r="I36" s="8"/>
    </x:row>
    <x:row r="37">
      <x:c r="A37" s="8" t="str">
        <x:v>boolean</x:v>
      </x:c>
      <x:c r="B37" s="8" t="str">
        <x:v>1,234.50</x:v>
      </x:c>
      <x:c r="C37" s="8" t="str">
        <x:v>1,234.50</x:v>
      </x:c>
      <x:c r="D37" s="8" t="str">
        <x:v>date-like</x:v>
      </x:c>
      <x:c r="E37" s="17" t="b">
        <x:v>0</x:v>
      </x:c>
      <x:c r="F37" s="17" t="b">
        <x:v>0</x:v>
      </x:c>
      <x:c r="G37" s="8"/>
      <x:c r="H37" s="8"/>
      <x:c r="I37" s="8"/>
    </x:row>
    <x:row r="38">
      <x:c r="A38" s="8" t="str">
        <x:v>code</x:v>
      </x:c>
      <x:c r="B38" s="8" t="str">
        <x:v>2026-10-03</x:v>
      </x:c>
      <x:c r="C38" s="8" t="str">
        <x:v>2026-10-03</x:v>
      </x:c>
      <x:c r="D38" s="8" t="str">
        <x:v>boolean-like</x:v>
      </x:c>
      <x:c r="E38" s="17" t="b">
        <x:v>0</x:v>
      </x:c>
      <x:c r="F38" s="17" t="b">
        <x:v>0</x:v>
      </x:c>
      <x:c r="G38" s="8"/>
      <x:c r="H38" s="8" t="str">
        <x:v>The bridge callback is stable for small payloads, but large JSON messages show visible delay during navigation.</x:v>
      </x:c>
      <x:c r="I38" s="8"/>
    </x:row>
    <x:row r="39">
      <x:c r="A39" s="8" t="str">
        <x:v>date</x:v>
      </x:c>
      <x:c r="B39" s="8" t="str">
        <x:v>1,234.50</x:v>
      </x:c>
      <x:c r="C39" s="8" t="str">
        <x:v>1,234.50</x:v>
      </x:c>
      <x:c r="D39" s="8" t="str">
        <x:v>string</x:v>
      </x:c>
      <x:c r="E39" s="17" t="b">
        <x:v>0</x:v>
      </x:c>
      <x:c r="F39" s="17" t="b">
        <x:v>0</x:v>
      </x:c>
      <x:c r="G39" s="8"/>
      <x:c r="H39" s="8" t="str">
        <x:v>Observed in a local test run: the content rendered, but the console warning appeared twice.</x:v>
      </x:c>
      <x:c r="I39" s="8"/>
    </x:row>
    <x:row r="40">
      <x:c r="A40" s="8" t="str">
        <x:v>url</x:v>
      </x:c>
      <x:c r="B40" s="8" t="str">
        <x:v>00123</x:v>
      </x:c>
      <x:c r="C40" s="8" t="str">
        <x:v>00123</x:v>
      </x:c>
      <x:c r="D40" s="8" t="str">
        <x:v>string</x:v>
      </x:c>
      <x:c r="E40" s="17" t="b">
        <x:v>0</x:v>
      </x:c>
      <x:c r="F40" s="17" t="b">
        <x:v>0</x:v>
      </x:c>
      <x:c r="G40" s="8"/>
      <x:c r="H40" s="8"/>
      <x:c r="I40" s="8"/>
    </x:row>
    <x:row r="41">
      <x:c r="A41" s="8" t="str">
        <x:v>boolean</x:v>
      </x:c>
      <x:c r="B41" s="8" t="str">
        <x:v>1,234.50</x:v>
      </x:c>
      <x:c r="C41" s="8" t="str">
        <x:v>1,234.50</x:v>
      </x:c>
      <x:c r="D41" s="8" t="str">
        <x:v>numeric</x:v>
      </x:c>
      <x:c r="E41" s="17" t="b">
        <x:v>0</x:v>
      </x:c>
      <x:c r="F41" s="17" t="b">
        <x:v>0</x:v>
      </x:c>
      <x:c r="G41" s="8" t="str">
        <x:v>\pc135\D\Desktop\folder1\file-36.txt</x:v>
      </x:c>
      <x:c r="H41" s="8"/>
      <x:c r="I41" s="8"/>
    </x:row>
    <x:row r="42">
      <x:c r="A42" s="8" t="str">
        <x:v>date</x:v>
      </x:c>
      <x:c r="B42" s="8" t="str">
        <x:v>TRUE</x:v>
      </x:c>
      <x:c r="C42" s="8" t="str">
        <x:v>TRUE</x:v>
      </x:c>
      <x:c r="D42" s="8" t="str">
        <x:v>string</x:v>
      </x:c>
      <x:c r="E42" s="17" t="b">
        <x:v>0</x:v>
      </x:c>
      <x:c r="F42" s="17" t="b">
        <x:v>0</x:v>
      </x:c>
      <x:c r="G42" s="8" t="str">
        <x:v>\pc135\D\Desktop\folder2\file-37.txt</x:v>
      </x:c>
      <x:c r="H42" s="8"/>
      <x:c r="I42" s="8"/>
    </x:row>
    <x:row r="43">
      <x:c r="A43" s="8" t="str">
        <x:v>url</x:v>
      </x:c>
      <x:c r="B43" s="8" t="str">
        <x:v>{"a":1}</x:v>
      </x:c>
      <x:c r="C43" s="8" t="str">
        <x:v>{"a":1}</x:v>
      </x:c>
      <x:c r="D43" s="8" t="str">
        <x:v>date-like</x:v>
      </x:c>
      <x:c r="E43" s="17" t="b">
        <x:v>0</x:v>
      </x:c>
      <x:c r="F43" s="17" t="b">
        <x:v>0</x:v>
      </x:c>
      <x:c r="G43" s="8" t="str">
        <x:v>\pc135\D\Desktop\folder3\file-38.txt</x:v>
      </x:c>
      <x:c r="H43" s="8" t="str">
        <x:v>The owner field was not captured in the original notes, so classification should remain conservative.</x:v>
      </x:c>
      <x:c r="I43" s="8"/>
    </x:row>
    <x:row r="44">
      <x:c r="A44" s="8" t="str">
        <x:v>code</x:v>
      </x:c>
      <x:c r="B44" s="8" t="str">
        <x:v>{"a":1}</x:v>
      </x:c>
      <x:c r="C44" s="8" t="str">
        <x:v>{"a":1}</x:v>
      </x:c>
      <x:c r="D44" s="8" t="str">
        <x:v>date-like</x:v>
      </x:c>
      <x:c r="E44" s="17" t="b">
        <x:v>0</x:v>
      </x:c>
      <x:c r="F44" s="17" t="b">
        <x:v>0</x:v>
      </x:c>
      <x:c r="G44" s="8" t="str">
        <x:v>\pc135\D\Desktop\folder4\file-39.txt</x:v>
      </x:c>
      <x:c r="H44" s="8"/>
      <x:c r="I44" s="8"/>
    </x:row>
    <x:row r="45">
      <x:c r="A45" s="8" t="str">
        <x:v>url</x:v>
      </x:c>
      <x:c r="B45" s="8" t="str">
        <x:v>a;b;c</x:v>
      </x:c>
      <x:c r="C45" s="8" t="str">
        <x:v>a;b;c</x:v>
      </x:c>
      <x:c r="D45" s="8" t="str">
        <x:v>unknown</x:v>
      </x:c>
      <x:c r="E45" s="17" t="b">
        <x:v>0</x:v>
      </x:c>
      <x:c r="F45" s="17" t="b">
        <x:v>0</x:v>
      </x:c>
      <x:c r="G45" s="8" t="str">
        <x:v>\pc135\D\Desktop\folder5\file-40.txt</x:v>
      </x:c>
      <x:c r="H45" s="8" t="str">
        <x:v>The owner field was not captured in the original notes, so classification should remain conservative.</x:v>
      </x:c>
      <x:c r="I45" s="8"/>
    </x:row>
    <x:row r="46">
      <x:c r="A46" s="8" t="str">
        <x:v>note</x:v>
      </x:c>
      <x:c r="B46" s="8" t="n">
        <x:f>SUM(A1:A3)</x:f>
        <x:v>0</x:v>
      </x:c>
      <x:c r="C46" s="8" t="n">
        <x:f>SUM(A1:A3)</x:f>
        <x:v>0</x:v>
      </x:c>
      <x:c r="D46" s="8" t="str">
        <x:v>date-like</x:v>
      </x:c>
      <x:c r="E46" s="17" t="b">
        <x:v>0</x:v>
      </x:c>
      <x:c r="F46" s="17" t="b">
        <x:v>1</x:v>
      </x:c>
      <x:c r="G46" s="8"/>
      <x:c r="H46" s="8" t="str">
        <x:v>A blank cell here is intentional. The source workbook has notes placed away from the nearest table.</x:v>
      </x:c>
      <x:c r="I46" s="8"/>
    </x:row>
    <x:row r="47">
      <x:c r="A47" s="8"/>
      <x:c r="B47" s="8"/>
      <x:c r="C47" s="8"/>
      <x:c r="D47" s="8"/>
      <x:c r="E47" s="8"/>
      <x:c r="F47" s="8"/>
      <x:c r="G47" s="8"/>
      <x:c r="H47" s="8"/>
      <x:c r="I47" s="8"/>
    </x:row>
    <x:row r="48">
      <x:c r="A48" s="8" t="str">
        <x:v>code</x:v>
      </x:c>
      <x:c r="B48" s="8" t="str">
        <x:v>TRUE</x:v>
      </x:c>
      <x:c r="C48" s="8" t="str">
        <x:v>TRUE</x:v>
      </x:c>
      <x:c r="D48" s="8" t="str">
        <x:v>boolean-like</x:v>
      </x:c>
      <x:c r="E48" s="17" t="b">
        <x:v>0</x:v>
      </x:c>
      <x:c r="F48" s="17" t="b">
        <x:v>0</x:v>
      </x:c>
      <x:c r="G48" s="8"/>
      <x:c r="H48" s="8"/>
      <x:c r="I48" s="8"/>
    </x:row>
    <x:row r="49">
      <x:c r="A49" s="8" t="str">
        <x:v>number</x:v>
      </x:c>
      <x:c r="B49" s="8" t="str">
        <x:v>false</x:v>
      </x:c>
      <x:c r="C49" s="8" t="str">
        <x:v>false</x:v>
      </x:c>
      <x:c r="D49" s="8" t="str">
        <x:v>string</x:v>
      </x:c>
      <x:c r="E49" s="17" t="b">
        <x:v>0</x:v>
      </x:c>
      <x:c r="F49" s="17" t="b">
        <x:v>0</x:v>
      </x:c>
      <x:c r="G49" s="8" t="str">
        <x:v>\pc135\D\Desktop\folder1\file-43.txt</x:v>
      </x:c>
      <x:c r="H49" s="8" t="str">
        <x:v>Potential duplicate: this paragraph is repeated in another section to test deduplication and chunk metadata.</x:v>
      </x:c>
      <x:c r="I49" s="8"/>
    </x:row>
    <x:row r="50">
      <x:c r="A50" s="8" t="str">
        <x:v>note</x:v>
      </x:c>
      <x:c r="B50" s="8" t="str">
        <x:v>a;b;c</x:v>
      </x:c>
      <x:c r="C50" s="8" t="str">
        <x:v>a;b;c</x:v>
      </x:c>
      <x:c r="D50" s="8" t="str">
        <x:v>boolean-like</x:v>
      </x:c>
      <x:c r="E50" s="17" t="b">
        <x:v>0</x:v>
      </x:c>
      <x:c r="F50" s="17" t="b">
        <x:v>0</x:v>
      </x:c>
      <x:c r="G50" s="8"/>
      <x:c r="H50" s="8" t="str">
        <x:v>Verify behavior on a cold start and after the page reloads without destroying the native view.</x:v>
      </x:c>
      <x:c r="I50" s="8"/>
    </x:row>
    <x:row r="51">
      <x:c r="A51" s="8" t="str">
        <x:v>code</x:v>
      </x:c>
      <x:c r="B51" s="8" t="str">
        <x:v>false</x:v>
      </x:c>
      <x:c r="C51" s="8" t="str">
        <x:v>false</x:v>
      </x:c>
      <x:c r="D51" s="8" t="str">
        <x:v>numeric</x:v>
      </x:c>
      <x:c r="E51" s="17" t="b">
        <x:v>0</x:v>
      </x:c>
      <x:c r="F51" s="17" t="b">
        <x:v>0</x:v>
      </x:c>
      <x:c r="G51" s="8" t="str">
        <x:v>\pc135\D\Desktop\folder3\file-45.txt</x:v>
      </x:c>
      <x:c r="H51" s="8" t="str">
        <x:v>Observed in a local test run: the content rendered, but the console warning appeared twice.</x:v>
      </x:c>
      <x:c r="I51" s="8"/>
    </x:row>
    <x:row r="52">
      <x:c r="A52" s="8" t="str">
        <x:v>number</x:v>
      </x:c>
      <x:c r="B52" s="8" t="str">
        <x:v>line one
line two</x:v>
      </x:c>
      <x:c r="C52" s="8" t="str">
        <x:v>line one
line two</x:v>
      </x:c>
      <x:c r="D52" s="8" t="str">
        <x:v>numeric</x:v>
      </x:c>
      <x:c r="E52" s="17" t="b">
        <x:v>0</x:v>
      </x:c>
      <x:c r="F52" s="17" t="b">
        <x:v>0</x:v>
      </x:c>
      <x:c r="G52" s="8" t="str">
        <x:v>\pc135\D\Desktop\folder4\file-46.txt</x:v>
      </x:c>
      <x:c r="H52" s="8"/>
      <x:c r="I52" s="8"/>
    </x:row>
    <x:row r="53">
      <x:c r="A53" s="8" t="str">
        <x:v>text</x:v>
      </x:c>
      <x:c r="B53" s="8" t="str">
        <x:v>00123</x:v>
      </x:c>
      <x:c r="C53" s="8" t="str">
        <x:v>00123</x:v>
      </x:c>
      <x:c r="D53" s="8" t="str">
        <x:v>unknown</x:v>
      </x:c>
      <x:c r="E53" s="17" t="b">
        <x:v>0</x:v>
      </x:c>
      <x:c r="F53" s="17" t="b">
        <x:v>0</x:v>
      </x:c>
      <x:c r="G53" s="8"/>
      <x:c r="H53" s="8" t="str">
        <x:v>Observed in a local test run: the content rendered, but the console warning appeared twice.</x:v>
      </x:c>
      <x:c r="I53" s="8"/>
    </x:row>
    <x:row r="54">
      <x:c r="A54" s="8" t="str">
        <x:v>boolean</x:v>
      </x:c>
      <x:c r="B54" s="8" t="str">
        <x:v>00123</x:v>
      </x:c>
      <x:c r="C54" s="8" t="str">
        <x:v>00123</x:v>
      </x:c>
      <x:c r="D54" s="8" t="str">
        <x:v>unknown</x:v>
      </x:c>
      <x:c r="E54" s="17" t="b">
        <x:v>0</x:v>
      </x:c>
      <x:c r="F54" s="17" t="b">
        <x:v>0</x:v>
      </x:c>
      <x:c r="G54" s="8"/>
      <x:c r="H54" s="8"/>
      <x:c r="I54" s="8"/>
    </x:row>
    <x:row r="55">
      <x:c r="A55" s="8" t="str">
        <x:v>text</x:v>
      </x:c>
      <x:c r="B55" s="8" t="str">
        <x:v>1,234.50</x:v>
      </x:c>
      <x:c r="C55" s="8" t="str">
        <x:v>1,234.50</x:v>
      </x:c>
      <x:c r="D55" s="8" t="str">
        <x:v>string</x:v>
      </x:c>
      <x:c r="E55" s="17" t="b">
        <x:v>0</x:v>
      </x:c>
      <x:c r="F55" s="17" t="b">
        <x:v>0</x:v>
      </x:c>
      <x:c r="G55" s="8" t="str">
        <x:v>\pc135\D\Desktop\folder0\file-49.txt</x:v>
      </x:c>
      <x:c r="H55" s="8" t="str">
        <x:v>This sentence is long enough to exercise wrapping and downstream chunk boundaries in Markdown output.</x:v>
      </x:c>
      <x:c r="I55" s="8"/>
    </x:row>
    <x:row r="56">
      <x:c r="A56" s="8" t="str">
        <x:v>code</x:v>
      </x:c>
      <x:c r="B56" s="8" t="str">
        <x:v>line one
line two</x:v>
      </x:c>
      <x:c r="C56" s="8" t="str">
        <x:v>line one
line two</x:v>
      </x:c>
      <x:c r="D56" s="8" t="str">
        <x:v>boolean-like</x:v>
      </x:c>
      <x:c r="E56" s="17" t="b">
        <x:v>0</x:v>
      </x:c>
      <x:c r="F56" s="17" t="b">
        <x:v>0</x:v>
      </x:c>
      <x:c r="G56" s="8" t="str">
        <x:v>\pc135\D\Desktop\folder1\file-50.txt</x:v>
      </x:c>
      <x:c r="H56" s="8"/>
      <x:c r="I56" s="8"/>
    </x:row>
    <x:row r="57">
      <x:c r="A57" s="8" t="str">
        <x:v>date</x:v>
      </x:c>
      <x:c r="B57" s="8" t="str">
        <x:v>N/A</x:v>
      </x:c>
      <x:c r="C57" s="8" t="str">
        <x:v>N/A</x:v>
      </x:c>
      <x:c r="D57" s="8" t="str">
        <x:v>unknown</x:v>
      </x:c>
      <x:c r="E57" s="17" t="b">
        <x:v>0</x:v>
      </x:c>
      <x:c r="F57" s="17" t="b">
        <x:v>0</x:v>
      </x:c>
      <x:c r="G57" s="8"/>
      <x:c r="H57" s="8"/>
      <x:c r="I57" s="8"/>
    </x:row>
    <x:row r="58">
      <x:c r="A58" s="8" t="str">
        <x:v>text</x:v>
      </x:c>
      <x:c r="B58" s="8" t="str">
        <x:v>N/A</x:v>
      </x:c>
      <x:c r="C58" s="8" t="str">
        <x:v>N/A</x:v>
      </x:c>
      <x:c r="D58" s="8" t="str">
        <x:v>date-like</x:v>
      </x:c>
      <x:c r="E58" s="17" t="b">
        <x:v>0</x:v>
      </x:c>
      <x:c r="F58" s="17" t="b">
        <x:v>0</x:v>
      </x:c>
      <x:c r="G58" s="8" t="str">
        <x:v>\pc135\D\Desktop\folder3\file-52.txt</x:v>
      </x:c>
      <x:c r="H58" s="8" t="str">
        <x:v>This sentence is long enough to exercise wrapping and downstream chunk boundaries in Markdown output.</x:v>
      </x:c>
      <x:c r="I58" s="8"/>
    </x:row>
    <x:row r="59">
      <x:c r="A59" s="8" t="str">
        <x:v>text</x:v>
      </x:c>
      <x:c r="B59" s="8" t="str">
        <x:v>{"a":1}</x:v>
      </x:c>
      <x:c r="C59" s="8" t="str">
        <x:v>{"a":1}</x:v>
      </x:c>
      <x:c r="D59" s="8" t="str">
        <x:v>unknown</x:v>
      </x:c>
      <x:c r="E59" s="17" t="b">
        <x:v>0</x:v>
      </x:c>
      <x:c r="F59" s="17" t="b">
        <x:v>0</x:v>
      </x:c>
      <x:c r="G59" s="8"/>
      <x:c r="H59" s="8" t="str">
        <x:v>A blank cell here is intentional. The source workbook has notes placed away from the nearest table.</x:v>
      </x:c>
      <x:c r="I59" s="8"/>
    </x:row>
    <x:row r="60">
      <x:c r="A60" s="8" t="str">
        <x:v>note</x:v>
      </x:c>
      <x:c r="B60" s="8" t="str">
        <x:v>&lt;tag&gt;value&lt;/tag&gt;</x:v>
      </x:c>
      <x:c r="C60" s="8" t="str">
        <x:v>&lt;tag&gt;value&lt;/tag&gt;</x:v>
      </x:c>
      <x:c r="D60" s="8" t="str">
        <x:v>date-like</x:v>
      </x:c>
      <x:c r="E60" s="17" t="b">
        <x:v>0</x:v>
      </x:c>
      <x:c r="F60" s="17" t="b">
        <x:v>0</x:v>
      </x:c>
      <x:c r="G60" s="8" t="str">
        <x:v>\pc135\D\Desktop\folder5\file-54.txt</x:v>
      </x:c>
      <x:c r="H60" s="8" t="str">
        <x:v>Follow-up: compare the result when the network security policy is relaxed versus when it is enforced.</x:v>
      </x:c>
      <x:c r="I60" s="8"/>
    </x:row>
    <x:row r="61">
      <x:c r="A61" s="8" t="str">
        <x:v>date</x:v>
      </x:c>
      <x:c r="B61" s="8" t="str">
        <x:v>TRUE</x:v>
      </x:c>
      <x:c r="C61" s="8" t="str">
        <x:v>TRUE</x:v>
      </x:c>
      <x:c r="D61" s="8" t="str">
        <x:v>unknown</x:v>
      </x:c>
      <x:c r="E61" s="17" t="b">
        <x:v>0</x:v>
      </x:c>
      <x:c r="F61" s="17" t="b">
        <x:v>0</x:v>
      </x:c>
      <x:c r="G61" s="8"/>
      <x:c r="H61" s="8" t="str">
        <x:v>Observed in a local test run: the content rendered, but the console warning appeared twice.</x:v>
      </x:c>
      <x:c r="I61" s="8"/>
    </x:row>
    <x:row r="62">
      <x:c r="A62" s="8" t="str">
        <x:v>url</x:v>
      </x:c>
      <x:c r="B62" s="8" t="str">
        <x:v>a;b;c</x:v>
      </x:c>
      <x:c r="C62" s="8" t="str">
        <x:v>a;b;c</x:v>
      </x:c>
      <x:c r="D62" s="8" t="str">
        <x:v>unknown</x:v>
      </x:c>
      <x:c r="E62" s="17" t="b">
        <x:v>0</x:v>
      </x:c>
      <x:c r="F62" s="17" t="b">
        <x:v>0</x:v>
      </x:c>
      <x:c r="G62" s="8" t="str">
        <x:v>\pc135\D\Desktop\folder0\file-56.txt</x:v>
      </x:c>
      <x:c r="H62" s="8" t="str">
        <x:v>The owner field was not captured in the original notes, so classification should remain conservative.</x:v>
      </x:c>
      <x:c r="I62" s="8"/>
    </x:row>
    <x:row r="63">
      <x:c r="A63" s="8" t="str">
        <x:v>text</x:v>
      </x:c>
      <x:c r="B63" s="8" t="str">
        <x:v>false</x:v>
      </x:c>
      <x:c r="C63" s="8" t="str">
        <x:v>false</x:v>
      </x:c>
      <x:c r="D63" s="8" t="str">
        <x:v>date-like</x:v>
      </x:c>
      <x:c r="E63" s="17" t="b">
        <x:v>0</x:v>
      </x:c>
      <x:c r="F63" s="17" t="b">
        <x:v>0</x:v>
      </x:c>
      <x:c r="G63" s="8"/>
      <x:c r="H63" s="8"/>
      <x:c r="I63" s="8"/>
    </x:row>
    <x:row r="64">
      <x:c r="A64" s="8" t="str">
        <x:v>text</x:v>
      </x:c>
      <x:c r="B64" s="8" t="str">
        <x:v>{"a":1}</x:v>
      </x:c>
      <x:c r="C64" s="8" t="str">
        <x:v>{"a":1}</x:v>
      </x:c>
      <x:c r="D64" s="8" t="str">
        <x:v>numeric</x:v>
      </x:c>
      <x:c r="E64" s="17" t="b">
        <x:v>0</x:v>
      </x:c>
      <x:c r="F64" s="17" t="b">
        <x:v>0</x:v>
      </x:c>
      <x:c r="G64" s="8" t="str">
        <x:v>\pc135\D\Desktop\folder2\file-58.txt</x:v>
      </x:c>
      <x:c r="H64" s="8"/>
      <x:c r="I64" s="8"/>
    </x:row>
    <x:row r="65">
      <x:c r="A65" s="8" t="str">
        <x:v>code</x:v>
      </x:c>
      <x:c r="B65" s="8" t="str">
        <x:v>&lt;tag&gt;value&lt;/tag&gt;</x:v>
      </x:c>
      <x:c r="C65" s="8" t="str">
        <x:v>&lt;tag&gt;value&lt;/tag&gt;</x:v>
      </x:c>
      <x:c r="D65" s="8" t="str">
        <x:v>numeric</x:v>
      </x:c>
      <x:c r="E65" s="17" t="b">
        <x:v>0</x:v>
      </x:c>
      <x:c r="F65" s="17" t="b">
        <x:v>0</x:v>
      </x:c>
      <x:c r="G65" s="8"/>
      <x:c r="H65" s="8" t="str">
        <x:v>This sentence is long enough to exercise wrapping and downstream chunk boundaries in Markdown output.</x:v>
      </x:c>
      <x:c r="I65" s="8"/>
    </x:row>
    <x:row r="66">
      <x:c r="A66" s="8" t="str">
        <x:v>url</x:v>
      </x:c>
      <x:c r="B66" s="8" t="str">
        <x:v>  padded text  </x:v>
      </x:c>
      <x:c r="C66" s="8" t="str">
        <x:v>  padded text  </x:v>
      </x:c>
      <x:c r="D66" s="8" t="str">
        <x:v>unknown</x:v>
      </x:c>
      <x:c r="E66" s="17" t="b">
        <x:v>0</x:v>
      </x:c>
      <x:c r="F66" s="17" t="b">
        <x:v>0</x:v>
      </x:c>
      <x:c r="G66" s="8" t="str">
        <x:v>\pc135\D\Desktop\folder4\file-60.txt</x:v>
      </x:c>
      <x:c r="H66" s="8" t="str">
        <x:v>The owner field was not captured in the original notes, so classification should remain conservative.</x:v>
      </x:c>
      <x:c r="I66" s="8"/>
    </x:row>
    <x:row r="67">
      <x:c r="A67" s="8" t="str">
        <x:v>boolean</x:v>
      </x:c>
      <x:c r="B67" s="8" t="str">
        <x:v>  padded text  </x:v>
      </x:c>
      <x:c r="C67" s="8" t="str">
        <x:v>  padded text  </x:v>
      </x:c>
      <x:c r="D67" s="8" t="str">
        <x:v>unknown</x:v>
      </x:c>
      <x:c r="E67" s="17" t="b">
        <x:v>0</x:v>
      </x:c>
      <x:c r="F67" s="17" t="b">
        <x:v>0</x:v>
      </x:c>
      <x:c r="G67" s="8" t="str">
        <x:v>\pc135\D\Desktop\folder5\file-61.txt</x:v>
      </x:c>
      <x:c r="H67" s="8"/>
      <x:c r="I67" s="8"/>
    </x:row>
    <x:row r="68">
      <x:c r="A68" s="8" t="str">
        <x:v>note</x:v>
      </x:c>
      <x:c r="B68" s="8" t="str">
        <x:v>2026-10-03</x:v>
      </x:c>
      <x:c r="C68" s="8" t="str">
        <x:v>2026-10-03</x:v>
      </x:c>
      <x:c r="D68" s="8" t="str">
        <x:v>string</x:v>
      </x:c>
      <x:c r="E68" s="17" t="b">
        <x:v>0</x:v>
      </x:c>
      <x:c r="F68" s="17" t="b">
        <x:v>0</x:v>
      </x:c>
      <x:c r="G68" s="8" t="str">
        <x:v>\pc135\D\Desktop\folder6\file-62.txt</x:v>
      </x:c>
      <x:c r="H68" s="8"/>
      <x:c r="I68" s="8"/>
    </x:row>
    <x:row r="69">
      <x:c r="A69" s="8"/>
      <x:c r="B69" s="8"/>
      <x:c r="C69" s="8"/>
      <x:c r="D69" s="8"/>
      <x:c r="E69" s="8"/>
      <x:c r="F69" s="8"/>
      <x:c r="G69" s="8"/>
      <x:c r="H69" s="8"/>
      <x:c r="I69" s="8"/>
    </x:row>
    <x:row r="70">
      <x:c r="A70" s="8" t="str">
        <x:v>date</x:v>
      </x:c>
      <x:c r="B70" s="8" t="str">
        <x:v>line one
line two</x:v>
      </x:c>
      <x:c r="C70" s="8" t="str">
        <x:v>line one
line two</x:v>
      </x:c>
      <x:c r="D70" s="8" t="str">
        <x:v>string</x:v>
      </x:c>
      <x:c r="E70" s="17" t="b">
        <x:v>0</x:v>
      </x:c>
      <x:c r="F70" s="17" t="b">
        <x:v>0</x:v>
      </x:c>
      <x:c r="G70" s="8"/>
      <x:c r="H70" s="8" t="str">
        <x:v>Potential duplicate: this paragraph is repeated in another section to test deduplication and chunk metadata.</x:v>
      </x:c>
      <x:c r="I70" s="8"/>
    </x:row>
    <x:row r="71">
      <x:c r="A71" s="8" t="str">
        <x:v>url</x:v>
      </x:c>
      <x:c r="B71" s="8" t="str">
        <x:v>2026-10-03</x:v>
      </x:c>
      <x:c r="C71" s="8" t="str">
        <x:v>2026-10-03</x:v>
      </x:c>
      <x:c r="D71" s="8" t="str">
        <x:v>date-like</x:v>
      </x:c>
      <x:c r="E71" s="17" t="b">
        <x:v>0</x:v>
      </x:c>
      <x:c r="F71" s="17" t="b">
        <x:v>0</x:v>
      </x:c>
      <x:c r="G71" s="8"/>
      <x:c r="H71" s="8"/>
      <x:c r="I71" s="8"/>
    </x:row>
    <x:row r="72">
      <x:c r="A72" s="8" t="str">
        <x:v>text</x:v>
      </x:c>
      <x:c r="B72" s="8" t="str">
        <x:v>2026-10-03</x:v>
      </x:c>
      <x:c r="C72" s="8" t="str">
        <x:v>2026-10-03</x:v>
      </x:c>
      <x:c r="D72" s="8" t="str">
        <x:v>string</x:v>
      </x:c>
      <x:c r="E72" s="17" t="b">
        <x:v>0</x:v>
      </x:c>
      <x:c r="F72" s="17" t="b">
        <x:v>0</x:v>
      </x:c>
      <x:c r="G72" s="8"/>
      <x:c r="H72" s="8"/>
      <x:c r="I72" s="8"/>
    </x:row>
    <x:row r="73">
      <x:c r="A73" s="8" t="str">
        <x:v>boolean</x:v>
      </x:c>
      <x:c r="B73" s="8" t="str">
        <x:v>2026-10-03</x:v>
      </x:c>
      <x:c r="C73" s="8" t="str">
        <x:v>2026-10-03</x:v>
      </x:c>
      <x:c r="D73" s="8" t="str">
        <x:v>string</x:v>
      </x:c>
      <x:c r="E73" s="17" t="b">
        <x:v>0</x:v>
      </x:c>
      <x:c r="F73" s="17" t="b">
        <x:v>0</x:v>
      </x:c>
      <x:c r="G73" s="8" t="str">
        <x:v>\pc135\D\Desktop\folder3\file-66.txt</x:v>
      </x:c>
      <x:c r="H73" s="8" t="str">
        <x:v>This sentence is long enough to exercise wrapping and downstream chunk boundaries in Markdown output.</x:v>
      </x:c>
      <x:c r="I73" s="8"/>
    </x:row>
    <x:row r="74">
      <x:c r="A74" s="8" t="str">
        <x:v>text</x:v>
      </x:c>
      <x:c r="B74" s="8" t="str">
        <x:v>00123</x:v>
      </x:c>
      <x:c r="C74" s="8" t="str">
        <x:v>00123</x:v>
      </x:c>
      <x:c r="D74" s="8" t="str">
        <x:v>string</x:v>
      </x:c>
      <x:c r="E74" s="17" t="b">
        <x:v>0</x:v>
      </x:c>
      <x:c r="F74" s="17" t="b">
        <x:v>0</x:v>
      </x:c>
      <x:c r="G74" s="8" t="str">
        <x:v>\pc135\D\Desktop\folder4\file-67.txt</x:v>
      </x:c>
      <x:c r="H74" s="8" t="str">
        <x:v>Potential duplicate: this paragraph is repeated in another section to test deduplication and chunk metadata.</x:v>
      </x:c>
      <x:c r="I74" s="8"/>
    </x:row>
    <x:row r="75">
      <x:c r="A75" s="8" t="str">
        <x:v>code</x:v>
      </x:c>
      <x:c r="B75" s="8" t="str">
        <x:v>line one
line two</x:v>
      </x:c>
      <x:c r="C75" s="8" t="str">
        <x:v>line one
line two</x:v>
      </x:c>
      <x:c r="D75" s="8" t="str">
        <x:v>date-like</x:v>
      </x:c>
      <x:c r="E75" s="17" t="b">
        <x:v>0</x:v>
      </x:c>
      <x:c r="F75" s="17" t="b">
        <x:v>0</x:v>
      </x:c>
      <x:c r="G75" s="8"/>
      <x:c r="H75" s="8"/>
      <x:c r="I75" s="8"/>
    </x:row>
    <x:row r="76">
      <x:c r="A76" s="8" t="str">
        <x:v>url</x:v>
      </x:c>
      <x:c r="B76" s="8" t="str">
        <x:v>00123</x:v>
      </x:c>
      <x:c r="C76" s="8" t="str">
        <x:v>00123</x:v>
      </x:c>
      <x:c r="D76" s="8" t="str">
        <x:v>date-like</x:v>
      </x:c>
      <x:c r="E76" s="17" t="b">
        <x:v>0</x:v>
      </x:c>
      <x:c r="F76" s="17" t="b">
        <x:v>0</x:v>
      </x:c>
      <x:c r="G76" s="8"/>
      <x:c r="H76" s="8" t="str">
        <x:v>This sentence is long enough to exercise wrapping and downstream chunk boundaries in Markdown output.</x:v>
      </x:c>
      <x:c r="I76" s="8"/>
    </x:row>
    <x:row r="77">
      <x:c r="A77" s="8" t="str">
        <x:v>code</x:v>
      </x:c>
      <x:c r="B77" s="8" t="str">
        <x:v>false</x:v>
      </x:c>
      <x:c r="C77" s="8" t="str">
        <x:v>false</x:v>
      </x:c>
      <x:c r="D77" s="8" t="str">
        <x:v>boolean-like</x:v>
      </x:c>
      <x:c r="E77" s="17" t="b">
        <x:v>0</x:v>
      </x:c>
      <x:c r="F77" s="17" t="b">
        <x:v>0</x:v>
      </x:c>
      <x:c r="G77" s="8" t="str">
        <x:v>\pc135\D\Desktop\folder0\file-70.txt</x:v>
      </x:c>
      <x:c r="H77" s="8"/>
      <x:c r="I77" s="8"/>
    </x:row>
    <x:row r="78">
      <x:c r="A78" s="8" t="str">
        <x:v>boolean</x:v>
      </x:c>
      <x:c r="B78" s="8" t="str">
        <x:v>{"a":1}</x:v>
      </x:c>
      <x:c r="C78" s="8" t="str">
        <x:v>{"a":1}</x:v>
      </x:c>
      <x:c r="D78" s="8" t="str">
        <x:v>date-like</x:v>
      </x:c>
      <x:c r="E78" s="17" t="b">
        <x:v>0</x:v>
      </x:c>
      <x:c r="F78" s="17" t="b">
        <x:v>0</x:v>
      </x:c>
      <x:c r="G78" s="8"/>
      <x:c r="H78" s="8"/>
      <x:c r="I78" s="8"/>
    </x:row>
    <x:row r="79">
      <x:c r="A79" s="8" t="str">
        <x:v>date</x:v>
      </x:c>
      <x:c r="B79" s="8" t="str">
        <x:v>2026-10-03</x:v>
      </x:c>
      <x:c r="C79" s="8" t="str">
        <x:v>2026-10-03</x:v>
      </x:c>
      <x:c r="D79" s="8" t="str">
        <x:v>date-like</x:v>
      </x:c>
      <x:c r="E79" s="17" t="b">
        <x:v>0</x:v>
      </x:c>
      <x:c r="F79" s="17" t="b">
        <x:v>0</x:v>
      </x:c>
      <x:c r="G79" s="8" t="str">
        <x:v>\pc135\D\Desktop\folder2\file-72.txt</x:v>
      </x:c>
      <x:c r="H79" s="8"/>
      <x:c r="I79" s="8"/>
    </x:row>
    <x:row r="80">
      <x:c r="A80" s="8" t="str">
        <x:v>url</x:v>
      </x:c>
      <x:c r="B80" s="8" t="str">
        <x:v>false</x:v>
      </x:c>
      <x:c r="C80" s="8" t="str">
        <x:v>false</x:v>
      </x:c>
      <x:c r="D80" s="8" t="str">
        <x:v>numeric</x:v>
      </x:c>
      <x:c r="E80" s="17" t="b">
        <x:v>0</x:v>
      </x:c>
      <x:c r="F80" s="17" t="b">
        <x:v>0</x:v>
      </x:c>
      <x:c r="G80" s="8" t="str">
        <x:v>\pc135\D\Desktop\folder3\file-73.txt</x:v>
      </x:c>
      <x:c r="H80" s="8" t="str">
        <x:v>A blank cell here is intentional. The source workbook has notes placed away from the nearest table.</x:v>
      </x:c>
      <x:c r="I80" s="8"/>
    </x:row>
    <x:row r="81">
      <x:c r="A81" s="8" t="str">
        <x:v>url</x:v>
      </x:c>
      <x:c r="B81" s="8" t="str">
        <x:v>TRUE</x:v>
      </x:c>
      <x:c r="C81" s="8" t="str">
        <x:v>TRUE</x:v>
      </x:c>
      <x:c r="D81" s="8" t="str">
        <x:v>date-like</x:v>
      </x:c>
      <x:c r="E81" s="17" t="b">
        <x:v>0</x:v>
      </x:c>
      <x:c r="F81" s="17" t="b">
        <x:v>0</x:v>
      </x:c>
      <x:c r="G81" s="8"/>
      <x:c r="H81" s="8"/>
      <x:c r="I81" s="8"/>
    </x:row>
    <x:row r="82">
      <x:c r="A82" s="8" t="str">
        <x:v>number</x:v>
      </x:c>
      <x:c r="B82" s="8" t="str">
        <x:v>line one
line two</x:v>
      </x:c>
      <x:c r="C82" s="8" t="str">
        <x:v>line one
line two</x:v>
      </x:c>
      <x:c r="D82" s="8" t="str">
        <x:v>date-like</x:v>
      </x:c>
      <x:c r="E82" s="17" t="b">
        <x:v>0</x:v>
      </x:c>
      <x:c r="F82" s="17" t="b">
        <x:v>0</x:v>
      </x:c>
      <x:c r="G82" s="8" t="str">
        <x:v>\pc135\D\Desktop\folder5\file-75.txt</x:v>
      </x:c>
      <x:c r="H82" s="8" t="str">
        <x:v>Potential duplicate: this paragraph is repeated in another section to test deduplication and chunk metadata.</x:v>
      </x:c>
      <x:c r="I82" s="8"/>
    </x:row>
    <x:row r="83">
      <x:c r="A83" s="8" t="str">
        <x:v>text</x:v>
      </x:c>
      <x:c r="B83" s="8" t="str">
        <x:v>line one
line two</x:v>
      </x:c>
      <x:c r="C83" s="8" t="str">
        <x:v>line one
line two</x:v>
      </x:c>
      <x:c r="D83" s="8" t="str">
        <x:v>unknown</x:v>
      </x:c>
      <x:c r="E83" s="17" t="b">
        <x:v>0</x:v>
      </x:c>
      <x:c r="F83" s="17" t="b">
        <x:v>0</x:v>
      </x:c>
      <x:c r="G83" s="8"/>
      <x:c r="H83" s="8" t="str">
        <x:v>The owner field was not captured in the original notes, so classification should remain conservative.</x:v>
      </x:c>
      <x:c r="I83" s="8"/>
    </x:row>
    <x:row r="84">
      <x:c r="A84" s="8" t="str">
        <x:v>date</x:v>
      </x:c>
      <x:c r="B84" s="8" t="str">
        <x:v>N/A</x:v>
      </x:c>
      <x:c r="C84" s="8" t="str">
        <x:v>N/A</x:v>
      </x:c>
      <x:c r="D84" s="8" t="str">
        <x:v>date-like</x:v>
      </x:c>
      <x:c r="E84" s="17" t="b">
        <x:v>0</x:v>
      </x:c>
      <x:c r="F84" s="17" t="b">
        <x:v>0</x:v>
      </x:c>
      <x:c r="G84" s="8"/>
      <x:c r="H84" s="8"/>
      <x:c r="I84" s="8"/>
    </x:row>
    <x:row r="85">
      <x:c r="A85" s="8" t="str">
        <x:v>note</x:v>
      </x:c>
      <x:c r="B85" s="8" t="str">
        <x:v>TRUE</x:v>
      </x:c>
      <x:c r="C85" s="8" t="str">
        <x:v>TRUE</x:v>
      </x:c>
      <x:c r="D85" s="8" t="str">
        <x:v>boolean-like</x:v>
      </x:c>
      <x:c r="E85" s="17" t="b">
        <x:v>0</x:v>
      </x:c>
      <x:c r="F85" s="17" t="b">
        <x:v>0</x:v>
      </x:c>
      <x:c r="G85" s="8"/>
      <x:c r="H85" s="8" t="str">
        <x:v>Follow-up: compare the result when the network security policy is relaxed versus when it is enforced.</x:v>
      </x:c>
      <x:c r="I85" s="8"/>
    </x:row>
    <x:row r="86">
      <x:c r="A86" s="8" t="str">
        <x:v>date</x:v>
      </x:c>
      <x:c r="B86" s="8" t="str">
        <x:v>line one
line two</x:v>
      </x:c>
      <x:c r="C86" s="8" t="str">
        <x:v>line one
line two</x:v>
      </x:c>
      <x:c r="D86" s="8" t="str">
        <x:v>string</x:v>
      </x:c>
      <x:c r="E86" s="17" t="b">
        <x:v>0</x:v>
      </x:c>
      <x:c r="F86" s="17" t="b">
        <x:v>0</x:v>
      </x:c>
      <x:c r="G86" s="8" t="str">
        <x:v>\pc135\D\Desktop\folder2\file-79.txt</x:v>
      </x:c>
      <x:c r="H86" s="8" t="str">
        <x:v>This sentence is long enough to exercise wrapping and downstream chunk boundaries in Markdown output.</x:v>
      </x:c>
      <x:c r="I86" s="8"/>
    </x:row>
    <x:row r="87">
      <x:c r="A87" s="8" t="str">
        <x:v>text</x:v>
      </x:c>
      <x:c r="B87" s="8" t="str">
        <x:v>false</x:v>
      </x:c>
      <x:c r="C87" s="8" t="str">
        <x:v>false</x:v>
      </x:c>
      <x:c r="D87" s="8" t="str">
        <x:v>date-like</x:v>
      </x:c>
      <x:c r="E87" s="17" t="b">
        <x:v>0</x:v>
      </x:c>
      <x:c r="F87" s="17" t="b">
        <x:v>0</x:v>
      </x:c>
      <x:c r="G87" s="8"/>
      <x:c r="H87" s="8"/>
      <x:c r="I87" s="8"/>
    </x:row>
    <x:row r="88">
      <x:c r="A88" s="8" t="str">
        <x:v>note</x:v>
      </x:c>
      <x:c r="B88" s="8" t="str">
        <x:v>line one
line two</x:v>
      </x:c>
      <x:c r="C88" s="8" t="str">
        <x:v>line one
line two</x:v>
      </x:c>
      <x:c r="D88" s="8" t="str">
        <x:v>boolean-like</x:v>
      </x:c>
      <x:c r="E88" s="17" t="b">
        <x:v>0</x:v>
      </x:c>
      <x:c r="F88" s="17" t="b">
        <x:v>0</x:v>
      </x:c>
      <x:c r="G88" s="8" t="str">
        <x:v>\pc135\D\Desktop\folder4\file-81.txt</x:v>
      </x:c>
      <x:c r="H88" s="8" t="str">
        <x:v>Verify behavior on a cold start and after the page reloads without destroying the native view.</x:v>
      </x:c>
      <x:c r="I88" s="8"/>
    </x:row>
    <x:row r="89">
      <x:c r="A89" s="8" t="str">
        <x:v>text</x:v>
      </x:c>
      <x:c r="B89" s="8" t="str">
        <x:v>&lt;tag&gt;value&lt;/tag&gt;</x:v>
      </x:c>
      <x:c r="C89" s="8" t="str">
        <x:v>&lt;tag&gt;value&lt;/tag&gt;</x:v>
      </x:c>
      <x:c r="D89" s="8" t="str">
        <x:v>boolean-like</x:v>
      </x:c>
      <x:c r="E89" s="17" t="b">
        <x:v>0</x:v>
      </x:c>
      <x:c r="F89" s="17" t="b">
        <x:v>0</x:v>
      </x:c>
      <x:c r="G89" s="8" t="str">
        <x:v>\pc135\D\Desktop\folder5\file-82.txt</x:v>
      </x:c>
      <x:c r="H89" s="8"/>
      <x:c r="I89" s="8"/>
    </x:row>
    <x:row r="90">
      <x:c r="A90" s="8" t="str">
        <x:v>boolean</x:v>
      </x:c>
      <x:c r="B90" s="8" t="str">
        <x:v>00123</x:v>
      </x:c>
      <x:c r="C90" s="8" t="str">
        <x:v>00123</x:v>
      </x:c>
      <x:c r="D90" s="8" t="str">
        <x:v>string</x:v>
      </x:c>
      <x:c r="E90" s="17" t="b">
        <x:v>0</x:v>
      </x:c>
      <x:c r="F90" s="17" t="b">
        <x:v>0</x:v>
      </x:c>
      <x:c r="G90" s="8"/>
      <x:c r="H90" s="8" t="str">
        <x:v>Verify behavior on a cold start and after the page reloads without destroying the native view.</x:v>
      </x:c>
      <x:c r="I90" s="8"/>
    </x:row>
    <x:row r="91">
      <x:c r="A91" s="8"/>
      <x:c r="B91" s="8"/>
      <x:c r="C91" s="8"/>
      <x:c r="D91" s="8"/>
      <x:c r="E91" s="8"/>
      <x:c r="F91" s="8"/>
      <x:c r="G91" s="8"/>
      <x:c r="H91" s="8"/>
      <x:c r="I91" s="8"/>
    </x:row>
    <x:row r="92">
      <x:c r="A92" s="8" t="str">
        <x:v>code</x:v>
      </x:c>
      <x:c r="B92" s="8" t="str">
        <x:v>1,234.50</x:v>
      </x:c>
      <x:c r="C92" s="8" t="str">
        <x:v>1,234.50</x:v>
      </x:c>
      <x:c r="D92" s="8" t="str">
        <x:v>numeric</x:v>
      </x:c>
      <x:c r="E92" s="17" t="b">
        <x:v>0</x:v>
      </x:c>
      <x:c r="F92" s="17" t="b">
        <x:v>0</x:v>
      </x:c>
      <x:c r="G92" s="8" t="str">
        <x:v>\pc135\D\Desktop\folder0\file-84.txt</x:v>
      </x:c>
      <x:c r="H92" s="8"/>
      <x:c r="I92" s="8"/>
    </x:row>
    <x:row r="93">
      <x:c r="A93" s="8" t="str">
        <x:v>url</x:v>
      </x:c>
      <x:c r="B93" s="8" t="str">
        <x:v>line one
line two</x:v>
      </x:c>
      <x:c r="C93" s="8" t="str">
        <x:v>line one
line two</x:v>
      </x:c>
      <x:c r="D93" s="8" t="str">
        <x:v>numeric</x:v>
      </x:c>
      <x:c r="E93" s="17" t="b">
        <x:v>0</x:v>
      </x:c>
      <x:c r="F93" s="17" t="b">
        <x:v>0</x:v>
      </x:c>
      <x:c r="G93" s="8" t="str">
        <x:v>\pc135\D\Desktop\folder1\file-85.txt</x:v>
      </x:c>
      <x:c r="H93" s="8" t="str">
        <x:v>The owner field was not captured in the original notes, so classification should remain conservative.</x:v>
      </x:c>
      <x:c r="I93" s="8"/>
    </x:row>
    <x:row r="94">
      <x:c r="A94" s="8" t="str">
        <x:v>number</x:v>
      </x:c>
      <x:c r="B94" s="8" t="str">
        <x:v>  padded text  </x:v>
      </x:c>
      <x:c r="C94" s="8" t="str">
        <x:v>  padded text  </x:v>
      </x:c>
      <x:c r="D94" s="8" t="str">
        <x:v>string</x:v>
      </x:c>
      <x:c r="E94" s="17" t="b">
        <x:v>0</x:v>
      </x:c>
      <x:c r="F94" s="17" t="b">
        <x:v>0</x:v>
      </x:c>
      <x:c r="G94" s="8" t="str">
        <x:v>\pc135\D\Desktop\folder2\file-86.txt</x:v>
      </x:c>
      <x:c r="H94" s="8"/>
      <x:c r="I94" s="8"/>
    </x:row>
    <x:row r="95">
      <x:c r="A95" s="8" t="str">
        <x:v>note</x:v>
      </x:c>
      <x:c r="B95" s="8" t="str">
        <x:v>line one
line two</x:v>
      </x:c>
      <x:c r="C95" s="8" t="str">
        <x:v>line one
line two</x:v>
      </x:c>
      <x:c r="D95" s="8" t="str">
        <x:v>numeric</x:v>
      </x:c>
      <x:c r="E95" s="17" t="b">
        <x:v>0</x:v>
      </x:c>
      <x:c r="F95" s="17" t="b">
        <x:v>0</x:v>
      </x:c>
      <x:c r="G95" s="8" t="str">
        <x:v>\pc135\D\Desktop\folder3\file-87.txt</x:v>
      </x:c>
      <x:c r="H95" s="8"/>
      <x:c r="I95" s="8"/>
    </x:row>
    <x:row r="96">
      <x:c r="A96" s="8" t="str">
        <x:v>url</x:v>
      </x:c>
      <x:c r="B96" s="8" t="str">
        <x:v>false</x:v>
      </x:c>
      <x:c r="C96" s="8" t="str">
        <x:v>false</x:v>
      </x:c>
      <x:c r="D96" s="8" t="str">
        <x:v>numeric</x:v>
      </x:c>
      <x:c r="E96" s="17" t="b">
        <x:v>0</x:v>
      </x:c>
      <x:c r="F96" s="17" t="b">
        <x:v>0</x:v>
      </x:c>
      <x:c r="G96" s="8"/>
      <x:c r="H96" s="8"/>
      <x:c r="I96" s="8"/>
    </x:row>
    <x:row r="97">
      <x:c r="A97" s="8" t="str">
        <x:v>text</x:v>
      </x:c>
      <x:c r="B97" s="8" t="str">
        <x:v>  padded text  </x:v>
      </x:c>
      <x:c r="C97" s="8" t="str">
        <x:v>  padded text  </x:v>
      </x:c>
      <x:c r="D97" s="8" t="str">
        <x:v>numeric</x:v>
      </x:c>
      <x:c r="E97" s="17" t="b">
        <x:v>0</x:v>
      </x:c>
      <x:c r="F97" s="17" t="b">
        <x:v>0</x:v>
      </x:c>
      <x:c r="G97" s="8"/>
      <x:c r="H97" s="8" t="str">
        <x:v>Follow-up: compare the result when the network security policy is relaxed versus when it is enforced.</x:v>
      </x:c>
      <x:c r="I97" s="8"/>
    </x:row>
    <x:row r="98">
      <x:c r="A98" s="8" t="str">
        <x:v>note</x:v>
      </x:c>
      <x:c r="B98" s="8" t="str">
        <x:v>  padded text  </x:v>
      </x:c>
      <x:c r="C98" s="8" t="str">
        <x:v>  padded text  </x:v>
      </x:c>
      <x:c r="D98" s="8" t="str">
        <x:v>boolean-like</x:v>
      </x:c>
      <x:c r="E98" s="17" t="b">
        <x:v>0</x:v>
      </x:c>
      <x:c r="F98" s="17" t="b">
        <x:v>0</x:v>
      </x:c>
      <x:c r="G98" s="8" t="str">
        <x:v>\pc135\D\Desktop\folder6\file-90.txt</x:v>
      </x:c>
      <x:c r="H98" s="8"/>
      <x:c r="I98" s="8"/>
    </x:row>
    <x:row r="99">
      <x:c r="A99" s="8" t="str">
        <x:v>url</x:v>
      </x:c>
      <x:c r="B99" s="8" t="str">
        <x:v>&lt;tag&gt;value&lt;/tag&gt;</x:v>
      </x:c>
      <x:c r="C99" s="8" t="str">
        <x:v>&lt;tag&gt;value&lt;/tag&gt;</x:v>
      </x:c>
      <x:c r="D99" s="8" t="str">
        <x:v>string</x:v>
      </x:c>
      <x:c r="E99" s="17" t="b">
        <x:v>0</x:v>
      </x:c>
      <x:c r="F99" s="17" t="b">
        <x:v>0</x:v>
      </x:c>
      <x:c r="G99" s="8" t="str">
        <x:v>\pc135\D\Desktop\folder0\file-91.txt</x:v>
      </x:c>
      <x:c r="H99" s="8"/>
      <x:c r="I99" s="8"/>
    </x:row>
    <x:row r="100">
      <x:c r="A100" s="8" t="str">
        <x:v>text</x:v>
      </x:c>
      <x:c r="B100" s="8" t="str">
        <x:v>TRUE</x:v>
      </x:c>
      <x:c r="C100" s="8" t="str">
        <x:v>TRUE</x:v>
      </x:c>
      <x:c r="D100" s="8" t="str">
        <x:v>unknown</x:v>
      </x:c>
      <x:c r="E100" s="17" t="b">
        <x:v>0</x:v>
      </x:c>
      <x:c r="F100" s="17" t="b">
        <x:v>0</x:v>
      </x:c>
      <x:c r="G100" s="8" t="str">
        <x:v>\pc135\D\Desktop\folder1\file-92.txt</x:v>
      </x:c>
      <x:c r="H100" s="8" t="str">
        <x:v>The owner field was not captured in the original notes, so classification should remain conservative.</x:v>
      </x:c>
      <x:c r="I100" s="8"/>
    </x:row>
    <x:row r="101">
      <x:c r="A101" s="8" t="str">
        <x:v>note</x:v>
      </x:c>
      <x:c r="B101" s="8" t="str">
        <x:v>TRUE</x:v>
      </x:c>
      <x:c r="C101" s="8" t="str">
        <x:v>TRUE</x:v>
      </x:c>
      <x:c r="D101" s="8" t="str">
        <x:v>string</x:v>
      </x:c>
      <x:c r="E101" s="17" t="b">
        <x:v>0</x:v>
      </x:c>
      <x:c r="F101" s="17" t="b">
        <x:v>0</x:v>
      </x:c>
      <x:c r="G101" s="8" t="str">
        <x:v>\pc135\D\Desktop\folder2\file-93.txt</x:v>
      </x:c>
      <x:c r="H101" s="8"/>
      <x:c r="I101" s="8"/>
    </x:row>
    <x:row r="102">
      <x:c r="A102" s="8" t="str">
        <x:v>note</x:v>
      </x:c>
      <x:c r="B102" s="8" t="n">
        <x:f>SUM(A1:A3)</x:f>
        <x:v>0</x:v>
      </x:c>
      <x:c r="C102" s="8" t="n">
        <x:f>SUM(A1:A3)</x:f>
        <x:v>0</x:v>
      </x:c>
      <x:c r="D102" s="8" t="str">
        <x:v>unknown</x:v>
      </x:c>
      <x:c r="E102" s="17" t="b">
        <x:v>0</x:v>
      </x:c>
      <x:c r="F102" s="17" t="b">
        <x:v>1</x:v>
      </x:c>
      <x:c r="G102" s="8" t="str">
        <x:v>\pc135\D\Desktop\folder3\file-94.txt</x:v>
      </x:c>
      <x:c r="H102" s="8" t="str">
        <x:v>Follow-up: compare the result when the network security policy is relaxed versus when it is enforced.</x:v>
      </x:c>
      <x:c r="I102" s="8"/>
    </x:row>
    <x:row r="103">
      <x:c r="A103" s="8" t="str">
        <x:v>date</x:v>
      </x:c>
      <x:c r="B103" s="8" t="str">
        <x:v>{"a":1}</x:v>
      </x:c>
      <x:c r="C103" s="8" t="str">
        <x:v>{"a":1}</x:v>
      </x:c>
      <x:c r="D103" s="8" t="str">
        <x:v>string</x:v>
      </x:c>
      <x:c r="E103" s="17" t="b">
        <x:v>0</x:v>
      </x:c>
      <x:c r="F103" s="17" t="b">
        <x:v>0</x:v>
      </x:c>
      <x:c r="G103" s="8" t="str">
        <x:v>\pc135\D\Desktop\folder4\file-95.txt</x:v>
      </x:c>
      <x:c r="H103" s="8"/>
      <x:c r="I103" s="8"/>
    </x:row>
    <x:row r="104">
      <x:c r="A104" s="8" t="str">
        <x:v>url</x:v>
      </x:c>
      <x:c r="B104" s="8" t="str">
        <x:v>&lt;tag&gt;value&lt;/tag&gt;</x:v>
      </x:c>
      <x:c r="C104" s="8" t="str">
        <x:v>&lt;tag&gt;value&lt;/tag&gt;</x:v>
      </x:c>
      <x:c r="D104" s="8" t="str">
        <x:v>unknown</x:v>
      </x:c>
      <x:c r="E104" s="17" t="b">
        <x:v>0</x:v>
      </x:c>
      <x:c r="F104" s="17" t="b">
        <x:v>0</x:v>
      </x:c>
      <x:c r="G104" s="8" t="str">
        <x:v>\pc135\D\Desktop\folder5\file-96.txt</x:v>
      </x:c>
      <x:c r="H104" s="8"/>
      <x:c r="I104" s="8"/>
    </x:row>
    <x:row r="105">
      <x:c r="A105" s="8" t="str">
        <x:v>date</x:v>
      </x:c>
      <x:c r="B105" s="8" t="str">
        <x:v>1,234.50</x:v>
      </x:c>
      <x:c r="C105" s="8" t="str">
        <x:v>1,234.50</x:v>
      </x:c>
      <x:c r="D105" s="8" t="str">
        <x:v>numeric</x:v>
      </x:c>
      <x:c r="E105" s="17" t="b">
        <x:v>0</x:v>
      </x:c>
      <x:c r="F105" s="17" t="b">
        <x:v>0</x:v>
      </x:c>
      <x:c r="G105" s="8" t="str">
        <x:v>\pc135\D\Desktop\folder6\file-97.txt</x:v>
      </x:c>
      <x:c r="H105" s="8"/>
      <x:c r="I105" s="8"/>
    </x:row>
    <x:row r="106">
      <x:c r="A106" s="8" t="str">
        <x:v>url</x:v>
      </x:c>
      <x:c r="B106" s="8" t="str">
        <x:v>line one
line two</x:v>
      </x:c>
      <x:c r="C106" s="8" t="str">
        <x:v>line one
line two</x:v>
      </x:c>
      <x:c r="D106" s="8" t="str">
        <x:v>date-like</x:v>
      </x:c>
      <x:c r="E106" s="17" t="b">
        <x:v>0</x:v>
      </x:c>
      <x:c r="F106" s="17" t="b">
        <x:v>0</x:v>
      </x:c>
      <x:c r="G106" s="8"/>
      <x:c r="H106" s="8"/>
      <x:c r="I106" s="8"/>
    </x:row>
    <x:row r="107">
      <x:c r="A107" s="8" t="str">
        <x:v>number</x:v>
      </x:c>
      <x:c r="B107" s="8" t="str">
        <x:v>00123</x:v>
      </x:c>
      <x:c r="C107" s="8" t="str">
        <x:v>00123</x:v>
      </x:c>
      <x:c r="D107" s="8" t="str">
        <x:v>boolean-like</x:v>
      </x:c>
      <x:c r="E107" s="17" t="b">
        <x:v>0</x:v>
      </x:c>
      <x:c r="F107" s="17" t="b">
        <x:v>0</x:v>
      </x:c>
      <x:c r="G107" s="8" t="str">
        <x:v>\pc135\D\Desktop\folder1\file-99.txt</x:v>
      </x:c>
      <x:c r="H107" s="8" t="str">
        <x:v>This sentence is long enough to exercise wrapping and downstream chunk boundaries in Markdown output.</x:v>
      </x:c>
      <x:c r="I107" s="8"/>
    </x:row>
    <x:row r="108">
      <x:c r="A108" s="8" t="str">
        <x:v>number</x:v>
      </x:c>
      <x:c r="B108" s="8" t="str">
        <x:v>a;b;c</x:v>
      </x:c>
      <x:c r="C108" s="8" t="str">
        <x:v>a;b;c</x:v>
      </x:c>
      <x:c r="D108" s="8" t="str">
        <x:v>date-like</x:v>
      </x:c>
      <x:c r="E108" s="17" t="b">
        <x:v>0</x:v>
      </x:c>
      <x:c r="F108" s="17" t="b">
        <x:v>0</x:v>
      </x:c>
      <x:c r="G108" s="8"/>
      <x:c r="H108" s="8" t="str">
        <x:v>Follow-up: compare the result when the network security policy is relaxed versus when it is enforced.</x:v>
      </x:c>
      <x:c r="I108" s="8"/>
    </x:row>
    <x:row r="109">
      <x:c r="A109" s="8" t="str">
        <x:v>text</x:v>
      </x:c>
      <x:c r="B109" s="8" t="str">
        <x:v>TRUE</x:v>
      </x:c>
      <x:c r="C109" s="8" t="str">
        <x:v>TRUE</x:v>
      </x:c>
      <x:c r="D109" s="8" t="str">
        <x:v>boolean-like</x:v>
      </x:c>
      <x:c r="E109" s="17" t="b">
        <x:v>0</x:v>
      </x:c>
      <x:c r="F109" s="17" t="b">
        <x:v>0</x:v>
      </x:c>
      <x:c r="G109" s="8"/>
      <x:c r="H109" s="8"/>
      <x:c r="I109" s="8"/>
    </x:row>
    <x:row r="110">
      <x:c r="A110" s="8" t="str">
        <x:v>number</x:v>
      </x:c>
      <x:c r="B110" s="8" t="str">
        <x:v>line one
line two</x:v>
      </x:c>
      <x:c r="C110" s="8" t="str">
        <x:v>line one
line two</x:v>
      </x:c>
      <x:c r="D110" s="8" t="str">
        <x:v>date-like</x:v>
      </x:c>
      <x:c r="E110" s="17" t="b">
        <x:v>0</x:v>
      </x:c>
      <x:c r="F110" s="17" t="b">
        <x:v>0</x:v>
      </x:c>
      <x:c r="G110" s="8"/>
      <x:c r="H110" s="8" t="str">
        <x:v>Observed in a local test run: the content rendered, but the console warning appeared twice.</x:v>
      </x:c>
      <x:c r="I110" s="8"/>
    </x:row>
    <x:row r="111">
      <x:c r="A111" s="8" t="str">
        <x:v>boolean</x:v>
      </x:c>
      <x:c r="B111" s="8" t="str">
        <x:v>TRUE</x:v>
      </x:c>
      <x:c r="C111" s="8" t="str">
        <x:v>TRUE</x:v>
      </x:c>
      <x:c r="D111" s="8" t="str">
        <x:v>string</x:v>
      </x:c>
      <x:c r="E111" s="17" t="b">
        <x:v>0</x:v>
      </x:c>
      <x:c r="F111" s="17" t="b">
        <x:v>0</x:v>
      </x:c>
      <x:c r="G111" s="8" t="str">
        <x:v>\pc135\D\Desktop\folder5\file-103.txt</x:v>
      </x:c>
      <x:c r="H111" s="8"/>
      <x:c r="I111" s="8"/>
    </x:row>
    <x:row r="112">
      <x:c r="A112" s="8" t="str">
        <x:v>number</x:v>
      </x:c>
      <x:c r="B112" s="8" t="str">
        <x:v>TRUE</x:v>
      </x:c>
      <x:c r="C112" s="8" t="str">
        <x:v>TRUE</x:v>
      </x:c>
      <x:c r="D112" s="8" t="str">
        <x:v>date-like</x:v>
      </x:c>
      <x:c r="E112" s="17" t="b">
        <x:v>0</x:v>
      </x:c>
      <x:c r="F112" s="17" t="b">
        <x:v>0</x:v>
      </x:c>
      <x:c r="G112" s="8" t="str">
        <x:v>\pc135\D\Desktop\folder6\file-104.txt</x:v>
      </x:c>
      <x:c r="H112" s="8" t="str">
        <x:v>Potential duplicate: this paragraph is repeated in another section to test deduplication and chunk metadata.</x:v>
      </x:c>
      <x:c r="I112" s="8"/>
    </x:row>
    <x:row r="113">
      <x:c r="A113" s="8"/>
      <x:c r="B113" s="8"/>
      <x:c r="C113" s="8"/>
      <x:c r="D113" s="8"/>
      <x:c r="E113" s="8"/>
      <x:c r="F113" s="8"/>
      <x:c r="G113" s="8"/>
      <x:c r="H113" s="8"/>
      <x:c r="I113" s="8"/>
    </x:row>
    <x:row r="114">
      <x:c r="A114" s="8" t="str">
        <x:v>note</x:v>
      </x:c>
      <x:c r="B114" s="8" t="str">
        <x:v>N/A</x:v>
      </x:c>
      <x:c r="C114" s="8" t="str">
        <x:v>N/A</x:v>
      </x:c>
      <x:c r="D114" s="8" t="str">
        <x:v>unknown</x:v>
      </x:c>
      <x:c r="E114" s="17" t="b">
        <x:v>0</x:v>
      </x:c>
      <x:c r="F114" s="17" t="b">
        <x:v>0</x:v>
      </x:c>
      <x:c r="G114" s="8"/>
      <x:c r="H114" s="8" t="str">
        <x:v>Observed in a local test run: the content rendered, but the console warning appeared twice.</x:v>
      </x:c>
      <x:c r="I114" s="8"/>
    </x:row>
    <x:row r="115">
      <x:c r="A115" s="8" t="str">
        <x:v>boolean</x:v>
      </x:c>
      <x:c r="B115" s="8" t="str">
        <x:v>false</x:v>
      </x:c>
      <x:c r="C115" s="8" t="str">
        <x:v>false</x:v>
      </x:c>
      <x:c r="D115" s="8" t="str">
        <x:v>numeric</x:v>
      </x:c>
      <x:c r="E115" s="17" t="b">
        <x:v>0</x:v>
      </x:c>
      <x:c r="F115" s="17" t="b">
        <x:v>0</x:v>
      </x:c>
      <x:c r="G115" s="8"/>
      <x:c r="H115" s="8"/>
      <x:c r="I115" s="8"/>
    </x:row>
    <x:row r="116">
      <x:c r="A116" s="8" t="str">
        <x:v>text</x:v>
      </x:c>
      <x:c r="B116" s="8" t="str">
        <x:v>N/A</x:v>
      </x:c>
      <x:c r="C116" s="8" t="str">
        <x:v>N/A</x:v>
      </x:c>
      <x:c r="D116" s="8" t="str">
        <x:v>string</x:v>
      </x:c>
      <x:c r="E116" s="17" t="b">
        <x:v>0</x:v>
      </x:c>
      <x:c r="F116" s="17" t="b">
        <x:v>0</x:v>
      </x:c>
      <x:c r="G116" s="8"/>
      <x:c r="H116" s="8" t="str">
        <x:v>The bridge callback is stable for small payloads, but large JSON messages show visible delay during navigation.</x:v>
      </x:c>
      <x:c r="I116" s="8"/>
    </x:row>
    <x:row r="117">
      <x:c r="A117" s="8" t="str">
        <x:v>number</x:v>
      </x:c>
      <x:c r="B117" s="8" t="str">
        <x:v>1,234.50</x:v>
      </x:c>
      <x:c r="C117" s="8" t="str">
        <x:v>1,234.50</x:v>
      </x:c>
      <x:c r="D117" s="8" t="str">
        <x:v>string</x:v>
      </x:c>
      <x:c r="E117" s="17" t="b">
        <x:v>0</x:v>
      </x:c>
      <x:c r="F117" s="17" t="b">
        <x:v>0</x:v>
      </x:c>
      <x:c r="G117" s="8" t="str">
        <x:v>\pc135\D\Desktop\folder3\file-108.txt</x:v>
      </x:c>
      <x:c r="H117" s="8" t="str">
        <x:v>This sentence is long enough to exercise wrapping and downstream chunk boundaries in Markdown output.</x:v>
      </x:c>
      <x:c r="I117" s="8"/>
    </x:row>
    <x:row r="118">
      <x:c r="A118" s="8" t="str">
        <x:v>note</x:v>
      </x:c>
      <x:c r="B118" s="8" t="str">
        <x:v>TRUE</x:v>
      </x:c>
      <x:c r="C118" s="8" t="str">
        <x:v>TRUE</x:v>
      </x:c>
      <x:c r="D118" s="8" t="str">
        <x:v>boolean-like</x:v>
      </x:c>
      <x:c r="E118" s="17" t="b">
        <x:v>0</x:v>
      </x:c>
      <x:c r="F118" s="17" t="b">
        <x:v>0</x:v>
      </x:c>
      <x:c r="G118" s="8" t="str">
        <x:v>\pc135\D\Desktop\folder4\file-109.txt</x:v>
      </x:c>
      <x:c r="H118" s="8"/>
      <x:c r="I118" s="8"/>
    </x:row>
    <x:row r="119">
      <x:c r="A119" s="8" t="str">
        <x:v>number</x:v>
      </x:c>
      <x:c r="B119" s="8" t="str">
        <x:v>a;b;c</x:v>
      </x:c>
      <x:c r="C119" s="8" t="str">
        <x:v>a;b;c</x:v>
      </x:c>
      <x:c r="D119" s="8" t="str">
        <x:v>string</x:v>
      </x:c>
      <x:c r="E119" s="17" t="b">
        <x:v>0</x:v>
      </x:c>
      <x:c r="F119" s="17" t="b">
        <x:v>0</x:v>
      </x:c>
      <x:c r="G119" s="8" t="str">
        <x:v>\pc135\D\Desktop\folder5\file-110.txt</x:v>
      </x:c>
      <x:c r="H119" s="8" t="str">
        <x:v>Observed in a local test run: the content rendered, but the console warning appeared twice.</x:v>
      </x:c>
      <x:c r="I119" s="8"/>
    </x:row>
    <x:row r="120">
      <x:c r="A120" s="8" t="str">
        <x:v>code</x:v>
      </x:c>
      <x:c r="B120" s="8" t="str">
        <x:v>{"a":1}</x:v>
      </x:c>
      <x:c r="C120" s="8" t="str">
        <x:v>{"a":1}</x:v>
      </x:c>
      <x:c r="D120" s="8" t="str">
        <x:v>numeric</x:v>
      </x:c>
      <x:c r="E120" s="17" t="b">
        <x:v>0</x:v>
      </x:c>
      <x:c r="F120" s="17" t="b">
        <x:v>0</x:v>
      </x:c>
      <x:c r="G120" s="8"/>
      <x:c r="H120" s="8"/>
      <x:c r="I120" s="8"/>
    </x:row>
    <x:row r="121">
      <x:c r="A121" s="8" t="str">
        <x:v>text</x:v>
      </x:c>
      <x:c r="B121" s="8" t="str">
        <x:v>  padded text  </x:v>
      </x:c>
      <x:c r="C121" s="8" t="str">
        <x:v>  padded text  </x:v>
      </x:c>
      <x:c r="D121" s="8" t="str">
        <x:v>date-like</x:v>
      </x:c>
      <x:c r="E121" s="17" t="b">
        <x:v>0</x:v>
      </x:c>
      <x:c r="F121" s="17" t="b">
        <x:v>0</x:v>
      </x:c>
      <x:c r="G121" s="8"/>
      <x:c r="H121" s="8"/>
      <x:c r="I121" s="8"/>
    </x:row>
    <x:row r="122">
      <x:c r="A122" s="8" t="str">
        <x:v>number</x:v>
      </x:c>
      <x:c r="B122" s="8" t="str">
        <x:v>N/A</x:v>
      </x:c>
      <x:c r="C122" s="8" t="str">
        <x:v>N/A</x:v>
      </x:c>
      <x:c r="D122" s="8" t="str">
        <x:v>boolean-like</x:v>
      </x:c>
      <x:c r="E122" s="17" t="b">
        <x:v>0</x:v>
      </x:c>
      <x:c r="F122" s="17" t="b">
        <x:v>0</x:v>
      </x:c>
      <x:c r="G122" s="8"/>
      <x:c r="H122" s="8"/>
      <x:c r="I122" s="8"/>
    </x:row>
    <x:row r="123">
      <x:c r="A123" s="8" t="str">
        <x:v>date</x:v>
      </x:c>
      <x:c r="B123" s="8" t="n">
        <x:f>SUM(A1:A3)</x:f>
        <x:v>0</x:v>
      </x:c>
      <x:c r="C123" s="8" t="n">
        <x:f>SUM(A1:A3)</x:f>
        <x:v>0</x:v>
      </x:c>
      <x:c r="D123" s="8" t="str">
        <x:v>date-like</x:v>
      </x:c>
      <x:c r="E123" s="17" t="b">
        <x:v>0</x:v>
      </x:c>
      <x:c r="F123" s="17" t="b">
        <x:v>1</x:v>
      </x:c>
      <x:c r="G123" s="8"/>
      <x:c r="H123" s="8" t="str">
        <x:v>The bridge callback is stable for small payloads, but large JSON messages show visible delay during navigation.</x:v>
      </x:c>
      <x:c r="I123" s="8"/>
    </x:row>
    <x:row r="124">
      <x:c r="A124" s="8" t="str">
        <x:v>note</x:v>
      </x:c>
      <x:c r="B124" s="8" t="str">
        <x:v>a;b;c</x:v>
      </x:c>
      <x:c r="C124" s="8" t="str">
        <x:v>a;b;c</x:v>
      </x:c>
      <x:c r="D124" s="8" t="str">
        <x:v>date-like</x:v>
      </x:c>
      <x:c r="E124" s="17" t="b">
        <x:v>0</x:v>
      </x:c>
      <x:c r="F124" s="17" t="b">
        <x:v>0</x:v>
      </x:c>
      <x:c r="G124" s="8"/>
      <x:c r="H124" s="8"/>
      <x:c r="I124" s="8"/>
    </x:row>
    <x:row r="125">
      <x:c r="A125" s="8" t="str">
        <x:v>code</x:v>
      </x:c>
      <x:c r="B125" s="8" t="str">
        <x:v>false</x:v>
      </x:c>
      <x:c r="C125" s="8" t="str">
        <x:v>false</x:v>
      </x:c>
      <x:c r="D125" s="8" t="str">
        <x:v>unknown</x:v>
      </x:c>
      <x:c r="E125" s="17" t="b">
        <x:v>0</x:v>
      </x:c>
      <x:c r="F125" s="17" t="b">
        <x:v>0</x:v>
      </x:c>
      <x:c r="G125" s="8" t="str">
        <x:v>\pc135\D\Desktop\folder4\file-116.txt</x:v>
      </x:c>
      <x:c r="H125" s="8"/>
      <x:c r="I125" s="8"/>
    </x:row>
    <x:row r="126">
      <x:c r="A126" s="8" t="str">
        <x:v>code</x:v>
      </x:c>
      <x:c r="B126" s="8" t="str">
        <x:v>&lt;tag&gt;value&lt;/tag&gt;</x:v>
      </x:c>
      <x:c r="C126" s="8" t="str">
        <x:v>&lt;tag&gt;value&lt;/tag&gt;</x:v>
      </x:c>
      <x:c r="D126" s="8" t="str">
        <x:v>numeric</x:v>
      </x:c>
      <x:c r="E126" s="17" t="b">
        <x:v>0</x:v>
      </x:c>
      <x:c r="F126" s="17" t="b">
        <x:v>0</x:v>
      </x:c>
      <x:c r="G126" s="8" t="str">
        <x:v>\pc135\D\Desktop\folder5\file-117.txt</x:v>
      </x:c>
      <x:c r="H126" s="8" t="str">
        <x:v>Follow-up: compare the result when the network security policy is relaxed versus when it is enforced.</x:v>
      </x:c>
      <x:c r="I126" s="8"/>
    </x:row>
    <x:row r="127">
      <x:c r="A127" s="8" t="str">
        <x:v>date</x:v>
      </x:c>
      <x:c r="B127" s="8" t="str">
        <x:v>N/A</x:v>
      </x:c>
      <x:c r="C127" s="8" t="str">
        <x:v>N/A</x:v>
      </x:c>
      <x:c r="D127" s="8" t="str">
        <x:v>numeric</x:v>
      </x:c>
      <x:c r="E127" s="17" t="b">
        <x:v>0</x:v>
      </x:c>
      <x:c r="F127" s="17" t="b">
        <x:v>0</x:v>
      </x:c>
      <x:c r="G127" s="8" t="str">
        <x:v>\pc135\D\Desktop\folder6\file-118.txt</x:v>
      </x:c>
      <x:c r="H127" s="8" t="str">
        <x:v>Follow-up: compare the result when the network security policy is relaxed versus when it is enforced.</x:v>
      </x:c>
      <x:c r="I127" s="8"/>
    </x:row>
    <x:row r="128">
      <x:c r="A128" s="8" t="str">
        <x:v>text</x:v>
      </x:c>
      <x:c r="B128" s="8" t="str">
        <x:v>2026-10-03</x:v>
      </x:c>
      <x:c r="C128" s="8" t="str">
        <x:v>2026-10-03</x:v>
      </x:c>
      <x:c r="D128" s="8" t="str">
        <x:v>boolean-like</x:v>
      </x:c>
      <x:c r="E128" s="17" t="b">
        <x:v>0</x:v>
      </x:c>
      <x:c r="F128" s="17" t="b">
        <x:v>0</x:v>
      </x:c>
      <x:c r="G128" s="8" t="str">
        <x:v>\pc135\D\Desktop\folder0\file-119.txt</x:v>
      </x:c>
      <x:c r="H128" s="8" t="str">
        <x:v>The bridge callback is stable for small payloads, but large JSON messages show visible delay during navigation.</x:v>
      </x:c>
      <x:c r="I128" s="8"/>
    </x:row>
    <x:row r="129">
      <x:c r="A129" s="8" t="str">
        <x:v>date</x:v>
      </x:c>
      <x:c r="B129" s="8" t="str">
        <x:v>TRUE</x:v>
      </x:c>
      <x:c r="C129" s="8" t="str">
        <x:v>TRUE</x:v>
      </x:c>
      <x:c r="D129" s="8" t="str">
        <x:v>unknown</x:v>
      </x:c>
      <x:c r="E129" s="17" t="b">
        <x:v>0</x:v>
      </x:c>
      <x:c r="F129" s="17" t="b">
        <x:v>0</x:v>
      </x:c>
      <x:c r="G129" s="8"/>
      <x:c r="H129" s="8"/>
      <x:c r="I129" s="8"/>
    </x:row>
    <x:row r="130">
      <x:c r="A130" s="8" t="str">
        <x:v>code</x:v>
      </x:c>
      <x:c r="B130" s="8" t="n">
        <x:f>SUM(A1:A3)</x:f>
        <x:v>0</x:v>
      </x:c>
      <x:c r="C130" s="8" t="n">
        <x:f>SUM(A1:A3)</x:f>
        <x:v>0</x:v>
      </x:c>
      <x:c r="D130" s="8" t="str">
        <x:v>string</x:v>
      </x:c>
      <x:c r="E130" s="17" t="b">
        <x:v>0</x:v>
      </x:c>
      <x:c r="F130" s="17" t="b">
        <x:v>1</x:v>
      </x:c>
      <x:c r="G130" s="8" t="str">
        <x:v>\pc135\D\Desktop\folder2\file-121.txt</x:v>
      </x:c>
      <x:c r="H130" s="8" t="str">
        <x:v>Verify behavior on a cold start and after the page reloads without destroying the native view.</x:v>
      </x:c>
      <x:c r="I130" s="8"/>
    </x:row>
    <x:row r="131">
      <x:c r="A131" s="8" t="str">
        <x:v>url</x:v>
      </x:c>
      <x:c r="B131" s="8" t="str">
        <x:v>false</x:v>
      </x:c>
      <x:c r="C131" s="8" t="str">
        <x:v>false</x:v>
      </x:c>
      <x:c r="D131" s="8" t="str">
        <x:v>string</x:v>
      </x:c>
      <x:c r="E131" s="17" t="b">
        <x:v>0</x:v>
      </x:c>
      <x:c r="F131" s="17" t="b">
        <x:v>0</x:v>
      </x:c>
      <x:c r="G131" s="8" t="str">
        <x:v>\pc135\D\Desktop\folder3\file-122.txt</x:v>
      </x:c>
      <x:c r="H131" s="8" t="str">
        <x:v>Potential duplicate: this paragraph is repeated in another section to test deduplication and chunk metadata.</x:v>
      </x:c>
      <x:c r="I131" s="8"/>
    </x:row>
    <x:row r="132">
      <x:c r="A132" s="8" t="str">
        <x:v>number</x:v>
      </x:c>
      <x:c r="B132" s="8" t="str">
        <x:v>&lt;tag&gt;value&lt;/tag&gt;</x:v>
      </x:c>
      <x:c r="C132" s="8" t="str">
        <x:v>&lt;tag&gt;value&lt;/tag&gt;</x:v>
      </x:c>
      <x:c r="D132" s="8" t="str">
        <x:v>unknown</x:v>
      </x:c>
      <x:c r="E132" s="17" t="b">
        <x:v>0</x:v>
      </x:c>
      <x:c r="F132" s="17" t="b">
        <x:v>0</x:v>
      </x:c>
      <x:c r="G132" s="8"/>
      <x:c r="H132" s="8" t="str">
        <x:v>A blank cell here is intentional. The source workbook has notes placed away from the nearest table.</x:v>
      </x:c>
      <x:c r="I132" s="8"/>
    </x:row>
    <x:row r="133">
      <x:c r="A133" s="8" t="str">
        <x:v>boolean</x:v>
      </x:c>
      <x:c r="B133" s="8" t="str">
        <x:v>&lt;tag&gt;value&lt;/tag&gt;</x:v>
      </x:c>
      <x:c r="C133" s="8" t="str">
        <x:v>&lt;tag&gt;value&lt;/tag&gt;</x:v>
      </x:c>
      <x:c r="D133" s="8" t="str">
        <x:v>boolean-like</x:v>
      </x:c>
      <x:c r="E133" s="17" t="b">
        <x:v>0</x:v>
      </x:c>
      <x:c r="F133" s="17" t="b">
        <x:v>0</x:v>
      </x:c>
      <x:c r="G133" s="8" t="str">
        <x:v>\pc135\D\Desktop\folder5\file-124.txt</x:v>
      </x:c>
      <x:c r="H133" s="8" t="str">
        <x:v>The owner field was not captured in the original notes, so classification should remain conservative.</x:v>
      </x:c>
      <x:c r="I133" s="8"/>
    </x:row>
    <x:row r="134">
      <x:c r="A134" s="8" t="str">
        <x:v>code</x:v>
      </x:c>
      <x:c r="B134" s="8" t="str">
        <x:v>a;b;c</x:v>
      </x:c>
      <x:c r="C134" s="8" t="str">
        <x:v>a;b;c</x:v>
      </x:c>
      <x:c r="D134" s="8" t="str">
        <x:v>date-like</x:v>
      </x:c>
      <x:c r="E134" s="17" t="b">
        <x:v>0</x:v>
      </x:c>
      <x:c r="F134" s="17" t="b">
        <x:v>0</x:v>
      </x:c>
      <x:c r="G134" s="8"/>
      <x:c r="H134" s="8" t="str">
        <x:v>The owner field was not captured in the original notes, so classification should remain conservative.</x:v>
      </x:c>
      <x:c r="I134" s="8"/>
    </x:row>
    <x:row r="135">
      <x:c r="A135" s="8"/>
      <x:c r="B135" s="8"/>
      <x:c r="C135" s="8"/>
      <x:c r="D135" s="8"/>
      <x:c r="E135" s="8"/>
      <x:c r="F135" s="8"/>
      <x:c r="G135" s="8"/>
      <x:c r="H135" s="8"/>
      <x:c r="I135" s="8"/>
    </x:row>
    <x:row r="136">
      <x:c r="A136" s="8" t="str">
        <x:v>code</x:v>
      </x:c>
      <x:c r="B136" s="8" t="str">
        <x:v>00123</x:v>
      </x:c>
      <x:c r="C136" s="8" t="str">
        <x:v>00123</x:v>
      </x:c>
      <x:c r="D136" s="8" t="str">
        <x:v>date-like</x:v>
      </x:c>
      <x:c r="E136" s="17" t="b">
        <x:v>0</x:v>
      </x:c>
      <x:c r="F136" s="17" t="b">
        <x:v>0</x:v>
      </x:c>
      <x:c r="G136" s="8"/>
      <x:c r="H136" s="8"/>
      <x:c r="I136" s="8"/>
    </x:row>
    <x:row r="137">
      <x:c r="A137" s="8" t="str">
        <x:v>date</x:v>
      </x:c>
      <x:c r="B137" s="8" t="n">
        <x:f>SUM(A1:A3)</x:f>
        <x:v>0</x:v>
      </x:c>
      <x:c r="C137" s="8" t="n">
        <x:f>SUM(A1:A3)</x:f>
        <x:v>0</x:v>
      </x:c>
      <x:c r="D137" s="8" t="str">
        <x:v>unknown</x:v>
      </x:c>
      <x:c r="E137" s="17" t="b">
        <x:v>0</x:v>
      </x:c>
      <x:c r="F137" s="17" t="b">
        <x:v>1</x:v>
      </x:c>
      <x:c r="G137" s="8"/>
      <x:c r="H137" s="8" t="str">
        <x:v>This sentence is long enough to exercise wrapping and downstream chunk boundaries in Markdown output.</x:v>
      </x:c>
      <x:c r="I137" s="8"/>
    </x:row>
    <x:row r="138">
      <x:c r="A138" s="8" t="str">
        <x:v>note</x:v>
      </x:c>
      <x:c r="B138" s="8" t="str">
        <x:v>  padded text  </x:v>
      </x:c>
      <x:c r="C138" s="8" t="str">
        <x:v>  padded text  </x:v>
      </x:c>
      <x:c r="D138" s="8" t="str">
        <x:v>string</x:v>
      </x:c>
      <x:c r="E138" s="17" t="b">
        <x:v>0</x:v>
      </x:c>
      <x:c r="F138" s="17" t="b">
        <x:v>0</x:v>
      </x:c>
      <x:c r="G138" s="8" t="str">
        <x:v>\pc135\D\Desktop\folder2\file-128.txt</x:v>
      </x:c>
      <x:c r="H138" s="8"/>
      <x:c r="I138" s="8"/>
    </x:row>
    <x:row r="139">
      <x:c r="A139" s="8" t="str">
        <x:v>date</x:v>
      </x:c>
      <x:c r="B139" s="8" t="str">
        <x:v>2026-10-03</x:v>
      </x:c>
      <x:c r="C139" s="8" t="str">
        <x:v>2026-10-03</x:v>
      </x:c>
      <x:c r="D139" s="8" t="str">
        <x:v>string</x:v>
      </x:c>
      <x:c r="E139" s="17" t="b">
        <x:v>0</x:v>
      </x:c>
      <x:c r="F139" s="17" t="b">
        <x:v>0</x:v>
      </x:c>
      <x:c r="G139" s="8" t="str">
        <x:v>\pc135\D\Desktop\folder3\file-129.txt</x:v>
      </x:c>
      <x:c r="H139" s="8" t="str">
        <x:v>Potential duplicate: this paragraph is repeated in another section to test deduplication and chunk metadata.</x:v>
      </x:c>
      <x:c r="I139" s="8"/>
    </x:row>
    <x:row r="140">
      <x:c r="A140" s="8" t="str">
        <x:v>date</x:v>
      </x:c>
      <x:c r="B140" s="8" t="str">
        <x:v>TRUE</x:v>
      </x:c>
      <x:c r="C140" s="8" t="str">
        <x:v>TRUE</x:v>
      </x:c>
      <x:c r="D140" s="8" t="str">
        <x:v>date-like</x:v>
      </x:c>
      <x:c r="E140" s="17" t="b">
        <x:v>0</x:v>
      </x:c>
      <x:c r="F140" s="17" t="b">
        <x:v>0</x:v>
      </x:c>
      <x:c r="G140" s="8" t="str">
        <x:v>\pc135\D\Desktop\folder4\file-130.txt</x:v>
      </x:c>
      <x:c r="H140" s="8" t="str">
        <x:v>Observed in a local test run: the content rendered, but the console warning appeared twice.</x:v>
      </x:c>
      <x:c r="I140" s="8"/>
    </x:row>
    <x:row r="141">
      <x:c r="A141" s="8" t="str">
        <x:v>note</x:v>
      </x:c>
      <x:c r="B141" s="8" t="str">
        <x:v>TRUE</x:v>
      </x:c>
      <x:c r="C141" s="8" t="str">
        <x:v>TRUE</x:v>
      </x:c>
      <x:c r="D141" s="8" t="str">
        <x:v>date-like</x:v>
      </x:c>
      <x:c r="E141" s="17" t="b">
        <x:v>0</x:v>
      </x:c>
      <x:c r="F141" s="17" t="b">
        <x:v>0</x:v>
      </x:c>
      <x:c r="G141" s="8"/>
      <x:c r="H141" s="8" t="str">
        <x:v>The bridge callback is stable for small payloads, but large JSON messages show visible delay during navigation.</x:v>
      </x:c>
      <x:c r="I141" s="8"/>
    </x:row>
    <x:row r="142">
      <x:c r="A142" s="8" t="str">
        <x:v>date</x:v>
      </x:c>
      <x:c r="B142" s="8" t="str">
        <x:v>N/A</x:v>
      </x:c>
      <x:c r="C142" s="8" t="str">
        <x:v>N/A</x:v>
      </x:c>
      <x:c r="D142" s="8" t="str">
        <x:v>numeric</x:v>
      </x:c>
      <x:c r="E142" s="17" t="b">
        <x:v>0</x:v>
      </x:c>
      <x:c r="F142" s="17" t="b">
        <x:v>0</x:v>
      </x:c>
      <x:c r="G142" s="8" t="str">
        <x:v>\pc135\D\Desktop\folder6\file-132.txt</x:v>
      </x:c>
      <x:c r="H142" s="8" t="str">
        <x:v>The owner field was not captured in the original notes, so classification should remain conservative.</x:v>
      </x:c>
      <x:c r="I142" s="8"/>
    </x:row>
    <x:row r="143">
      <x:c r="A143" s="8" t="str">
        <x:v>code</x:v>
      </x:c>
      <x:c r="B143" s="8" t="str">
        <x:v>TRUE</x:v>
      </x:c>
      <x:c r="C143" s="8" t="str">
        <x:v>TRUE</x:v>
      </x:c>
      <x:c r="D143" s="8" t="str">
        <x:v>date-like</x:v>
      </x:c>
      <x:c r="E143" s="17" t="b">
        <x:v>0</x:v>
      </x:c>
      <x:c r="F143" s="17" t="b">
        <x:v>0</x:v>
      </x:c>
      <x:c r="G143" s="8"/>
      <x:c r="H143" s="8"/>
      <x:c r="I143" s="8"/>
    </x:row>
    <x:row r="144">
      <x:c r="A144" s="8" t="str">
        <x:v>text</x:v>
      </x:c>
      <x:c r="B144" s="8" t="str">
        <x:v>00123</x:v>
      </x:c>
      <x:c r="C144" s="8" t="str">
        <x:v>00123</x:v>
      </x:c>
      <x:c r="D144" s="8" t="str">
        <x:v>unknown</x:v>
      </x:c>
      <x:c r="E144" s="17" t="b">
        <x:v>0</x:v>
      </x:c>
      <x:c r="F144" s="17" t="b">
        <x:v>0</x:v>
      </x:c>
      <x:c r="G144" s="8" t="str">
        <x:v>\pc135\D\Desktop\folder1\file-134.txt</x:v>
      </x:c>
      <x:c r="H144" s="8"/>
      <x:c r="I144" s="8"/>
    </x:row>
    <x:row r="145">
      <x:c r="A145" s="8" t="str">
        <x:v>number</x:v>
      </x:c>
      <x:c r="B145" s="8" t="str">
        <x:v>a;b;c</x:v>
      </x:c>
      <x:c r="C145" s="8" t="str">
        <x:v>a;b;c</x:v>
      </x:c>
      <x:c r="D145" s="8" t="str">
        <x:v>string</x:v>
      </x:c>
      <x:c r="E145" s="17" t="b">
        <x:v>0</x:v>
      </x:c>
      <x:c r="F145" s="17" t="b">
        <x:v>0</x:v>
      </x:c>
      <x:c r="G145" s="8"/>
      <x:c r="H145" s="8" t="str">
        <x:v>Follow-up: compare the result when the network security policy is relaxed versus when it is enforced.</x:v>
      </x:c>
      <x:c r="I145" s="8"/>
    </x:row>
    <x:row r="146">
      <x:c r="A146" s="8" t="str">
        <x:v>boolean</x:v>
      </x:c>
      <x:c r="B146" s="8" t="str">
        <x:v>1,234.50</x:v>
      </x:c>
      <x:c r="C146" s="8" t="str">
        <x:v>1,234.50</x:v>
      </x:c>
      <x:c r="D146" s="8" t="str">
        <x:v>boolean-like</x:v>
      </x:c>
      <x:c r="E146" s="17" t="b">
        <x:v>0</x:v>
      </x:c>
      <x:c r="F146" s="17" t="b">
        <x:v>0</x:v>
      </x:c>
      <x:c r="G146" s="8"/>
      <x:c r="H146" s="8" t="str">
        <x:v>A blank cell here is intentional. The source workbook has notes placed away from the nearest table.</x:v>
      </x:c>
      <x:c r="I146" s="8"/>
    </x:row>
    <x:row r="147">
      <x:c r="A147" s="8" t="str">
        <x:v>text</x:v>
      </x:c>
      <x:c r="B147" s="8" t="str">
        <x:v>2026-10-03</x:v>
      </x:c>
      <x:c r="C147" s="8" t="str">
        <x:v>2026-10-03</x:v>
      </x:c>
      <x:c r="D147" s="8" t="str">
        <x:v>numeric</x:v>
      </x:c>
      <x:c r="E147" s="17" t="b">
        <x:v>0</x:v>
      </x:c>
      <x:c r="F147" s="17" t="b">
        <x:v>0</x:v>
      </x:c>
      <x:c r="G147" s="8" t="str">
        <x:v>\pc135\D\Desktop\folder4\file-137.txt</x:v>
      </x:c>
      <x:c r="H147" s="8"/>
      <x:c r="I147" s="8"/>
    </x:row>
    <x:row r="148">
      <x:c r="A148" s="8" t="str">
        <x:v>date</x:v>
      </x:c>
      <x:c r="B148" s="8" t="str">
        <x:v>&lt;tag&gt;value&lt;/tag&gt;</x:v>
      </x:c>
      <x:c r="C148" s="8" t="str">
        <x:v>&lt;tag&gt;value&lt;/tag&gt;</x:v>
      </x:c>
      <x:c r="D148" s="8" t="str">
        <x:v>date-like</x:v>
      </x:c>
      <x:c r="E148" s="17" t="b">
        <x:v>0</x:v>
      </x:c>
      <x:c r="F148" s="17" t="b">
        <x:v>0</x:v>
      </x:c>
      <x:c r="G148" s="8" t="str">
        <x:v>\pc135\D\Desktop\folder5\file-138.txt</x:v>
      </x:c>
      <x:c r="H148" s="8" t="str">
        <x:v>Verify behavior on a cold start and after the page reloads without destroying the native view.</x:v>
      </x:c>
      <x:c r="I148" s="8"/>
    </x:row>
    <x:row r="149">
      <x:c r="A149" s="8" t="str">
        <x:v>boolean</x:v>
      </x:c>
      <x:c r="B149" s="8" t="str">
        <x:v>2026-10-03</x:v>
      </x:c>
      <x:c r="C149" s="8" t="str">
        <x:v>2026-10-03</x:v>
      </x:c>
      <x:c r="D149" s="8" t="str">
        <x:v>boolean-like</x:v>
      </x:c>
      <x:c r="E149" s="17" t="b">
        <x:v>0</x:v>
      </x:c>
      <x:c r="F149" s="17" t="b">
        <x:v>0</x:v>
      </x:c>
      <x:c r="G149" s="8" t="str">
        <x:v>\pc135\D\Desktop\folder6\file-139.txt</x:v>
      </x:c>
      <x:c r="H149" s="8" t="str">
        <x:v>Verify behavior on a cold start and after the page reloads without destroying the native view.</x:v>
      </x:c>
      <x:c r="I149" s="8"/>
    </x:row>
    <x:row r="150">
      <x:c r="A150" s="8" t="str">
        <x:v>note</x:v>
      </x:c>
      <x:c r="B150" s="8" t="n">
        <x:f>SUM(A1:A3)</x:f>
        <x:v>0</x:v>
      </x:c>
      <x:c r="C150" s="8" t="n">
        <x:f>SUM(A1:A3)</x:f>
        <x:v>0</x:v>
      </x:c>
      <x:c r="D150" s="8" t="str">
        <x:v>numeric</x:v>
      </x:c>
      <x:c r="E150" s="17" t="b">
        <x:v>0</x:v>
      </x:c>
      <x:c r="F150" s="17" t="b">
        <x:v>1</x:v>
      </x:c>
      <x:c r="G150" s="8"/>
      <x:c r="H150" s="8" t="str">
        <x:v>Potential duplicate: this paragraph is repeated in another section to test deduplication and chunk metadata.</x:v>
      </x:c>
      <x:c r="I150" s="8"/>
    </x:row>
    <x:row r="151">
      <x:c r="A151" s="8" t="str">
        <x:v>date</x:v>
      </x:c>
      <x:c r="B151" s="8" t="str">
        <x:v>00123</x:v>
      </x:c>
      <x:c r="C151" s="8" t="str">
        <x:v>00123</x:v>
      </x:c>
      <x:c r="D151" s="8" t="str">
        <x:v>date-like</x:v>
      </x:c>
      <x:c r="E151" s="17" t="b">
        <x:v>0</x:v>
      </x:c>
      <x:c r="F151" s="17" t="b">
        <x:v>0</x:v>
      </x:c>
      <x:c r="G151" s="8"/>
      <x:c r="H151" s="8"/>
      <x:c r="I151" s="8"/>
    </x:row>
    <x:row r="152">
      <x:c r="A152" s="8" t="str">
        <x:v>url</x:v>
      </x:c>
      <x:c r="B152" s="8" t="str">
        <x:v>false</x:v>
      </x:c>
      <x:c r="C152" s="8" t="str">
        <x:v>false</x:v>
      </x:c>
      <x:c r="D152" s="8" t="str">
        <x:v>string</x:v>
      </x:c>
      <x:c r="E152" s="17" t="b">
        <x:v>0</x:v>
      </x:c>
      <x:c r="F152" s="17" t="b">
        <x:v>0</x:v>
      </x:c>
      <x:c r="G152" s="8" t="str">
        <x:v>\pc135\D\Desktop\folder2\file-142.txt</x:v>
      </x:c>
      <x:c r="H152" s="8"/>
      <x:c r="I152" s="8"/>
    </x:row>
    <x:row r="153">
      <x:c r="A153" s="8" t="str">
        <x:v>url</x:v>
      </x:c>
      <x:c r="B153" s="8" t="str">
        <x:v>2026-10-03</x:v>
      </x:c>
      <x:c r="C153" s="8" t="str">
        <x:v>2026-10-03</x:v>
      </x:c>
      <x:c r="D153" s="8" t="str">
        <x:v>boolean-like</x:v>
      </x:c>
      <x:c r="E153" s="17" t="b">
        <x:v>0</x:v>
      </x:c>
      <x:c r="F153" s="17" t="b">
        <x:v>0</x:v>
      </x:c>
      <x:c r="G153" s="8"/>
      <x:c r="H153" s="8" t="str">
        <x:v>Verify behavior on a cold start and after the page reloads without destroying the native view.</x:v>
      </x:c>
      <x:c r="I153" s="8"/>
    </x:row>
    <x:row r="154">
      <x:c r="A154" s="8" t="str">
        <x:v>boolean</x:v>
      </x:c>
      <x:c r="B154" s="8" t="str">
        <x:v>00123</x:v>
      </x:c>
      <x:c r="C154" s="8" t="str">
        <x:v>00123</x:v>
      </x:c>
      <x:c r="D154" s="8" t="str">
        <x:v>numeric</x:v>
      </x:c>
      <x:c r="E154" s="17" t="b">
        <x:v>0</x:v>
      </x:c>
      <x:c r="F154" s="17" t="b">
        <x:v>0</x:v>
      </x:c>
      <x:c r="G154" s="8" t="str">
        <x:v>\pc135\D\Desktop\folder4\file-144.txt</x:v>
      </x:c>
      <x:c r="H154" s="8" t="str">
        <x:v>The owner field was not captured in the original notes, so classification should remain conservative.</x:v>
      </x:c>
      <x:c r="I154" s="8"/>
    </x:row>
    <x:row r="155">
      <x:c r="A155" s="8" t="str">
        <x:v>note</x:v>
      </x:c>
      <x:c r="B155" s="8" t="str">
        <x:v>1,234.50</x:v>
      </x:c>
      <x:c r="C155" s="8" t="str">
        <x:v>1,234.50</x:v>
      </x:c>
      <x:c r="D155" s="8" t="str">
        <x:v>string</x:v>
      </x:c>
      <x:c r="E155" s="17" t="b">
        <x:v>0</x:v>
      </x:c>
      <x:c r="F155" s="17" t="b">
        <x:v>0</x:v>
      </x:c>
      <x:c r="G155" s="8"/>
      <x:c r="H155" s="8" t="str">
        <x:v>The bridge callback is stable for small payloads, but large JSON messages show visible delay during navigation.</x:v>
      </x:c>
      <x:c r="I155" s="8"/>
    </x:row>
    <x:row r="156">
      <x:c r="A156" s="8" t="str">
        <x:v>date</x:v>
      </x:c>
      <x:c r="B156" s="8" t="str">
        <x:v>N/A</x:v>
      </x:c>
      <x:c r="C156" s="8" t="str">
        <x:v>N/A</x:v>
      </x:c>
      <x:c r="D156" s="8" t="str">
        <x:v>boolean-like</x:v>
      </x:c>
      <x:c r="E156" s="17" t="b">
        <x:v>0</x:v>
      </x:c>
      <x:c r="F156" s="17" t="b">
        <x:v>0</x:v>
      </x:c>
      <x:c r="G156" s="8"/>
      <x:c r="H156" s="8" t="str">
        <x:v>A blank cell here is intentional. The source workbook has notes placed away from the nearest table.</x:v>
      </x:c>
      <x:c r="I156" s="8"/>
    </x:row>
    <x:row r="157">
      <x:c r="A157" s="8"/>
      <x:c r="B157" s="8"/>
      <x:c r="C157" s="8"/>
      <x:c r="D157" s="8"/>
      <x:c r="E157" s="8"/>
      <x:c r="F157" s="8"/>
      <x:c r="G157" s="8"/>
      <x:c r="H157" s="8"/>
      <x:c r="I157" s="8"/>
    </x:row>
    <x:row r="158">
      <x:c r="A158" s="8" t="str">
        <x:v>code</x:v>
      </x:c>
      <x:c r="B158" s="8" t="str">
        <x:v>TRUE</x:v>
      </x:c>
      <x:c r="C158" s="8" t="str">
        <x:v>TRUE</x:v>
      </x:c>
      <x:c r="D158" s="8" t="str">
        <x:v>unknown</x:v>
      </x:c>
      <x:c r="E158" s="17" t="b">
        <x:v>0</x:v>
      </x:c>
      <x:c r="F158" s="17" t="b">
        <x:v>0</x:v>
      </x:c>
      <x:c r="G158" s="8" t="str">
        <x:v>\pc135\D\Desktop\folder0\file-147.txt</x:v>
      </x:c>
      <x:c r="H158" s="8" t="str">
        <x:v>Potential duplicate: this paragraph is repeated in another section to test deduplication and chunk metadata.</x:v>
      </x:c>
      <x:c r="I158" s="8"/>
    </x:row>
    <x:row r="159">
      <x:c r="A159" s="8" t="str">
        <x:v>url</x:v>
      </x:c>
      <x:c r="B159" s="8" t="str">
        <x:v>TRUE</x:v>
      </x:c>
      <x:c r="C159" s="8" t="str">
        <x:v>TRUE</x:v>
      </x:c>
      <x:c r="D159" s="8" t="str">
        <x:v>numeric</x:v>
      </x:c>
      <x:c r="E159" s="17" t="b">
        <x:v>0</x:v>
      </x:c>
      <x:c r="F159" s="17" t="b">
        <x:v>0</x:v>
      </x:c>
      <x:c r="G159" s="8"/>
      <x:c r="H159" s="8"/>
      <x:c r="I159" s="8"/>
    </x:row>
    <x:row r="160">
      <x:c r="A160" s="8" t="str">
        <x:v>date</x:v>
      </x:c>
      <x:c r="B160" s="8" t="n">
        <x:f>SUM(A1:A3)</x:f>
        <x:v>0</x:v>
      </x:c>
      <x:c r="C160" s="8" t="n">
        <x:f>SUM(A1:A3)</x:f>
        <x:v>0</x:v>
      </x:c>
      <x:c r="D160" s="8" t="str">
        <x:v>string</x:v>
      </x:c>
      <x:c r="E160" s="17" t="b">
        <x:v>0</x:v>
      </x:c>
      <x:c r="F160" s="17" t="b">
        <x:v>1</x:v>
      </x:c>
      <x:c r="G160" s="8"/>
      <x:c r="H160" s="8" t="str">
        <x:v>Observed in a local test run: the content rendered, but the console warning appeared twice.</x:v>
      </x:c>
      <x:c r="I160" s="8"/>
    </x:row>
    <x:row r="161">
      <x:c r="A161" s="8" t="str">
        <x:v>code</x:v>
      </x:c>
      <x:c r="B161" s="8" t="str">
        <x:v>00123</x:v>
      </x:c>
      <x:c r="C161" s="8" t="str">
        <x:v>00123</x:v>
      </x:c>
      <x:c r="D161" s="8" t="str">
        <x:v>numeric</x:v>
      </x:c>
      <x:c r="E161" s="17" t="b">
        <x:v>0</x:v>
      </x:c>
      <x:c r="F161" s="17" t="b">
        <x:v>0</x:v>
      </x:c>
      <x:c r="G161" s="8"/>
      <x:c r="H161" s="8" t="str">
        <x:v>Observed in a local test run: the content rendered, but the console warning appeared twice.</x:v>
      </x:c>
      <x:c r="I161" s="8"/>
    </x:row>
    <x:row r="162">
      <x:c r="A162" s="8" t="str">
        <x:v>boolean</x:v>
      </x:c>
      <x:c r="B162" s="8" t="str">
        <x:v>00123</x:v>
      </x:c>
      <x:c r="C162" s="8" t="str">
        <x:v>00123</x:v>
      </x:c>
      <x:c r="D162" s="8" t="str">
        <x:v>string</x:v>
      </x:c>
      <x:c r="E162" s="17" t="b">
        <x:v>0</x:v>
      </x:c>
      <x:c r="F162" s="17" t="b">
        <x:v>0</x:v>
      </x:c>
      <x:c r="G162" s="8"/>
      <x:c r="H162" s="8" t="str">
        <x:v>The owner field was not captured in the original notes, so classification should remain conservative.</x:v>
      </x:c>
      <x:c r="I162" s="8"/>
    </x:row>
    <x:row r="163">
      <x:c r="A163" s="8" t="str">
        <x:v>url</x:v>
      </x:c>
      <x:c r="B163" s="8" t="str">
        <x:v>a;b;c</x:v>
      </x:c>
      <x:c r="C163" s="8" t="str">
        <x:v>a;b;c</x:v>
      </x:c>
      <x:c r="D163" s="8" t="str">
        <x:v>date-like</x:v>
      </x:c>
      <x:c r="E163" s="17" t="b">
        <x:v>0</x:v>
      </x:c>
      <x:c r="F163" s="17" t="b">
        <x:v>0</x:v>
      </x:c>
      <x:c r="G163" s="8"/>
      <x:c r="H163" s="8" t="str">
        <x:v>The owner field was not captured in the original notes, so classification should remain conservative.</x:v>
      </x:c>
      <x:c r="I163" s="8"/>
    </x:row>
    <x:row r="164">
      <x:c r="A164" s="8" t="str">
        <x:v>date</x:v>
      </x:c>
      <x:c r="B164" s="8" t="str">
        <x:v>1,234.50</x:v>
      </x:c>
      <x:c r="C164" s="8" t="str">
        <x:v>1,234.50</x:v>
      </x:c>
      <x:c r="D164" s="8" t="str">
        <x:v>numeric</x:v>
      </x:c>
      <x:c r="E164" s="17" t="b">
        <x:v>0</x:v>
      </x:c>
      <x:c r="F164" s="17" t="b">
        <x:v>0</x:v>
      </x:c>
      <x:c r="G164" s="8" t="str">
        <x:v>\pc135\D\Desktop\folder6\file-153.txt</x:v>
      </x:c>
      <x:c r="H164" s="8" t="str">
        <x:v>Potential duplicate: this paragraph is repeated in another section to test deduplication and chunk metadata.</x:v>
      </x:c>
      <x:c r="I164" s="8"/>
    </x:row>
    <x:row r="165">
      <x:c r="A165" s="8" t="str">
        <x:v>text</x:v>
      </x:c>
      <x:c r="B165" s="8" t="str">
        <x:v>&lt;tag&gt;value&lt;/tag&gt;</x:v>
      </x:c>
      <x:c r="C165" s="8" t="str">
        <x:v>&lt;tag&gt;value&lt;/tag&gt;</x:v>
      </x:c>
      <x:c r="D165" s="8" t="str">
        <x:v>unknown</x:v>
      </x:c>
      <x:c r="E165" s="17" t="b">
        <x:v>0</x:v>
      </x:c>
      <x:c r="F165" s="17" t="b">
        <x:v>0</x:v>
      </x:c>
      <x:c r="G165" s="8" t="str">
        <x:v>\pc135\D\Desktop\folder0\file-154.txt</x:v>
      </x:c>
      <x:c r="H165" s="8"/>
      <x:c r="I165" s="8"/>
    </x:row>
    <x:row r="166">
      <x:c r="A166" s="8" t="str">
        <x:v>date</x:v>
      </x:c>
      <x:c r="B166" s="8" t="n">
        <x:f>SUM(A1:A3)</x:f>
        <x:v>0</x:v>
      </x:c>
      <x:c r="C166" s="8" t="n">
        <x:f>SUM(A1:A3)</x:f>
        <x:v>0</x:v>
      </x:c>
      <x:c r="D166" s="8" t="str">
        <x:v>unknown</x:v>
      </x:c>
      <x:c r="E166" s="17" t="b">
        <x:v>0</x:v>
      </x:c>
      <x:c r="F166" s="17" t="b">
        <x:v>1</x:v>
      </x:c>
      <x:c r="G166" s="8"/>
      <x:c r="H166" s="8" t="str">
        <x:v>The owner field was not captured in the original notes, so classification should remain conservative.</x:v>
      </x:c>
      <x:c r="I166" s="8"/>
    </x:row>
    <x:row r="167">
      <x:c r="A167" s="8" t="str">
        <x:v>number</x:v>
      </x:c>
      <x:c r="B167" s="8" t="str">
        <x:v>&lt;tag&gt;value&lt;/tag&gt;</x:v>
      </x:c>
      <x:c r="C167" s="8" t="str">
        <x:v>&lt;tag&gt;value&lt;/tag&gt;</x:v>
      </x:c>
      <x:c r="D167" s="8" t="str">
        <x:v>date-like</x:v>
      </x:c>
      <x:c r="E167" s="17" t="b">
        <x:v>0</x:v>
      </x:c>
      <x:c r="F167" s="17" t="b">
        <x:v>0</x:v>
      </x:c>
      <x:c r="G167" s="8"/>
      <x:c r="H167" s="8" t="str">
        <x:v>This sentence is long enough to exercise wrapping and downstream chunk boundaries in Markdown output.</x:v>
      </x:c>
      <x:c r="I167" s="8"/>
    </x:row>
    <x:row r="168">
      <x:c r="A168" s="8" t="str">
        <x:v>url</x:v>
      </x:c>
      <x:c r="B168" s="8" t="str">
        <x:v>{"a":1}</x:v>
      </x:c>
      <x:c r="C168" s="8" t="str">
        <x:v>{"a":1}</x:v>
      </x:c>
      <x:c r="D168" s="8" t="str">
        <x:v>string</x:v>
      </x:c>
      <x:c r="E168" s="17" t="b">
        <x:v>0</x:v>
      </x:c>
      <x:c r="F168" s="17" t="b">
        <x:v>0</x:v>
      </x:c>
      <x:c r="G168" s="8" t="str">
        <x:v>\pc135\D\Desktop\folder3\file-157.txt</x:v>
      </x:c>
      <x:c r="H168" s="8" t="str">
        <x:v>The bridge callback is stable for small payloads, but large JSON messages show visible delay during navigation.</x:v>
      </x:c>
      <x:c r="I168" s="8"/>
    </x:row>
    <x:row r="169">
      <x:c r="A169" s="8" t="str">
        <x:v>boolean</x:v>
      </x:c>
      <x:c r="B169" s="8" t="str">
        <x:v>false</x:v>
      </x:c>
      <x:c r="C169" s="8" t="str">
        <x:v>false</x:v>
      </x:c>
      <x:c r="D169" s="8" t="str">
        <x:v>numeric</x:v>
      </x:c>
      <x:c r="E169" s="17" t="b">
        <x:v>0</x:v>
      </x:c>
      <x:c r="F169" s="17" t="b">
        <x:v>0</x:v>
      </x:c>
      <x:c r="G169" s="8"/>
      <x:c r="H169" s="8" t="str">
        <x:v>Verify behavior on a cold start and after the page reloads without destroying the native view.</x:v>
      </x:c>
      <x:c r="I169" s="8"/>
    </x:row>
    <x:row r="170">
      <x:c r="A170" s="8" t="str">
        <x:v>date</x:v>
      </x:c>
      <x:c r="B170" s="8" t="str">
        <x:v>2026-10-03</x:v>
      </x:c>
      <x:c r="C170" s="8" t="str">
        <x:v>2026-10-03</x:v>
      </x:c>
      <x:c r="D170" s="8" t="str">
        <x:v>date-like</x:v>
      </x:c>
      <x:c r="E170" s="17" t="b">
        <x:v>0</x:v>
      </x:c>
      <x:c r="F170" s="17" t="b">
        <x:v>0</x:v>
      </x:c>
      <x:c r="G170" s="8" t="str">
        <x:v>\pc135\D\Desktop\folder5\file-159.txt</x:v>
      </x:c>
      <x:c r="H170" s="8" t="str">
        <x:v>Follow-up: compare the result when the network security policy is relaxed versus when it is enforced.</x:v>
      </x:c>
      <x:c r="I170" s="8"/>
    </x:row>
    <x:row r="171">
      <x:c r="A171" s="8" t="str">
        <x:v>boolean</x:v>
      </x:c>
      <x:c r="B171" s="8" t="str">
        <x:v>{"a":1}</x:v>
      </x:c>
      <x:c r="C171" s="8" t="str">
        <x:v>{"a":1}</x:v>
      </x:c>
      <x:c r="D171" s="8" t="str">
        <x:v>date-like</x:v>
      </x:c>
      <x:c r="E171" s="17" t="b">
        <x:v>0</x:v>
      </x:c>
      <x:c r="F171" s="17" t="b">
        <x:v>0</x:v>
      </x:c>
      <x:c r="G171" s="8" t="str">
        <x:v>\pc135\D\Desktop\folder6\file-160.txt</x:v>
      </x:c>
      <x:c r="H171" s="8"/>
      <x:c r="I171" s="8"/>
    </x:row>
    <x:row r="172">
      <x:c r="A172" s="8" t="str">
        <x:v>number</x:v>
      </x:c>
      <x:c r="B172" s="8" t="str">
        <x:v>a;b;c</x:v>
      </x:c>
      <x:c r="C172" s="8" t="str">
        <x:v>a;b;c</x:v>
      </x:c>
      <x:c r="D172" s="8" t="str">
        <x:v>boolean-like</x:v>
      </x:c>
      <x:c r="E172" s="17" t="b">
        <x:v>0</x:v>
      </x:c>
      <x:c r="F172" s="17" t="b">
        <x:v>0</x:v>
      </x:c>
      <x:c r="G172" s="8" t="str">
        <x:v>\pc135\D\Desktop\folder0\file-161.txt</x:v>
      </x:c>
      <x:c r="H172" s="8"/>
      <x:c r="I172" s="8"/>
    </x:row>
    <x:row r="173">
      <x:c r="A173" s="8" t="str">
        <x:v>code</x:v>
      </x:c>
      <x:c r="B173" s="8" t="str">
        <x:v>false</x:v>
      </x:c>
      <x:c r="C173" s="8" t="str">
        <x:v>false</x:v>
      </x:c>
      <x:c r="D173" s="8" t="str">
        <x:v>unknown</x:v>
      </x:c>
      <x:c r="E173" s="17" t="b">
        <x:v>0</x:v>
      </x:c>
      <x:c r="F173" s="17" t="b">
        <x:v>0</x:v>
      </x:c>
      <x:c r="G173" s="8"/>
      <x:c r="H173" s="8" t="str">
        <x:v>This sentence is long enough to exercise wrapping and downstream chunk boundaries in Markdown output.</x:v>
      </x:c>
      <x:c r="I173" s="8"/>
    </x:row>
    <x:row r="174">
      <x:c r="A174" s="8" t="str">
        <x:v>code</x:v>
      </x:c>
      <x:c r="B174" s="8" t="str">
        <x:v>  padded text  </x:v>
      </x:c>
      <x:c r="C174" s="8" t="str">
        <x:v>  padded text  </x:v>
      </x:c>
      <x:c r="D174" s="8" t="str">
        <x:v>numeric</x:v>
      </x:c>
      <x:c r="E174" s="17" t="b">
        <x:v>0</x:v>
      </x:c>
      <x:c r="F174" s="17" t="b">
        <x:v>0</x:v>
      </x:c>
      <x:c r="G174" s="8" t="str">
        <x:v>\pc135\D\Desktop\folder2\file-163.txt</x:v>
      </x:c>
      <x:c r="H174" s="8"/>
      <x:c r="I174" s="8"/>
    </x:row>
    <x:row r="175">
      <x:c r="A175" s="8" t="str">
        <x:v>boolean</x:v>
      </x:c>
      <x:c r="B175" s="8" t="str">
        <x:v>line one
line two</x:v>
      </x:c>
      <x:c r="C175" s="8" t="str">
        <x:v>line one
line two</x:v>
      </x:c>
      <x:c r="D175" s="8" t="str">
        <x:v>boolean-like</x:v>
      </x:c>
      <x:c r="E175" s="17" t="b">
        <x:v>0</x:v>
      </x:c>
      <x:c r="F175" s="17" t="b">
        <x:v>0</x:v>
      </x:c>
      <x:c r="G175" s="8"/>
      <x:c r="H175" s="8" t="str">
        <x:v>This sentence is long enough to exercise wrapping and downstream chunk boundaries in Markdown output.</x:v>
      </x:c>
      <x:c r="I175" s="8"/>
    </x:row>
    <x:row r="176">
      <x:c r="A176" s="8" t="str">
        <x:v>note</x:v>
      </x:c>
      <x:c r="B176" s="8" t="str">
        <x:v>2026-10-03</x:v>
      </x:c>
      <x:c r="C176" s="8" t="str">
        <x:v>2026-10-03</x:v>
      </x:c>
      <x:c r="D176" s="8" t="str">
        <x:v>unknown</x:v>
      </x:c>
      <x:c r="E176" s="17" t="b">
        <x:v>0</x:v>
      </x:c>
      <x:c r="F176" s="17" t="b">
        <x:v>0</x:v>
      </x:c>
      <x:c r="G176" s="8" t="str">
        <x:v>\pc135\D\Desktop\folder4\file-165.txt</x:v>
      </x:c>
      <x:c r="H176" s="8" t="str">
        <x:v>Follow-up: compare the result when the network security policy is relaxed versus when it is enforced.</x:v>
      </x:c>
      <x:c r="I176" s="8"/>
    </x:row>
    <x:row r="177">
      <x:c r="A177" s="8" t="str">
        <x:v>code</x:v>
      </x:c>
      <x:c r="B177" s="8" t="str">
        <x:v>TRUE</x:v>
      </x:c>
      <x:c r="C177" s="8" t="str">
        <x:v>TRUE</x:v>
      </x:c>
      <x:c r="D177" s="8" t="str">
        <x:v>boolean-like</x:v>
      </x:c>
      <x:c r="E177" s="17" t="b">
        <x:v>0</x:v>
      </x:c>
      <x:c r="F177" s="17" t="b">
        <x:v>0</x:v>
      </x:c>
      <x:c r="G177" s="8"/>
      <x:c r="H177" s="8"/>
      <x:c r="I177" s="8"/>
    </x:row>
    <x:row r="178">
      <x:c r="A178" s="8" t="str">
        <x:v>text</x:v>
      </x:c>
      <x:c r="B178" s="8" t="str">
        <x:v>a;b;c</x:v>
      </x:c>
      <x:c r="C178" s="8" t="str">
        <x:v>a;b;c</x:v>
      </x:c>
      <x:c r="D178" s="8" t="str">
        <x:v>unknown</x:v>
      </x:c>
      <x:c r="E178" s="17" t="b">
        <x:v>0</x:v>
      </x:c>
      <x:c r="F178" s="17" t="b">
        <x:v>0</x:v>
      </x:c>
      <x:c r="G178" s="8"/>
      <x:c r="H178" s="8"/>
      <x:c r="I178" s="8"/>
    </x:row>
    <x:row r="179">
      <x:c r="A179" s="8"/>
      <x:c r="B179" s="8"/>
      <x:c r="C179" s="8"/>
      <x:c r="D179" s="8"/>
      <x:c r="E179" s="8"/>
      <x:c r="F179" s="8"/>
      <x:c r="G179" s="8"/>
      <x:c r="H179" s="8"/>
      <x:c r="I179" s="8"/>
    </x:row>
    <x:row r="180">
      <x:c r="A180" s="8" t="str">
        <x:v>number</x:v>
      </x:c>
      <x:c r="B180" s="8" t="str">
        <x:v>2026-10-03</x:v>
      </x:c>
      <x:c r="C180" s="8" t="str">
        <x:v>2026-10-03</x:v>
      </x:c>
      <x:c r="D180" s="8" t="str">
        <x:v>unknown</x:v>
      </x:c>
      <x:c r="E180" s="17" t="b">
        <x:v>0</x:v>
      </x:c>
      <x:c r="F180" s="17" t="b">
        <x:v>0</x:v>
      </x:c>
      <x:c r="G180" s="8"/>
      <x:c r="H180" s="8"/>
      <x:c r="I180" s="8"/>
    </x:row>
    <x:row r="181">
      <x:c r="A181" s="8" t="str">
        <x:v>boolean</x:v>
      </x:c>
      <x:c r="B181" s="8" t="str">
        <x:v>a;b;c</x:v>
      </x:c>
      <x:c r="C181" s="8" t="str">
        <x:v>a;b;c</x:v>
      </x:c>
      <x:c r="D181" s="8" t="str">
        <x:v>unknown</x:v>
      </x:c>
      <x:c r="E181" s="17" t="b">
        <x:v>0</x:v>
      </x:c>
      <x:c r="F181" s="17" t="b">
        <x:v>0</x:v>
      </x:c>
      <x:c r="G181" s="8" t="str">
        <x:v>\pc135\D\Desktop\folder1\file-169.txt</x:v>
      </x:c>
      <x:c r="H181" s="8"/>
      <x:c r="I181" s="8"/>
    </x:row>
    <x:row r="182">
      <x:c r="A182" s="8" t="str">
        <x:v>number</x:v>
      </x:c>
      <x:c r="B182" s="8" t="str">
        <x:v>false</x:v>
      </x:c>
      <x:c r="C182" s="8" t="str">
        <x:v>false</x:v>
      </x:c>
      <x:c r="D182" s="8" t="str">
        <x:v>boolean-like</x:v>
      </x:c>
      <x:c r="E182" s="17" t="b">
        <x:v>0</x:v>
      </x:c>
      <x:c r="F182" s="17" t="b">
        <x:v>0</x:v>
      </x:c>
      <x:c r="G182" s="8" t="str">
        <x:v>\pc135\D\Desktop\folder2\file-170.txt</x:v>
      </x:c>
      <x:c r="H182" s="8"/>
      <x:c r="I182" s="8"/>
    </x:row>
    <x:row r="183">
      <x:c r="A183" s="8" t="str">
        <x:v>boolean</x:v>
      </x:c>
      <x:c r="B183" s="8" t="str">
        <x:v>2026-10-03</x:v>
      </x:c>
      <x:c r="C183" s="8" t="str">
        <x:v>2026-10-03</x:v>
      </x:c>
      <x:c r="D183" s="8" t="str">
        <x:v>date-like</x:v>
      </x:c>
      <x:c r="E183" s="17" t="b">
        <x:v>0</x:v>
      </x:c>
      <x:c r="F183" s="17" t="b">
        <x:v>0</x:v>
      </x:c>
      <x:c r="G183" s="8"/>
      <x:c r="H183" s="8" t="str">
        <x:v>Verify behavior on a cold start and after the page reloads without destroying the native view.</x:v>
      </x:c>
      <x:c r="I183" s="8"/>
    </x:row>
    <x:row r="184">
      <x:c r="A184" s="8" t="str">
        <x:v>code</x:v>
      </x:c>
      <x:c r="B184" s="8" t="str">
        <x:v>{"a":1}</x:v>
      </x:c>
      <x:c r="C184" s="8" t="str">
        <x:v>{"a":1}</x:v>
      </x:c>
      <x:c r="D184" s="8" t="str">
        <x:v>date-like</x:v>
      </x:c>
      <x:c r="E184" s="17" t="b">
        <x:v>0</x:v>
      </x:c>
      <x:c r="F184" s="17" t="b">
        <x:v>0</x:v>
      </x:c>
      <x:c r="G184" s="8" t="str">
        <x:v>\pc135\D\Desktop\folder4\file-172.txt</x:v>
      </x:c>
      <x:c r="H184" s="8"/>
      <x:c r="I184" s="8"/>
    </x:row>
    <x:row r="185">
      <x:c r="A185" s="8" t="str">
        <x:v>code</x:v>
      </x:c>
      <x:c r="B185" s="8" t="str">
        <x:v>1,234.50</x:v>
      </x:c>
      <x:c r="C185" s="8" t="str">
        <x:v>1,234.50</x:v>
      </x:c>
      <x:c r="D185" s="8" t="str">
        <x:v>boolean-like</x:v>
      </x:c>
      <x:c r="E185" s="17" t="b">
        <x:v>0</x:v>
      </x:c>
      <x:c r="F185" s="17" t="b">
        <x:v>0</x:v>
      </x:c>
      <x:c r="G185" s="8"/>
      <x:c r="H185" s="8" t="str">
        <x:v>A blank cell here is intentional. The source workbook has notes placed away from the nearest table.</x:v>
      </x:c>
      <x:c r="I185" s="8"/>
    </x:row>
    <x:row r="186">
      <x:c r="A186" s="8" t="str">
        <x:v>date</x:v>
      </x:c>
      <x:c r="B186" s="8" t="str">
        <x:v>2026-10-03</x:v>
      </x:c>
      <x:c r="C186" s="8" t="str">
        <x:v>2026-10-03</x:v>
      </x:c>
      <x:c r="D186" s="8" t="str">
        <x:v>numeric</x:v>
      </x:c>
      <x:c r="E186" s="17" t="b">
        <x:v>0</x:v>
      </x:c>
      <x:c r="F186" s="17" t="b">
        <x:v>0</x:v>
      </x:c>
      <x:c r="G186" s="8" t="str">
        <x:v>\pc135\D\Desktop\folder6\file-174.txt</x:v>
      </x:c>
      <x:c r="H186" s="8" t="str">
        <x:v>Potential duplicate: this paragraph is repeated in another section to test deduplication and chunk metadata.</x:v>
      </x:c>
      <x:c r="I186" s="8"/>
    </x:row>
    <x:row r="187">
      <x:c r="A187" s="8" t="str">
        <x:v>code</x:v>
      </x:c>
      <x:c r="B187" s="8" t="str">
        <x:v>&lt;tag&gt;value&lt;/tag&gt;</x:v>
      </x:c>
      <x:c r="C187" s="8" t="str">
        <x:v>&lt;tag&gt;value&lt;/tag&gt;</x:v>
      </x:c>
      <x:c r="D187" s="8" t="str">
        <x:v>string</x:v>
      </x:c>
      <x:c r="E187" s="17" t="b">
        <x:v>0</x:v>
      </x:c>
      <x:c r="F187" s="17" t="b">
        <x:v>0</x:v>
      </x:c>
      <x:c r="G187" s="8" t="str">
        <x:v>\pc135\D\Desktop\folder0\file-175.txt</x:v>
      </x:c>
      <x:c r="H187" s="8" t="str">
        <x:v>This sentence is long enough to exercise wrapping and downstream chunk boundaries in Markdown output.</x:v>
      </x:c>
      <x:c r="I187" s="8"/>
    </x:row>
    <x:row r="188">
      <x:c r="A188" s="8" t="str">
        <x:v>url</x:v>
      </x:c>
      <x:c r="B188" s="8" t="str">
        <x:v>N/A</x:v>
      </x:c>
      <x:c r="C188" s="8" t="str">
        <x:v>N/A</x:v>
      </x:c>
      <x:c r="D188" s="8" t="str">
        <x:v>unknown</x:v>
      </x:c>
      <x:c r="E188" s="17" t="b">
        <x:v>0</x:v>
      </x:c>
      <x:c r="F188" s="17" t="b">
        <x:v>0</x:v>
      </x:c>
      <x:c r="G188" s="8" t="str">
        <x:v>\pc135\D\Desktop\folder1\file-176.txt</x:v>
      </x:c>
      <x:c r="H188" s="8"/>
      <x:c r="I188" s="8"/>
    </x:row>
    <x:row r="189">
      <x:c r="A189" s="8" t="str">
        <x:v>code</x:v>
      </x:c>
      <x:c r="B189" s="8" t="str">
        <x:v>line one
line two</x:v>
      </x:c>
      <x:c r="C189" s="8" t="str">
        <x:v>line one
line two</x:v>
      </x:c>
      <x:c r="D189" s="8" t="str">
        <x:v>boolean-like</x:v>
      </x:c>
      <x:c r="E189" s="17" t="b">
        <x:v>0</x:v>
      </x:c>
      <x:c r="F189" s="17" t="b">
        <x:v>0</x:v>
      </x:c>
      <x:c r="G189" s="8"/>
      <x:c r="H189" s="8" t="str">
        <x:v>Observed in a local test run: the content rendered, but the console warning appeared twice.</x:v>
      </x:c>
      <x:c r="I189" s="8"/>
    </x:row>
    <x:row r="190">
      <x:c r="A190" s="8" t="str">
        <x:v>boolean</x:v>
      </x:c>
      <x:c r="B190" s="8" t="str">
        <x:v>false</x:v>
      </x:c>
      <x:c r="C190" s="8" t="str">
        <x:v>false</x:v>
      </x:c>
      <x:c r="D190" s="8" t="str">
        <x:v>numeric</x:v>
      </x:c>
      <x:c r="E190" s="17" t="b">
        <x:v>0</x:v>
      </x:c>
      <x:c r="F190" s="17" t="b">
        <x:v>0</x:v>
      </x:c>
      <x:c r="G190" s="8" t="str">
        <x:v>\pc135\D\Desktop\folder3\file-178.txt</x:v>
      </x:c>
      <x:c r="H190" s="8"/>
      <x:c r="I190" s="8"/>
    </x:row>
    <x:row r="191">
      <x:c r="A191" s="8" t="str">
        <x:v>text</x:v>
      </x:c>
      <x:c r="B191" s="8" t="n">
        <x:f>SUM(A1:A3)</x:f>
        <x:v>0</x:v>
      </x:c>
      <x:c r="C191" s="8" t="n">
        <x:f>SUM(A1:A3)</x:f>
        <x:v>0</x:v>
      </x:c>
      <x:c r="D191" s="8" t="str">
        <x:v>numeric</x:v>
      </x:c>
      <x:c r="E191" s="17" t="b">
        <x:v>0</x:v>
      </x:c>
      <x:c r="F191" s="17" t="b">
        <x:v>1</x:v>
      </x:c>
      <x:c r="G191" s="8"/>
      <x:c r="H191" s="8" t="str">
        <x:v>Observed in a local test run: the content rendered, but the console warning appeared twice.</x:v>
      </x:c>
      <x:c r="I191" s="8"/>
    </x:row>
    <x:row r="192">
      <x:c r="A192" s="8" t="str">
        <x:v>note</x:v>
      </x:c>
      <x:c r="B192" s="8" t="str">
        <x:v>a;b;c</x:v>
      </x:c>
      <x:c r="C192" s="8" t="str">
        <x:v>a;b;c</x:v>
      </x:c>
      <x:c r="D192" s="8" t="str">
        <x:v>unknown</x:v>
      </x:c>
      <x:c r="E192" s="17" t="b">
        <x:v>0</x:v>
      </x:c>
      <x:c r="F192" s="17" t="b">
        <x:v>0</x:v>
      </x:c>
      <x:c r="G192" s="8"/>
      <x:c r="H192" s="8" t="str">
        <x:v>This sentence is long enough to exercise wrapping and downstream chunk boundaries in Markdown output.</x:v>
      </x:c>
      <x:c r="I192" s="8"/>
    </x:row>
    <x:row r="193">
      <x:c r="A193" s="8" t="str">
        <x:v>date</x:v>
      </x:c>
      <x:c r="B193" s="8" t="str">
        <x:v>&lt;tag&gt;value&lt;/tag&gt;</x:v>
      </x:c>
      <x:c r="C193" s="8" t="str">
        <x:v>&lt;tag&gt;value&lt;/tag&gt;</x:v>
      </x:c>
      <x:c r="D193" s="8" t="str">
        <x:v>date-like</x:v>
      </x:c>
      <x:c r="E193" s="17" t="b">
        <x:v>0</x:v>
      </x:c>
      <x:c r="F193" s="17" t="b">
        <x:v>0</x:v>
      </x:c>
      <x:c r="G193" s="8" t="str">
        <x:v>\pc135\D\Desktop\folder6\file-181.txt</x:v>
      </x:c>
      <x:c r="H193" s="8" t="str">
        <x:v>The bridge callback is stable for small payloads, but large JSON messages show visible delay during navigation.</x:v>
      </x:c>
      <x:c r="I193" s="8"/>
    </x:row>
    <x:row r="194">
      <x:c r="A194" s="8" t="str">
        <x:v>text</x:v>
      </x:c>
      <x:c r="B194" s="8" t="str">
        <x:v>line one
line two</x:v>
      </x:c>
      <x:c r="C194" s="8" t="str">
        <x:v>line one
line two</x:v>
      </x:c>
      <x:c r="D194" s="8" t="str">
        <x:v>boolean-like</x:v>
      </x:c>
      <x:c r="E194" s="17" t="b">
        <x:v>0</x:v>
      </x:c>
      <x:c r="F194" s="17" t="b">
        <x:v>0</x:v>
      </x:c>
      <x:c r="G194" s="8"/>
      <x:c r="H194" s="8" t="str">
        <x:v>Potential duplicate: this paragraph is repeated in another section to test deduplication and chunk metadata.</x:v>
      </x:c>
      <x:c r="I194" s="8"/>
    </x:row>
    <x:row r="195">
      <x:c r="A195" s="8" t="str">
        <x:v>boolean</x:v>
      </x:c>
      <x:c r="B195" s="8" t="str">
        <x:v>N/A</x:v>
      </x:c>
      <x:c r="C195" s="8" t="str">
        <x:v>N/A</x:v>
      </x:c>
      <x:c r="D195" s="8" t="str">
        <x:v>numeric</x:v>
      </x:c>
      <x:c r="E195" s="17" t="b">
        <x:v>0</x:v>
      </x:c>
      <x:c r="F195" s="17" t="b">
        <x:v>0</x:v>
      </x:c>
      <x:c r="G195" s="8"/>
      <x:c r="H195" s="8"/>
      <x:c r="I195" s="8"/>
    </x:row>
    <x:row r="196">
      <x:c r="A196" s="8" t="str">
        <x:v>note</x:v>
      </x:c>
      <x:c r="B196" s="8" t="str">
        <x:v>{"a":1}</x:v>
      </x:c>
      <x:c r="C196" s="8" t="str">
        <x:v>{"a":1}</x:v>
      </x:c>
      <x:c r="D196" s="8" t="str">
        <x:v>unknown</x:v>
      </x:c>
      <x:c r="E196" s="17" t="b">
        <x:v>0</x:v>
      </x:c>
      <x:c r="F196" s="17" t="b">
        <x:v>0</x:v>
      </x:c>
      <x:c r="G196" s="8"/>
      <x:c r="H196" s="8"/>
      <x:c r="I196" s="8"/>
    </x:row>
    <x:row r="197">
      <x:c r="A197" s="8" t="str">
        <x:v>code</x:v>
      </x:c>
      <x:c r="B197" s="8" t="n">
        <x:f>SUM(A1:A3)</x:f>
        <x:v>0</x:v>
      </x:c>
      <x:c r="C197" s="8" t="n">
        <x:f>SUM(A1:A3)</x:f>
        <x:v>0</x:v>
      </x:c>
      <x:c r="D197" s="8" t="str">
        <x:v>numeric</x:v>
      </x:c>
      <x:c r="E197" s="17" t="b">
        <x:v>0</x:v>
      </x:c>
      <x:c r="F197" s="17" t="b">
        <x:v>1</x:v>
      </x:c>
      <x:c r="G197" s="8" t="str">
        <x:v>\pc135\D\Desktop\folder3\file-185.txt</x:v>
      </x:c>
      <x:c r="H197" s="8"/>
      <x:c r="I197" s="8"/>
    </x:row>
    <x:row r="198">
      <x:c r="A198" s="8" t="str">
        <x:v>boolean</x:v>
      </x:c>
      <x:c r="B198" s="8" t="str">
        <x:v>  padded text  </x:v>
      </x:c>
      <x:c r="C198" s="8" t="str">
        <x:v>  padded text  </x:v>
      </x:c>
      <x:c r="D198" s="8" t="str">
        <x:v>unknown</x:v>
      </x:c>
      <x:c r="E198" s="17" t="b">
        <x:v>0</x:v>
      </x:c>
      <x:c r="F198" s="17" t="b">
        <x:v>0</x:v>
      </x:c>
      <x:c r="G198" s="8" t="str">
        <x:v>\pc135\D\Desktop\folder4\file-186.txt</x:v>
      </x:c>
      <x:c r="H198" s="8"/>
      <x:c r="I198" s="8"/>
    </x:row>
    <x:row r="199">
      <x:c r="A199" s="8" t="str">
        <x:v>text</x:v>
      </x:c>
      <x:c r="B199" s="8" t="str">
        <x:v>  padded text  </x:v>
      </x:c>
      <x:c r="C199" s="8" t="str">
        <x:v>  padded text  </x:v>
      </x:c>
      <x:c r="D199" s="8" t="str">
        <x:v>numeric</x:v>
      </x:c>
      <x:c r="E199" s="17" t="b">
        <x:v>0</x:v>
      </x:c>
      <x:c r="F199" s="17" t="b">
        <x:v>0</x:v>
      </x:c>
      <x:c r="G199" s="8"/>
      <x:c r="H199" s="8"/>
      <x:c r="I199" s="8"/>
    </x:row>
    <x:row r="200">
      <x:c r="A200" s="8" t="str">
        <x:v>note</x:v>
      </x:c>
      <x:c r="B200" s="8" t="n">
        <x:f>SUM(A1:A3)</x:f>
        <x:v>0</x:v>
      </x:c>
      <x:c r="C200" s="8" t="n">
        <x:f>SUM(A1:A3)</x:f>
        <x:v>0</x:v>
      </x:c>
      <x:c r="D200" s="8" t="str">
        <x:v>unknown</x:v>
      </x:c>
      <x:c r="E200" s="17" t="b">
        <x:v>0</x:v>
      </x:c>
      <x:c r="F200" s="17" t="b">
        <x:v>1</x:v>
      </x:c>
      <x:c r="G200" s="8"/>
      <x:c r="H200" s="8"/>
      <x:c r="I200" s="8"/>
    </x:row>
    <x:row r="201">
      <x:c r="A201" s="8"/>
      <x:c r="B201" s="8"/>
      <x:c r="C201" s="8"/>
      <x:c r="D201" s="8"/>
      <x:c r="E201" s="8"/>
      <x:c r="F201" s="8"/>
      <x:c r="G201" s="8"/>
      <x:c r="H201" s="8"/>
      <x:c r="I201" s="8"/>
    </x:row>
    <x:row r="202">
      <x:c r="A202" s="8" t="str">
        <x:v>boolean</x:v>
      </x:c>
      <x:c r="B202" s="8" t="str">
        <x:v>{"a":1}</x:v>
      </x:c>
      <x:c r="C202" s="8" t="str">
        <x:v>{"a":1}</x:v>
      </x:c>
      <x:c r="D202" s="8" t="str">
        <x:v>date-like</x:v>
      </x:c>
      <x:c r="E202" s="17" t="b">
        <x:v>0</x:v>
      </x:c>
      <x:c r="F202" s="17" t="b">
        <x:v>0</x:v>
      </x:c>
      <x:c r="G202" s="8"/>
      <x:c r="H202" s="8" t="str">
        <x:v>A blank cell here is intentional. The source workbook has notes placed away from the nearest table.</x:v>
      </x:c>
      <x:c r="I202" s="8"/>
    </x:row>
    <x:row r="203">
      <x:c r="A203" s="8" t="str">
        <x:v>number</x:v>
      </x:c>
      <x:c r="B203" s="8" t="str">
        <x:v>  padded text  </x:v>
      </x:c>
      <x:c r="C203" s="8" t="str">
        <x:v>  padded text  </x:v>
      </x:c>
      <x:c r="D203" s="8" t="str">
        <x:v>numeric</x:v>
      </x:c>
      <x:c r="E203" s="17" t="b">
        <x:v>0</x:v>
      </x:c>
      <x:c r="F203" s="17" t="b">
        <x:v>0</x:v>
      </x:c>
      <x:c r="G203" s="8"/>
      <x:c r="H203" s="8" t="str">
        <x:v>Verify behavior on a cold start and after the page reloads without destroying the native view.</x:v>
      </x:c>
      <x:c r="I203" s="8"/>
    </x:row>
    <x:row r="204">
      <x:c r="A204" s="8" t="str">
        <x:v>code</x:v>
      </x:c>
      <x:c r="B204" s="8" t="str">
        <x:v>TRUE</x:v>
      </x:c>
      <x:c r="C204" s="8" t="str">
        <x:v>TRUE</x:v>
      </x:c>
      <x:c r="D204" s="8" t="str">
        <x:v>unknown</x:v>
      </x:c>
      <x:c r="E204" s="17" t="b">
        <x:v>0</x:v>
      </x:c>
      <x:c r="F204" s="17" t="b">
        <x:v>0</x:v>
      </x:c>
      <x:c r="G204" s="8" t="str">
        <x:v>\pc135\D\Desktop\folder2\file-191.txt</x:v>
      </x:c>
      <x:c r="H204" s="8"/>
      <x:c r="I204" s="8"/>
    </x:row>
    <x:row r="205">
      <x:c r="A205" s="8" t="str">
        <x:v>boolean</x:v>
      </x:c>
      <x:c r="B205" s="8" t="n">
        <x:f>SUM(A1:A3)</x:f>
        <x:v>0</x:v>
      </x:c>
      <x:c r="C205" s="8" t="n">
        <x:f>SUM(A1:A3)</x:f>
        <x:v>0</x:v>
      </x:c>
      <x:c r="D205" s="8" t="str">
        <x:v>date-like</x:v>
      </x:c>
      <x:c r="E205" s="17" t="b">
        <x:v>0</x:v>
      </x:c>
      <x:c r="F205" s="17" t="b">
        <x:v>1</x:v>
      </x:c>
      <x:c r="G205" s="8"/>
      <x:c r="H205" s="8"/>
      <x:c r="I205" s="8"/>
    </x:row>
    <x:row r="206">
      <x:c r="A206" s="8" t="str">
        <x:v>code</x:v>
      </x:c>
      <x:c r="B206" s="8" t="str">
        <x:v>{"a":1}</x:v>
      </x:c>
      <x:c r="C206" s="8" t="str">
        <x:v>{"a":1}</x:v>
      </x:c>
      <x:c r="D206" s="8" t="str">
        <x:v>numeric</x:v>
      </x:c>
      <x:c r="E206" s="17" t="b">
        <x:v>0</x:v>
      </x:c>
      <x:c r="F206" s="17" t="b">
        <x:v>0</x:v>
      </x:c>
      <x:c r="G206" s="8"/>
      <x:c r="H206" s="8" t="str">
        <x:v>A blank cell here is intentional. The source workbook has notes placed away from the nearest table.</x:v>
      </x:c>
      <x:c r="I206" s="8"/>
    </x:row>
    <x:row r="207">
      <x:c r="A207" s="8" t="str">
        <x:v>boolean</x:v>
      </x:c>
      <x:c r="B207" s="8" t="str">
        <x:v>N/A</x:v>
      </x:c>
      <x:c r="C207" s="8" t="str">
        <x:v>N/A</x:v>
      </x:c>
      <x:c r="D207" s="8" t="str">
        <x:v>string</x:v>
      </x:c>
      <x:c r="E207" s="17" t="b">
        <x:v>0</x:v>
      </x:c>
      <x:c r="F207" s="17" t="b">
        <x:v>0</x:v>
      </x:c>
      <x:c r="G207" s="8"/>
      <x:c r="H207" s="8"/>
      <x:c r="I207" s="8"/>
    </x:row>
    <x:row r="208">
      <x:c r="A208" s="8" t="str">
        <x:v>code</x:v>
      </x:c>
      <x:c r="B208" s="8" t="n">
        <x:f>SUM(A1:A3)</x:f>
        <x:v>0</x:v>
      </x:c>
      <x:c r="C208" s="8" t="n">
        <x:f>SUM(A1:A3)</x:f>
        <x:v>0</x:v>
      </x:c>
      <x:c r="D208" s="8" t="str">
        <x:v>numeric</x:v>
      </x:c>
      <x:c r="E208" s="17" t="b">
        <x:v>0</x:v>
      </x:c>
      <x:c r="F208" s="17" t="b">
        <x:v>1</x:v>
      </x:c>
      <x:c r="G208" s="8"/>
      <x:c r="H208" s="8"/>
      <x:c r="I208" s="8"/>
    </x:row>
    <x:row r="209">
      <x:c r="A209" s="8" t="str">
        <x:v>boolean</x:v>
      </x:c>
      <x:c r="B209" s="8" t="str">
        <x:v>1,234.50</x:v>
      </x:c>
      <x:c r="C209" s="8" t="str">
        <x:v>1,234.50</x:v>
      </x:c>
      <x:c r="D209" s="8" t="str">
        <x:v>numeric</x:v>
      </x:c>
      <x:c r="E209" s="17" t="b">
        <x:v>0</x:v>
      </x:c>
      <x:c r="F209" s="17" t="b">
        <x:v>0</x:v>
      </x:c>
      <x:c r="G209" s="8"/>
      <x:c r="H209" s="8" t="str">
        <x:v>Verify behavior on a cold start and after the page reloads without destroying the native view.</x:v>
      </x:c>
      <x:c r="I209" s="8"/>
    </x:row>
    <x:row r="210">
      <x:c r="A210" s="8" t="str">
        <x:v>date</x:v>
      </x:c>
      <x:c r="B210" s="8" t="str">
        <x:v>1,234.50</x:v>
      </x:c>
      <x:c r="C210" s="8" t="str">
        <x:v>1,234.50</x:v>
      </x:c>
      <x:c r="D210" s="8" t="str">
        <x:v>date-like</x:v>
      </x:c>
      <x:c r="E210" s="17" t="b">
        <x:v>0</x:v>
      </x:c>
      <x:c r="F210" s="17" t="b">
        <x:v>0</x:v>
      </x:c>
      <x:c r="G210" s="8"/>
      <x:c r="H210" s="8" t="str">
        <x:v>The owner field was not captured in the original notes, so classification should remain conservative.</x:v>
      </x:c>
      <x:c r="I210" s="8"/>
    </x:row>
    <x:row r="211">
      <x:c r="A211" s="8" t="str">
        <x:v>boolean</x:v>
      </x:c>
      <x:c r="B211" s="8" t="str">
        <x:v>  padded text  </x:v>
      </x:c>
      <x:c r="C211" s="8" t="str">
        <x:v>  padded text  </x:v>
      </x:c>
      <x:c r="D211" s="8" t="str">
        <x:v>numeric</x:v>
      </x:c>
      <x:c r="E211" s="17" t="b">
        <x:v>0</x:v>
      </x:c>
      <x:c r="F211" s="17" t="b">
        <x:v>0</x:v>
      </x:c>
      <x:c r="G211" s="8" t="str">
        <x:v>\pc135\D\Desktop\folder2\file-198.txt</x:v>
      </x:c>
      <x:c r="H211" s="8"/>
      <x:c r="I211" s="8"/>
    </x:row>
    <x:row r="212">
      <x:c r="A212" s="8" t="str">
        <x:v>text</x:v>
      </x:c>
      <x:c r="B212" s="8" t="str">
        <x:v>TRUE</x:v>
      </x:c>
      <x:c r="C212" s="8" t="str">
        <x:v>TRUE</x:v>
      </x:c>
      <x:c r="D212" s="8" t="str">
        <x:v>date-like</x:v>
      </x:c>
      <x:c r="E212" s="17" t="b">
        <x:v>0</x:v>
      </x:c>
      <x:c r="F212" s="17" t="b">
        <x:v>0</x:v>
      </x:c>
      <x:c r="G212" s="8"/>
      <x:c r="H212" s="8"/>
      <x:c r="I212" s="8"/>
    </x:row>
    <x:row r="213">
      <x:c r="A213" s="8" t="str">
        <x:v>note</x:v>
      </x:c>
      <x:c r="B213" s="8" t="str">
        <x:v>{"a":1}</x:v>
      </x:c>
      <x:c r="C213" s="8" t="str">
        <x:v>{"a":1}</x:v>
      </x:c>
      <x:c r="D213" s="8" t="str">
        <x:v>numeric</x:v>
      </x:c>
      <x:c r="E213" s="17" t="b">
        <x:v>0</x:v>
      </x:c>
      <x:c r="F213" s="17" t="b">
        <x:v>0</x:v>
      </x:c>
      <x:c r="G213" s="8"/>
      <x:c r="H213" s="8"/>
      <x:c r="I213" s="8"/>
    </x:row>
    <x:row r="214">
      <x:c r="A214" s="8" t="str">
        <x:v>number</x:v>
      </x:c>
      <x:c r="B214" s="8" t="str">
        <x:v>N/A</x:v>
      </x:c>
      <x:c r="C214" s="8" t="str">
        <x:v>N/A</x:v>
      </x:c>
      <x:c r="D214" s="8" t="str">
        <x:v>boolean-like</x:v>
      </x:c>
      <x:c r="E214" s="17" t="b">
        <x:v>0</x:v>
      </x:c>
      <x:c r="F214" s="17" t="b">
        <x:v>0</x:v>
      </x:c>
      <x:c r="G214" s="8"/>
      <x:c r="H214" s="8" t="str">
        <x:v>The bridge callback is stable for small payloads, but large JSON messages show visible delay during navigation.</x:v>
      </x:c>
      <x:c r="I214" s="8"/>
    </x:row>
    <x:row r="215">
      <x:c r="A215" s="8" t="str">
        <x:v>note</x:v>
      </x:c>
      <x:c r="B215" s="8" t="str">
        <x:v>1,234.50</x:v>
      </x:c>
      <x:c r="C215" s="8" t="str">
        <x:v>1,234.50</x:v>
      </x:c>
      <x:c r="D215" s="8" t="str">
        <x:v>date-like</x:v>
      </x:c>
      <x:c r="E215" s="17" t="b">
        <x:v>0</x:v>
      </x:c>
      <x:c r="F215" s="17" t="b">
        <x:v>0</x:v>
      </x:c>
      <x:c r="G215" s="8" t="str">
        <x:v>\pc135\D\Desktop\folder6\file-202.txt</x:v>
      </x:c>
      <x:c r="H215" s="8" t="str">
        <x:v>This sentence is long enough to exercise wrapping and downstream chunk boundaries in Markdown output.</x:v>
      </x:c>
      <x:c r="I215" s="8"/>
    </x:row>
    <x:row r="216">
      <x:c r="A216" s="8" t="str">
        <x:v>date</x:v>
      </x:c>
      <x:c r="B216" s="8" t="str">
        <x:v>{"a":1}</x:v>
      </x:c>
      <x:c r="C216" s="8" t="str">
        <x:v>{"a":1}</x:v>
      </x:c>
      <x:c r="D216" s="8" t="str">
        <x:v>unknown</x:v>
      </x:c>
      <x:c r="E216" s="17" t="b">
        <x:v>0</x:v>
      </x:c>
      <x:c r="F216" s="17" t="b">
        <x:v>0</x:v>
      </x:c>
      <x:c r="G216" s="8" t="str">
        <x:v>\pc135\D\Desktop\folder0\file-203.txt</x:v>
      </x:c>
      <x:c r="H216" s="8" t="str">
        <x:v>Observed in a local test run: the content rendered, but the console warning appeared twice.</x:v>
      </x:c>
      <x:c r="I216" s="8"/>
    </x:row>
    <x:row r="217">
      <x:c r="A217" s="8" t="str">
        <x:v>number</x:v>
      </x:c>
      <x:c r="B217" s="8" t="str">
        <x:v>line one
line two</x:v>
      </x:c>
      <x:c r="C217" s="8" t="str">
        <x:v>line one
line two</x:v>
      </x:c>
      <x:c r="D217" s="8" t="str">
        <x:v>date-like</x:v>
      </x:c>
      <x:c r="E217" s="17" t="b">
        <x:v>0</x:v>
      </x:c>
      <x:c r="F217" s="17" t="b">
        <x:v>0</x:v>
      </x:c>
      <x:c r="G217" s="8"/>
      <x:c r="H217" s="8" t="str">
        <x:v>Potential duplicate: this paragraph is repeated in another section to test deduplication and chunk metadata.</x:v>
      </x:c>
      <x:c r="I217" s="8"/>
    </x:row>
    <x:row r="218">
      <x:c r="A218" s="8" t="str">
        <x:v>text</x:v>
      </x:c>
      <x:c r="B218" s="8" t="str">
        <x:v>{"a":1}</x:v>
      </x:c>
      <x:c r="C218" s="8" t="str">
        <x:v>{"a":1}</x:v>
      </x:c>
      <x:c r="D218" s="8" t="str">
        <x:v>numeric</x:v>
      </x:c>
      <x:c r="E218" s="17" t="b">
        <x:v>0</x:v>
      </x:c>
      <x:c r="F218" s="17" t="b">
        <x:v>0</x:v>
      </x:c>
      <x:c r="G218" s="8" t="str">
        <x:v>\pc135\D\Desktop\folder2\file-205.txt</x:v>
      </x:c>
      <x:c r="H218" s="8" t="str">
        <x:v>Follow-up: compare the result when the network security policy is relaxed versus when it is enforced.</x:v>
      </x:c>
      <x:c r="I218" s="8"/>
    </x:row>
    <x:row r="219">
      <x:c r="A219" s="8" t="str">
        <x:v>date</x:v>
      </x:c>
      <x:c r="B219" s="8" t="n">
        <x:f>SUM(A1:A3)</x:f>
        <x:v>0</x:v>
      </x:c>
      <x:c r="C219" s="8" t="n">
        <x:f>SUM(A1:A3)</x:f>
        <x:v>0</x:v>
      </x:c>
      <x:c r="D219" s="8" t="str">
        <x:v>string</x:v>
      </x:c>
      <x:c r="E219" s="17" t="b">
        <x:v>0</x:v>
      </x:c>
      <x:c r="F219" s="17" t="b">
        <x:v>1</x:v>
      </x:c>
      <x:c r="G219" s="8" t="str">
        <x:v>\pc135\D\Desktop\folder3\file-206.txt</x:v>
      </x:c>
      <x:c r="H219" s="8" t="str">
        <x:v>Follow-up: compare the result when the network security policy is relaxed versus when it is enforced.</x:v>
      </x:c>
      <x:c r="I219" s="8"/>
    </x:row>
    <x:row r="220">
      <x:c r="A220" s="8" t="str">
        <x:v>code</x:v>
      </x:c>
      <x:c r="B220" s="8" t="str">
        <x:v>00123</x:v>
      </x:c>
      <x:c r="C220" s="8" t="str">
        <x:v>00123</x:v>
      </x:c>
      <x:c r="D220" s="8" t="str">
        <x:v>string</x:v>
      </x:c>
      <x:c r="E220" s="17" t="b">
        <x:v>0</x:v>
      </x:c>
      <x:c r="F220" s="17" t="b">
        <x:v>0</x:v>
      </x:c>
      <x:c r="G220" s="8"/>
      <x:c r="H220" s="8" t="str">
        <x:v>The owner field was not captured in the original notes, so classification should remain conservative.</x:v>
      </x:c>
      <x:c r="I220" s="8"/>
    </x:row>
    <x:row r="221">
      <x:c r="A221" s="8" t="str">
        <x:v>code</x:v>
      </x:c>
      <x:c r="B221" s="8" t="str">
        <x:v>00123</x:v>
      </x:c>
      <x:c r="C221" s="8" t="str">
        <x:v>00123</x:v>
      </x:c>
      <x:c r="D221" s="8" t="str">
        <x:v>date-like</x:v>
      </x:c>
      <x:c r="E221" s="17" t="b">
        <x:v>0</x:v>
      </x:c>
      <x:c r="F221" s="17" t="b">
        <x:v>0</x:v>
      </x:c>
      <x:c r="G221" s="8"/>
      <x:c r="H221" s="8"/>
      <x:c r="I221" s="8"/>
    </x:row>
    <x:row r="222">
      <x:c r="A222" s="8" t="str">
        <x:v>text</x:v>
      </x:c>
      <x:c r="B222" s="8" t="str">
        <x:v>  padded text  </x:v>
      </x:c>
      <x:c r="C222" s="8" t="str">
        <x:v>  padded text  </x:v>
      </x:c>
      <x:c r="D222" s="8" t="str">
        <x:v>unknown</x:v>
      </x:c>
      <x:c r="E222" s="17" t="b">
        <x:v>0</x:v>
      </x:c>
      <x:c r="F222" s="17" t="b">
        <x:v>0</x:v>
      </x:c>
      <x:c r="G222" s="8"/>
      <x:c r="H222" s="8"/>
      <x:c r="I222" s="8"/>
    </x:row>
    <x:row r="223">
      <x:c r="A223" s="8"/>
      <x:c r="B223" s="8"/>
      <x:c r="C223" s="8"/>
      <x:c r="D223" s="8"/>
      <x:c r="E223" s="8"/>
      <x:c r="F223" s="8"/>
      <x:c r="G223" s="8"/>
      <x:c r="H223" s="8"/>
      <x:c r="I223" s="8"/>
    </x:row>
    <x:row r="224">
      <x:c r="A224" s="8" t="str">
        <x:v>boolean</x:v>
      </x:c>
      <x:c r="B224" s="8" t="str">
        <x:v>line one
line two</x:v>
      </x:c>
      <x:c r="C224" s="8" t="str">
        <x:v>line one
line two</x:v>
      </x:c>
      <x:c r="D224" s="8" t="str">
        <x:v>numeric</x:v>
      </x:c>
      <x:c r="E224" s="17" t="b">
        <x:v>0</x:v>
      </x:c>
      <x:c r="F224" s="17" t="b">
        <x:v>0</x:v>
      </x:c>
      <x:c r="G224" s="8"/>
      <x:c r="H224" s="8" t="str">
        <x:v>Potential duplicate: this paragraph is repeated in another section to test deduplication and chunk metadata.</x:v>
      </x:c>
      <x:c r="I224" s="8"/>
    </x:row>
    <x:row r="225">
      <x:c r="A225" s="8" t="str">
        <x:v>text</x:v>
      </x:c>
      <x:c r="B225" s="8" t="n">
        <x:f>SUM(A1:A3)</x:f>
        <x:v>0</x:v>
      </x:c>
      <x:c r="C225" s="8" t="n">
        <x:f>SUM(A1:A3)</x:f>
        <x:v>0</x:v>
      </x:c>
      <x:c r="D225" s="8" t="str">
        <x:v>string</x:v>
      </x:c>
      <x:c r="E225" s="17" t="b">
        <x:v>0</x:v>
      </x:c>
      <x:c r="F225" s="17" t="b">
        <x:v>1</x:v>
      </x:c>
      <x:c r="G225" s="8" t="str">
        <x:v>\pc135\D\Desktop\folder1\file-211.txt</x:v>
      </x:c>
      <x:c r="H225" s="8" t="str">
        <x:v>Verify behavior on a cold start and after the page reloads without destroying the native view.</x:v>
      </x:c>
      <x:c r="I225" s="8"/>
    </x:row>
    <x:row r="226">
      <x:c r="A226" s="8" t="str">
        <x:v>text</x:v>
      </x:c>
      <x:c r="B226" s="8" t="str">
        <x:v>false</x:v>
      </x:c>
      <x:c r="C226" s="8" t="str">
        <x:v>false</x:v>
      </x:c>
      <x:c r="D226" s="8" t="str">
        <x:v>date-like</x:v>
      </x:c>
      <x:c r="E226" s="17" t="b">
        <x:v>0</x:v>
      </x:c>
      <x:c r="F226" s="17" t="b">
        <x:v>0</x:v>
      </x:c>
      <x:c r="G226" s="8"/>
      <x:c r="H226" s="8"/>
      <x:c r="I226" s="8"/>
    </x:row>
    <x:row r="227">
      <x:c r="A227" s="8" t="str">
        <x:v>code</x:v>
      </x:c>
      <x:c r="B227" s="8" t="str">
        <x:v>  padded text  </x:v>
      </x:c>
      <x:c r="C227" s="8" t="str">
        <x:v>  padded text  </x:v>
      </x:c>
      <x:c r="D227" s="8" t="str">
        <x:v>numeric</x:v>
      </x:c>
      <x:c r="E227" s="17" t="b">
        <x:v>0</x:v>
      </x:c>
      <x:c r="F227" s="17" t="b">
        <x:v>0</x:v>
      </x:c>
      <x:c r="G227" s="8"/>
      <x:c r="H227" s="8" t="str">
        <x:v>Follow-up: compare the result when the network security policy is relaxed versus when it is enforced.</x:v>
      </x:c>
      <x:c r="I227" s="8"/>
    </x:row>
    <x:row r="228">
      <x:c r="A228" s="8" t="str">
        <x:v>note</x:v>
      </x:c>
      <x:c r="B228" s="8" t="str">
        <x:v>false</x:v>
      </x:c>
      <x:c r="C228" s="8" t="str">
        <x:v>false</x:v>
      </x:c>
      <x:c r="D228" s="8" t="str">
        <x:v>boolean-like</x:v>
      </x:c>
      <x:c r="E228" s="17" t="b">
        <x:v>0</x:v>
      </x:c>
      <x:c r="F228" s="17" t="b">
        <x:v>0</x:v>
      </x:c>
      <x:c r="G228" s="8"/>
      <x:c r="H228" s="8"/>
      <x:c r="I228" s="8"/>
    </x:row>
    <x:row r="229">
      <x:c r="A229" s="8" t="str">
        <x:v>number</x:v>
      </x:c>
      <x:c r="B229" s="8" t="str">
        <x:v>&lt;tag&gt;value&lt;/tag&gt;</x:v>
      </x:c>
      <x:c r="C229" s="8" t="str">
        <x:v>&lt;tag&gt;value&lt;/tag&gt;</x:v>
      </x:c>
      <x:c r="D229" s="8" t="str">
        <x:v>unknown</x:v>
      </x:c>
      <x:c r="E229" s="17" t="b">
        <x:v>0</x:v>
      </x:c>
      <x:c r="F229" s="17" t="b">
        <x:v>0</x:v>
      </x:c>
      <x:c r="G229" s="8"/>
      <x:c r="H229" s="8"/>
      <x:c r="I229" s="8"/>
    </x:row>
    <x:row r="230">
      <x:c r="A230" s="8" t="str">
        <x:v>url</x:v>
      </x:c>
      <x:c r="B230" s="8" t="str">
        <x:v>N/A</x:v>
      </x:c>
      <x:c r="C230" s="8" t="str">
        <x:v>N/A</x:v>
      </x:c>
      <x:c r="D230" s="8" t="str">
        <x:v>date-like</x:v>
      </x:c>
      <x:c r="E230" s="17" t="b">
        <x:v>0</x:v>
      </x:c>
      <x:c r="F230" s="17" t="b">
        <x:v>0</x:v>
      </x:c>
      <x:c r="G230" s="8" t="str">
        <x:v>\pc135\D\Desktop\folder6\file-216.txt</x:v>
      </x:c>
      <x:c r="H230" s="8"/>
      <x:c r="I230" s="8"/>
    </x:row>
    <x:row r="231">
      <x:c r="A231" s="8" t="str">
        <x:v>number</x:v>
      </x:c>
      <x:c r="B231" s="8" t="str">
        <x:v>00123</x:v>
      </x:c>
      <x:c r="C231" s="8" t="str">
        <x:v>00123</x:v>
      </x:c>
      <x:c r="D231" s="8" t="str">
        <x:v>date-like</x:v>
      </x:c>
      <x:c r="E231" s="17" t="b">
        <x:v>0</x:v>
      </x:c>
      <x:c r="F231" s="17" t="b">
        <x:v>0</x:v>
      </x:c>
      <x:c r="G231" s="8"/>
      <x:c r="H231" s="8" t="str">
        <x:v>The owner field was not captured in the original notes, so classification should remain conservative.</x:v>
      </x:c>
      <x:c r="I231" s="8"/>
    </x:row>
    <x:row r="232">
      <x:c r="A232" s="8" t="str">
        <x:v>url</x:v>
      </x:c>
      <x:c r="B232" s="8" t="str">
        <x:v>false</x:v>
      </x:c>
      <x:c r="C232" s="8" t="str">
        <x:v>false</x:v>
      </x:c>
      <x:c r="D232" s="8" t="str">
        <x:v>string</x:v>
      </x:c>
      <x:c r="E232" s="17" t="b">
        <x:v>0</x:v>
      </x:c>
      <x:c r="F232" s="17" t="b">
        <x:v>0</x:v>
      </x:c>
      <x:c r="G232" s="8"/>
      <x:c r="H232" s="8" t="str">
        <x:v>This sentence is long enough to exercise wrapping and downstream chunk boundaries in Markdown output.</x:v>
      </x:c>
      <x:c r="I232" s="8"/>
    </x:row>
    <x:row r="233">
      <x:c r="A233" s="8" t="str">
        <x:v>url</x:v>
      </x:c>
      <x:c r="B233" s="8" t="str">
        <x:v>2026-10-03</x:v>
      </x:c>
      <x:c r="C233" s="8" t="str">
        <x:v>2026-10-03</x:v>
      </x:c>
      <x:c r="D233" s="8" t="str">
        <x:v>string</x:v>
      </x:c>
      <x:c r="E233" s="17" t="b">
        <x:v>0</x:v>
      </x:c>
      <x:c r="F233" s="17" t="b">
        <x:v>0</x:v>
      </x:c>
      <x:c r="G233" s="8"/>
      <x:c r="H233" s="8"/>
      <x:c r="I233" s="8"/>
    </x:row>
    <x:row r="234">
      <x:c r="A234" s="8" t="str">
        <x:v>url</x:v>
      </x:c>
      <x:c r="B234" s="8" t="str">
        <x:v>1,234.50</x:v>
      </x:c>
      <x:c r="C234" s="8" t="str">
        <x:v>1,234.50</x:v>
      </x:c>
      <x:c r="D234" s="8" t="str">
        <x:v>boolean-like</x:v>
      </x:c>
      <x:c r="E234" s="17" t="b">
        <x:v>0</x:v>
      </x:c>
      <x:c r="F234" s="17" t="b">
        <x:v>0</x:v>
      </x:c>
      <x:c r="G234" s="8" t="str">
        <x:v>\pc135\D\Desktop\folder3\file-220.txt</x:v>
      </x:c>
      <x:c r="H234" s="8" t="str">
        <x:v>Potential duplicate: this paragraph is repeated in another section to test deduplication and chunk metadata.</x:v>
      </x:c>
      <x:c r="I234" s="8"/>
    </x:row>
    <x:row r="235">
      <x:c r="A235" s="8" t="str">
        <x:v>code</x:v>
      </x:c>
      <x:c r="B235" s="8" t="str">
        <x:v>00123</x:v>
      </x:c>
      <x:c r="C235" s="8" t="str">
        <x:v>00123</x:v>
      </x:c>
      <x:c r="D235" s="8" t="str">
        <x:v>boolean-like</x:v>
      </x:c>
      <x:c r="E235" s="17" t="b">
        <x:v>0</x:v>
      </x:c>
      <x:c r="F235" s="17" t="b">
        <x:v>0</x:v>
      </x:c>
      <x:c r="G235" s="8"/>
      <x:c r="H235" s="8" t="str">
        <x:v>Potential duplicate: this paragraph is repeated in another section to test deduplication and chunk metadata.</x:v>
      </x:c>
      <x:c r="I235" s="8"/>
    </x:row>
    <x:row r="236">
      <x:c r="A236" s="8" t="str">
        <x:v>note</x:v>
      </x:c>
      <x:c r="B236" s="8" t="str">
        <x:v>false</x:v>
      </x:c>
      <x:c r="C236" s="8" t="str">
        <x:v>false</x:v>
      </x:c>
      <x:c r="D236" s="8" t="str">
        <x:v>boolean-like</x:v>
      </x:c>
      <x:c r="E236" s="17" t="b">
        <x:v>0</x:v>
      </x:c>
      <x:c r="F236" s="17" t="b">
        <x:v>0</x:v>
      </x:c>
      <x:c r="G236" s="8" t="str">
        <x:v>\pc135\D\Desktop\folder5\file-222.txt</x:v>
      </x:c>
      <x:c r="H236" s="8" t="str">
        <x:v>The bridge callback is stable for small payloads, but large JSON messages show visible delay during navigation.</x:v>
      </x:c>
      <x:c r="I236" s="8"/>
    </x:row>
    <x:row r="237">
      <x:c r="A237" s="8" t="str">
        <x:v>number</x:v>
      </x:c>
      <x:c r="B237" s="8" t="str">
        <x:v>false</x:v>
      </x:c>
      <x:c r="C237" s="8" t="str">
        <x:v>false</x:v>
      </x:c>
      <x:c r="D237" s="8" t="str">
        <x:v>numeric</x:v>
      </x:c>
      <x:c r="E237" s="17" t="b">
        <x:v>0</x:v>
      </x:c>
      <x:c r="F237" s="17" t="b">
        <x:v>0</x:v>
      </x:c>
      <x:c r="G237" s="8" t="str">
        <x:v>\pc135\D\Desktop\folder6\file-223.txt</x:v>
      </x:c>
      <x:c r="H237" s="8"/>
      <x:c r="I237" s="8"/>
    </x:row>
    <x:row r="238">
      <x:c r="A238" s="8" t="str">
        <x:v>text</x:v>
      </x:c>
      <x:c r="B238" s="8" t="str">
        <x:v>TRUE</x:v>
      </x:c>
      <x:c r="C238" s="8" t="str">
        <x:v>TRUE</x:v>
      </x:c>
      <x:c r="D238" s="8" t="str">
        <x:v>unknown</x:v>
      </x:c>
      <x:c r="E238" s="17" t="b">
        <x:v>0</x:v>
      </x:c>
      <x:c r="F238" s="17" t="b">
        <x:v>0</x:v>
      </x:c>
      <x:c r="G238" s="8" t="str">
        <x:v>\pc135\D\Desktop\folder0\file-224.txt</x:v>
      </x:c>
      <x:c r="H238" s="8" t="str">
        <x:v>A blank cell here is intentional. The source workbook has notes placed away from the nearest table.</x:v>
      </x:c>
      <x:c r="I238" s="8"/>
    </x:row>
    <x:row r="239">
      <x:c r="A239" s="8" t="str">
        <x:v>boolean</x:v>
      </x:c>
      <x:c r="B239" s="8" t="str">
        <x:v>  padded text  </x:v>
      </x:c>
      <x:c r="C239" s="8" t="str">
        <x:v>  padded text  </x:v>
      </x:c>
      <x:c r="D239" s="8" t="str">
        <x:v>date-like</x:v>
      </x:c>
      <x:c r="E239" s="17" t="b">
        <x:v>0</x:v>
      </x:c>
      <x:c r="F239" s="17" t="b">
        <x:v>0</x:v>
      </x:c>
      <x:c r="G239" s="8" t="str">
        <x:v>\pc135\D\Desktop\folder1\file-225.txt</x:v>
      </x:c>
      <x:c r="H239" s="8" t="str">
        <x:v>The owner field was not captured in the original notes, so classification should remain conservative.</x:v>
      </x:c>
      <x:c r="I239" s="8"/>
    </x:row>
    <x:row r="240">
      <x:c r="A240" s="8" t="str">
        <x:v>note</x:v>
      </x:c>
      <x:c r="B240" s="8" t="str">
        <x:v>&lt;tag&gt;value&lt;/tag&gt;</x:v>
      </x:c>
      <x:c r="C240" s="8" t="str">
        <x:v>&lt;tag&gt;value&lt;/tag&gt;</x:v>
      </x:c>
      <x:c r="D240" s="8" t="str">
        <x:v>date-like</x:v>
      </x:c>
      <x:c r="E240" s="17" t="b">
        <x:v>0</x:v>
      </x:c>
      <x:c r="F240" s="17" t="b">
        <x:v>0</x:v>
      </x:c>
      <x:c r="G240" s="8" t="str">
        <x:v>\pc135\D\Desktop\folder2\file-226.txt</x:v>
      </x:c>
      <x:c r="H240" s="8"/>
      <x:c r="I240" s="8"/>
    </x:row>
    <x:row r="241">
      <x:c r="A241" s="8" t="str">
        <x:v>text</x:v>
      </x:c>
      <x:c r="B241" s="8" t="n">
        <x:f>SUM(A1:A3)</x:f>
        <x:v>0</x:v>
      </x:c>
      <x:c r="C241" s="8" t="n">
        <x:f>SUM(A1:A3)</x:f>
        <x:v>0</x:v>
      </x:c>
      <x:c r="D241" s="8" t="str">
        <x:v>numeric</x:v>
      </x:c>
      <x:c r="E241" s="17" t="b">
        <x:v>0</x:v>
      </x:c>
      <x:c r="F241" s="17" t="b">
        <x:v>1</x:v>
      </x:c>
      <x:c r="G241" s="8" t="str">
        <x:v>\pc135\D\Desktop\folder3\file-227.txt</x:v>
      </x:c>
      <x:c r="H241" s="8"/>
      <x:c r="I241" s="8"/>
    </x:row>
    <x:row r="242">
      <x:c r="A242" s="8" t="str">
        <x:v>note</x:v>
      </x:c>
      <x:c r="B242" s="8" t="str">
        <x:v>{"a":1}</x:v>
      </x:c>
      <x:c r="C242" s="8" t="str">
        <x:v>{"a":1}</x:v>
      </x:c>
      <x:c r="D242" s="8" t="str">
        <x:v>boolean-like</x:v>
      </x:c>
      <x:c r="E242" s="17" t="b">
        <x:v>0</x:v>
      </x:c>
      <x:c r="F242" s="17" t="b">
        <x:v>0</x:v>
      </x:c>
      <x:c r="G242" s="8" t="str">
        <x:v>\pc135\D\Desktop\folder4\file-228.txt</x:v>
      </x:c>
      <x:c r="H242" s="8"/>
      <x:c r="I242" s="8"/>
    </x:row>
    <x:row r="243">
      <x:c r="A243" s="8" t="str">
        <x:v>url</x:v>
      </x:c>
      <x:c r="B243" s="8" t="str">
        <x:v>{"a":1}</x:v>
      </x:c>
      <x:c r="C243" s="8" t="str">
        <x:v>{"a":1}</x:v>
      </x:c>
      <x:c r="D243" s="8" t="str">
        <x:v>string</x:v>
      </x:c>
      <x:c r="E243" s="17" t="b">
        <x:v>0</x:v>
      </x:c>
      <x:c r="F243" s="17" t="b">
        <x:v>0</x:v>
      </x:c>
      <x:c r="G243" s="8"/>
      <x:c r="H243" s="8"/>
      <x:c r="I243" s="8"/>
    </x:row>
    <x:row r="244">
      <x:c r="A244" s="9"/>
      <x:c r="B244" s="9"/>
      <x:c r="C244" s="9"/>
      <x:c r="D244" s="9"/>
      <x:c r="E244" s="9"/>
      <x:c r="F244" s="9"/>
      <x:c r="G244" s="9"/>
      <x:c r="H244" s="9"/>
      <x:c r="I244" s="9"/>
    </x:row>
    <x:row r="245">
      <x:c r="A245" s="9"/>
      <x:c r="B245" s="9"/>
      <x:c r="C245" s="9"/>
      <x:c r="D245" s="9"/>
      <x:c r="E245" s="9"/>
      <x:c r="F245" s="9"/>
      <x:c r="G245" s="9"/>
      <x:c r="H245" s="9"/>
      <x:c r="I245" s="9"/>
    </x:row>
  </x:sheetData>
  <x:mergeCells>
    <x:mergeCell ref="A1:I1"/>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5" hidden="0" customWidth="1"/>
    <x:col min="3" max="3" width="34" hidden="0" customWidth="1"/>
    <x:col min="4" max="4" width="16" hidden="0" customWidth="1"/>
    <x:col min="5" max="5" width="55" hidden="0" customWidth="1"/>
  </x:cols>
  <x:sheetData>
    <x:row r="1">
      <x:c r="A1" s="7" t="str">
        <x:v>Messy WebView research workbook</x:v>
      </x:c>
      <x:c r="B1" s="7"/>
      <x:c r="C1" s="7"/>
      <x:c r="D1" s="7"/>
      <x:c r="E1" s="7"/>
    </x:row>
    <x:row r="2">
      <x:c r="A2" s="8" t="str">
        <x:v>This sheet is intentionally cleaner than the source tabs and exists only as a mixed-content control.</x:v>
      </x:c>
      <x:c r="B2" s="8"/>
      <x:c r="C2" s="8"/>
      <x:c r="D2" s="8"/>
      <x:c r="E2" s="8"/>
    </x:row>
    <x:row r="3">
      <x:c r="A3" s="4" t="str">
        <x:v>Sheet</x:v>
      </x:c>
      <x:c r="B3" s="4" t="str">
        <x:v>Approx rows</x:v>
      </x:c>
      <x:c r="C3" s="4" t="str">
        <x:v>Primary content</x:v>
      </x:c>
      <x:c r="D3" s="4" t="str">
        <x:v>Formula check</x:v>
      </x:c>
      <x:c r="E3" s="4" t="str">
        <x:v>URL example</x:v>
      </x:c>
    </x:row>
    <x:row r="4">
      <x:c r="A4" s="8" t="str">
        <x:v>RN_WebView</x:v>
      </x:c>
      <x:c r="B4" s="8" t="n">
        <x:f>COUNTA(RN_WebView!A:A)</x:f>
        <x:v>250</x:v>
      </x:c>
      <x:c r="C4" s="8" t="str">
        <x:v>sparse issue table</x:v>
      </x:c>
      <x:c r="D4" s="8" t="str">
        <x:f>IF(B4&gt;0,"present","missing")</x:f>
        <x:v>present</x:v>
      </x:c>
      <x:c r="E4" s="8" t="str">
        <x:v>https://github.com/react-native-webview/react-native-webview</x:v>
      </x:c>
    </x:row>
    <x:row r="5">
      <x:c r="A5" s="8" t="str">
        <x:v>WPF_WebView2</x:v>
      </x:c>
      <x:c r="B5" s="8" t="n">
        <x:f>COUNTA(WPF_WebView2!A:A)</x:f>
        <x:v>213</x:v>
      </x:c>
      <x:c r="C5" s="8" t="str">
        <x:v>code and interop notes</x:v>
      </x:c>
      <x:c r="D5" s="8" t="str">
        <x:f>IF(B5&gt;0,"present","missing")</x:f>
        <x:v>present</x:v>
      </x:c>
      <x:c r="E5" s="8" t="str">
        <x:v>https://developer.microsoft.com/en-us/microsoft-edge/webview2/</x:v>
      </x:c>
    </x:row>
    <x:row r="6">
      <x:c r="A6" s="8" t="str">
        <x:v>Performance_Logs</x:v>
      </x:c>
      <x:c r="B6" s="8" t="n">
        <x:f>COUNTA(Performance_Logs!A:A)</x:f>
        <x:v>622</x:v>
      </x:c>
      <x:c r="C6" s="8" t="str">
        <x:v>numeric events plus formulas</x:v>
      </x:c>
      <x:c r="D6" s="8" t="str">
        <x:f>IF(B6&gt;0,"present","missing")</x:f>
        <x:v>present</x:v>
      </x:c>
      <x:c r="E6" s="8" t="str">
        <x:v>https://developer.android.com/reference/android/webkit/WebView</x:v>
      </x:c>
    </x:row>
    <x:row r="7">
      <x:c r="A7" s="8" t="str">
        <x:v>Long_Form_Notes</x:v>
      </x:c>
      <x:c r="B7" s="8" t="n">
        <x:f>COUNTA(Long_Form_Notes!A:A)</x:f>
        <x:v>116</x:v>
      </x:c>
      <x:c r="C7" s="8" t="str">
        <x:v>long prose cells</x:v>
      </x:c>
      <x:c r="D7" s="8" t="str">
        <x:f>IF(B7&gt;0,"present","missing")</x:f>
        <x:v>present</x:v>
      </x:c>
      <x:c r="E7" s="8" t="str">
        <x:v>https://learn.microsoft.com/en-us/microsoft-edge/webview2/concepts/security</x:v>
      </x:c>
    </x:row>
    <x:row r="8">
      <x:c r="A8" s="8" t="str">
        <x:v>Sparse_Offsets</x:v>
      </x:c>
      <x:c r="B8" s="8" t="n">
        <x:f>COUNTA(Sparse_Offsets!A:A)</x:f>
        <x:v>18</x:v>
      </x:c>
      <x:c r="C8" s="8" t="str">
        <x:v>far-apart values</x:v>
      </x:c>
      <x:c r="D8" s="8" t="str">
        <x:f>IF(B8&gt;0,"present","missing")</x:f>
        <x:v>present</x:v>
      </x:c>
      <x:c r="E8" s="8" t="str">
        <x:v>https://developer.apple.com/documentation/webkit/wkwebview</x:v>
      </x:c>
    </x:row>
    <x:row r="9">
      <x:c r="A9" s="9"/>
      <x:c r="B9" s="9"/>
      <x:c r="C9" s="9"/>
      <x:c r="D9" s="9"/>
      <x:c r="E9" s="9"/>
    </x:row>
    <x:row r="10">
      <x:c r="A10" s="9"/>
      <x:c r="B10" s="9"/>
      <x:c r="C10" s="9"/>
      <x:c r="D10" s="9"/>
      <x:c r="E10" s="9"/>
    </x:row>
  </x:sheetData>
  <x:mergeCells>
    <x:mergeCell ref="A1:E1"/>
  </x:mergeCells>
  <x:pageMargins left="0.7" right="0.7" top="0.75" bottom="0.75" header="0.3" footer="0.3"/>
</x:worksheet>
</file>